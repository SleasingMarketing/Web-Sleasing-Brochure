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Price" sheetId="1" r:id="rId4"/>
    <sheet state="visible" name="Detail Price" sheetId="2" r:id="rId5"/>
    <sheet state="visible" name="Detail Price NoVat" sheetId="3" r:id="rId6"/>
    <sheet state="visible" name="Gaijin Detail Price" sheetId="4" r:id="rId7"/>
    <sheet state="visible" name="Gaijin Detail Price NoVat" sheetId="5" r:id="rId8"/>
    <sheet state="visible" name="Promotion" sheetId="6" r:id="rId9"/>
    <sheet state="visible" name="ข้อมูลเก่า Promotion" sheetId="7" r:id="rId10"/>
  </sheets>
  <definedNames/>
  <calcPr/>
  <extLst>
    <ext uri="GoogleSheetsCustomDataVersion2">
      <go:sheetsCustomData xmlns:go="http://customooxmlschemas.google.com/" r:id="rId11" roundtripDataChecksum="91mzXtKDA1JNYWnm75RGl4HmdOYiZtXwloqIxlSm1l4="/>
    </ext>
  </extLst>
</workbook>
</file>

<file path=xl/sharedStrings.xml><?xml version="1.0" encoding="utf-8"?>
<sst xmlns="http://schemas.openxmlformats.org/spreadsheetml/2006/main" count="594" uniqueCount="338">
  <si>
    <t>รุ่น/รายละเอียด</t>
  </si>
  <si>
    <t>ราคา</t>
  </si>
  <si>
    <t>image link</t>
  </si>
  <si>
    <t>Helper</t>
  </si>
  <si>
    <t>Brand</t>
  </si>
  <si>
    <t>File Name</t>
  </si>
  <si>
    <t>All</t>
  </si>
  <si>
    <t>HONOR Magic V6 16/512 GB</t>
  </si>
  <si>
    <t>Price</t>
  </si>
  <si>
    <t>Image Link</t>
  </si>
  <si>
    <t>Insurance</t>
  </si>
  <si>
    <t>price+ins</t>
  </si>
  <si>
    <t>Down 15%</t>
  </si>
  <si>
    <t>Down 20%</t>
  </si>
  <si>
    <t>FA</t>
  </si>
  <si>
    <t>FA+Ins</t>
  </si>
  <si>
    <t>6 เดือน</t>
  </si>
  <si>
    <t>9 เดือน</t>
  </si>
  <si>
    <t>12 เดือน</t>
  </si>
  <si>
    <t>15 เดือน</t>
  </si>
  <si>
    <t>18 เดือน</t>
  </si>
  <si>
    <t>24 เดือน</t>
  </si>
  <si>
    <t>HONOR</t>
  </si>
  <si>
    <t>AddedArtboard 3AM2</t>
  </si>
  <si>
    <t>HONOR Magic8 Pro 12/512 GB</t>
  </si>
  <si>
    <t>Down 25%</t>
  </si>
  <si>
    <t>Down 35%</t>
  </si>
  <si>
    <t>HUAWEI</t>
  </si>
  <si>
    <t>AddedArtboard 4AM2</t>
  </si>
  <si>
    <t>HONOR X6d 4/128 GB</t>
  </si>
  <si>
    <t>Down 40%</t>
  </si>
  <si>
    <t>Down 30%</t>
  </si>
  <si>
    <t>INFINIX</t>
  </si>
  <si>
    <t>AddedArtboard 6AM2</t>
  </si>
  <si>
    <t>HONOR 600 Lite 5G 8/256 GB</t>
  </si>
  <si>
    <t>Nubia</t>
  </si>
  <si>
    <t>AddedArtboard 7AM2</t>
  </si>
  <si>
    <t>HONOR 600 5G 12/256 GB</t>
  </si>
  <si>
    <t>Realme</t>
  </si>
  <si>
    <t>AddedArtboard 5AM2</t>
  </si>
  <si>
    <t>HONOR 600 Pro 5G 12/512 GB</t>
  </si>
  <si>
    <t>Samsung</t>
  </si>
  <si>
    <t>AddedArtboard 2AM2</t>
  </si>
  <si>
    <t>HONOR X7e 6/256 GB</t>
  </si>
  <si>
    <t>TECNO</t>
  </si>
  <si>
    <t>AddedArtboard 5Layout</t>
  </si>
  <si>
    <t>HONOR X7e 6/128 GB</t>
  </si>
  <si>
    <t>REDMI</t>
  </si>
  <si>
    <t>AddedArtboard 8AM2</t>
  </si>
  <si>
    <t>HONOR Pad X8b 6/128 GB</t>
  </si>
  <si>
    <t>XIAOMI</t>
  </si>
  <si>
    <t>AddedArtboard 9AM2</t>
  </si>
  <si>
    <t>HUAWEI Mate X7 16/512 GB</t>
  </si>
  <si>
    <t>OPPO</t>
  </si>
  <si>
    <t>AddedArtboard 10AM2</t>
  </si>
  <si>
    <t>HUAWEI Pura 90s ProMax 12/512 GB</t>
  </si>
  <si>
    <t>vivo</t>
  </si>
  <si>
    <t>AddedArtboard 11AM2</t>
  </si>
  <si>
    <t>HUAWEI Pura 90s 12/512 GB</t>
  </si>
  <si>
    <t>iQOO</t>
  </si>
  <si>
    <t>AddedArtboard 12AM2</t>
  </si>
  <si>
    <t>HUAWEI Pura 90s 12/256 GB</t>
  </si>
  <si>
    <t>HUAWEI 80 Pro 16/512 GB</t>
  </si>
  <si>
    <t>HUAWEI Pura 80 Ultra 16/512 GB</t>
  </si>
  <si>
    <t>HUAWEI Pura 80 Pro 12/512 GB</t>
  </si>
  <si>
    <t>HUAWEI Pura 80 12/256 GB</t>
  </si>
  <si>
    <t>HUAWEI Nova 14 Pro 12/512 GB</t>
  </si>
  <si>
    <t>HUAWEI Nova 14 12/256 GB</t>
  </si>
  <si>
    <t>HUAWEI Nova Y73 8/256 GB</t>
  </si>
  <si>
    <t>HUAWEI MatePad ProMax 12/512 GB</t>
  </si>
  <si>
    <t>HUAWEI MatePad ProMax 12/256 GB</t>
  </si>
  <si>
    <t>HUAWEI MatePad Pro 13.2 12/512 GB</t>
  </si>
  <si>
    <t>HUAWEI MatePad Pro 12.2 2025 12/512 GB</t>
  </si>
  <si>
    <t>HUAWEI MatePad 11.5 2025 8/256 GB</t>
  </si>
  <si>
    <t>HUAWEI MatePad 11.5 S 12/256 GB</t>
  </si>
  <si>
    <t>HUAWEI MatePad Mini 12/256 GB</t>
  </si>
  <si>
    <t>HUAWEI MatePad 12 X 12/256 GB</t>
  </si>
  <si>
    <t>HUAWEI MatePad SE 11 8/128 GB</t>
  </si>
  <si>
    <t>INFINIX GT 50 Pro 5G 12/512 GB</t>
  </si>
  <si>
    <t>INFINIX GT 50 Pro 5G 12/256 GB</t>
  </si>
  <si>
    <t>INFINIX NOTE 50 Pro+ 5G 12/256 GB</t>
  </si>
  <si>
    <t>INFINIX NOTE 60 Pro 5G 12/256 GB</t>
  </si>
  <si>
    <t>INFINIX GT 30 Pro 5G 12/512 GB</t>
  </si>
  <si>
    <t>INFINIX NOTE 60 Pro 5G 8/256 GB</t>
  </si>
  <si>
    <t>INFINIX GT 30 Pro 5G 8/256 GB</t>
  </si>
  <si>
    <t>INFINIX NOTE EDGE 8/256 GB</t>
  </si>
  <si>
    <t>INFINIX GT 30 5G 8/256 GB</t>
  </si>
  <si>
    <t>INFINIX NOTE 50S 5G 8/256 GB</t>
  </si>
  <si>
    <t>INFINIX NOTE EDGE 8/128 GB</t>
  </si>
  <si>
    <t>INFINIX HOT 60 Pro+ 8/256 GB</t>
  </si>
  <si>
    <t>INFINIX HOT 60 Pro 8/256 GB</t>
  </si>
  <si>
    <t>INFINIX HOT 70 6/128 GB</t>
  </si>
  <si>
    <t>INFINIX XPAD 20 Pro 8/256 GB</t>
  </si>
  <si>
    <t>INFINIX XPAD 30E 4/128 GB</t>
  </si>
  <si>
    <t>Nubia NEO 5 GT 12/512 GB</t>
  </si>
  <si>
    <t>Nubia NEO 5 GT 8/258 GB</t>
  </si>
  <si>
    <t>Nubia NEO 5 Pro 5G 12/258 GB</t>
  </si>
  <si>
    <t>Nubia NEO 5 5G 8/128 GB</t>
  </si>
  <si>
    <t>Nubia NEO 3 GT 5G 12/256 GB</t>
  </si>
  <si>
    <t>Nubia Air 5G 8/256 GB</t>
  </si>
  <si>
    <t>Nubia NEO 3 5G 8/256 GB</t>
  </si>
  <si>
    <t>realme 16 Pro+ 5G 12/512 GB</t>
  </si>
  <si>
    <t>realme 16 Pro+ 5G 12/256 GB</t>
  </si>
  <si>
    <t>realme 16 Pro 5G 12/512 GB</t>
  </si>
  <si>
    <t>realme 16 Pro 5G 12/256 GB</t>
  </si>
  <si>
    <t>realme 16 5G 8/256 GB</t>
  </si>
  <si>
    <t>*realme P4 Power 5G 12/256 GB</t>
  </si>
  <si>
    <t>realme C85 5G 8/256 GB</t>
  </si>
  <si>
    <t>realme C85 5G 8/128 GB</t>
  </si>
  <si>
    <t>realme C85 4G 8/128 GB</t>
  </si>
  <si>
    <t>realme C100 5G 6/128 GB</t>
  </si>
  <si>
    <t>realme C100 5G 4/128 GB</t>
  </si>
  <si>
    <t>realme C100X 4G 4/256 GB</t>
  </si>
  <si>
    <t>realme C100i 4G 4/128 GB</t>
  </si>
  <si>
    <t>realme Note 80 4/64 GB</t>
  </si>
  <si>
    <t>realme PAD3 5G 8/256 GB</t>
  </si>
  <si>
    <t>SAMSUNG Galaxy A07 5G 6/128 GB</t>
  </si>
  <si>
    <t>SAMSUNG Galaxy A17 LTE 8/128 GB</t>
  </si>
  <si>
    <t>SAMSUNG Galaxy A17 5G 8/128 GB</t>
  </si>
  <si>
    <t>SAMSUNG Galaxy A17 5G 8/256 GB</t>
  </si>
  <si>
    <t>SAMSUNG Galaxy A26 5G 8/256 GB</t>
  </si>
  <si>
    <t>SAMSUNG Galaxy A57 5G 12/512 GB</t>
  </si>
  <si>
    <t>SAMSUNG Galaxy A57 5G 12/256 GB</t>
  </si>
  <si>
    <t>SAMSUNG Galaxy A57 5G 8/256 GB</t>
  </si>
  <si>
    <t>SAMSUNG Galaxy A37 5G 8/256 GB</t>
  </si>
  <si>
    <t>SAMSUNG Galaxy A36 5G 8/128 GB</t>
  </si>
  <si>
    <t>SAMSUNG Galaxy A56 5G 8/128 GB</t>
  </si>
  <si>
    <t>SAMSUNG Galaxy A56 5G 12/256 GB</t>
  </si>
  <si>
    <t>SAMSUNG Galaxy Z Flip6 12/256 GB</t>
  </si>
  <si>
    <t>SAMSUNG Galaxy Z Flip6 12/512 GB</t>
  </si>
  <si>
    <t>SAMSUNG Galaxy Z Flip7 12/256 GB</t>
  </si>
  <si>
    <t>SAMSUNG Galaxy Z Flip7 12/512 GB</t>
  </si>
  <si>
    <t>SAMSUNG Galaxy Z Flip7 FE 8/128 GB</t>
  </si>
  <si>
    <t>SAMSUNG Galaxy Z Flip7 FE 8/256 GB</t>
  </si>
  <si>
    <t>SAMSUNG Galaxy Z Fold6 12/256 GB</t>
  </si>
  <si>
    <t>SAMSUNG Galaxy Z Fold6 12/512 GB</t>
  </si>
  <si>
    <t>SAMSUNG Galaxy Z Fold6 12/1TB GB</t>
  </si>
  <si>
    <t>SAMSUNG Galaxy Z Fold7 12/256 GB</t>
  </si>
  <si>
    <t>SAMSUNG Galaxy Z Fold7 12/512 GB</t>
  </si>
  <si>
    <t>SAMSUNG Galaxy Z Fold7 16/1TB</t>
  </si>
  <si>
    <t>SAMSUNG Galaxy S24 8/256 GB</t>
  </si>
  <si>
    <t>SAMSUNG Galaxy S24 8/512 GB</t>
  </si>
  <si>
    <t>SAMSUNG Galaxy S24+ 12/256 GB</t>
  </si>
  <si>
    <t>SAMSUNG Galaxy S24+ 12/512 GB</t>
  </si>
  <si>
    <t>SAMSUNG Galaxy S24 Ultra 12/512 GB</t>
  </si>
  <si>
    <t>SAMSUNG Galaxy S24 Ultra 12/1TB</t>
  </si>
  <si>
    <t>SAMSUNG Galaxy S24 FE 8/128 GB</t>
  </si>
  <si>
    <t>SAMSUNG Galaxy S24 FE 8/256 GB</t>
  </si>
  <si>
    <t>SAMSUNG Galaxy S25 12/256 GB</t>
  </si>
  <si>
    <t>SAMSUNG Galaxy S25 12/512 GB</t>
  </si>
  <si>
    <t>SAMSUNG Galaxy S25+ 12/256 GB</t>
  </si>
  <si>
    <t>SAMSUNG Galaxy S25+ 12/512 GB</t>
  </si>
  <si>
    <t>SAMSUNG Galaxy S25 Ultra 12/256 GB</t>
  </si>
  <si>
    <t>SAMSUNG Galaxy S26 12/256 GB</t>
  </si>
  <si>
    <t>SAMSUNG Galaxy S26 12/512 GB</t>
  </si>
  <si>
    <t>SAMSUNG Galaxy S26+ 12/256 GB</t>
  </si>
  <si>
    <t>SAMSUNG Galaxy S26+ 12/512 GB</t>
  </si>
  <si>
    <t>SAMSUNG Galaxy S26 Ultra 12/256 GB</t>
  </si>
  <si>
    <t>SAMSUNG Galaxy S26 Ultra 12/512 GB</t>
  </si>
  <si>
    <t>SAMSUNG Galaxy S26 Ultra 16/1TB</t>
  </si>
  <si>
    <t>SAMSUNG Galaxy S25 FE 8/128 GB</t>
  </si>
  <si>
    <t>SAMSUNG Galaxy S25 FE 8/256 GB</t>
  </si>
  <si>
    <t>SAMSUNG Galaxy Tab A11 LTE 8/128 GB</t>
  </si>
  <si>
    <t>SAMSUNG Galaxy Tab A11+ 5G 6/128 GB</t>
  </si>
  <si>
    <t>SAMSUNG Galaxy Tab A11+ Wifi 6/128 GB</t>
  </si>
  <si>
    <t>SAMSUNG Galaxy Tab S10 FE Wi-Fi 8/128 GB</t>
  </si>
  <si>
    <t>SAMSUNG Galaxy Tab S10 FE 5G 8/128 GB</t>
  </si>
  <si>
    <t>SAMSUNG Galaxy Tab S10 FE+ Wi-Fi 12/256 GB</t>
  </si>
  <si>
    <t>SAMSUNG Galaxy Tab S10 FE+ 5G 12/256 GB</t>
  </si>
  <si>
    <t>SAMSUNG Tab S10 Lite 5G</t>
  </si>
  <si>
    <t>SAMSUNG Tab S10 Lite Wi-Fi</t>
  </si>
  <si>
    <t>SAMSUNG Galaxy Tab S10+Wi-Fi 12/256 GB</t>
  </si>
  <si>
    <t>SAMSUNG Galaxy Tab S10+ 5G 12/256 GB</t>
  </si>
  <si>
    <t>SAMSUNG Galaxy Tab S11 5G 8/128 GB</t>
  </si>
  <si>
    <t>SAMSUNG Galaxy Tab S11 5G 12/256 GB</t>
  </si>
  <si>
    <t>SAMSUNG Galaxy Tab S11 Ultra 12/256 GB</t>
  </si>
  <si>
    <t>TECNO POVA 8 Pro 5G LAMBORGHINI 12/512 GB</t>
  </si>
  <si>
    <t>TECNO POVA 8 Pro 5G LAMBORGHINI 12/256 GB</t>
  </si>
  <si>
    <t>TECNO POVA 8 Pro 5G LAMBORGHINI 8/256 GB</t>
  </si>
  <si>
    <t>TECNO POVA8 Pro 5G 8/256 GB</t>
  </si>
  <si>
    <t>TECNO POVA8 Pro 5G 12/256 GB</t>
  </si>
  <si>
    <t>TECNO POVA8 Pro 5G 12/512 GB</t>
  </si>
  <si>
    <t>TECNO POVA8 5G 6/128 GB</t>
  </si>
  <si>
    <t>TECNO POVA8 5G 8/128 GB</t>
  </si>
  <si>
    <t>TECNO POVA8 5G 8/256 GB</t>
  </si>
  <si>
    <t>TECNO POVA7 Ultra 5G 12/256 GB</t>
  </si>
  <si>
    <t>TECNO POVA7 5G 8/256 GB</t>
  </si>
  <si>
    <t>TECNO SLIM 5G 8/256 GB</t>
  </si>
  <si>
    <t>TECNO SPARK 50 5G 4/128 GB</t>
  </si>
  <si>
    <t>TECNO SPARK 50 5G 6/128 GB</t>
  </si>
  <si>
    <t>TECNO MEGAPAD Pro 8/256 GB</t>
  </si>
  <si>
    <t>TECNO MEGAPAD Pro 8/128 GB</t>
  </si>
  <si>
    <t>TECNO MEGAPAD SE 4/128 GB</t>
  </si>
  <si>
    <t>REDMI Note 17 Pro Max 5G 8/512 GB</t>
  </si>
  <si>
    <t>REDMI Note 17 Pro Max 5G 8/256 GB</t>
  </si>
  <si>
    <t>REDMI Note 17 Pro 5G 8/256 GB</t>
  </si>
  <si>
    <t>REDMI Note 17 Pro 5G 6/256 GB</t>
  </si>
  <si>
    <t>REDMI Note 17 5G 8/256 GB</t>
  </si>
  <si>
    <t>REDMI Note 17 5G 6/256 GB</t>
  </si>
  <si>
    <t>REDMI Note 17 6/128 GB</t>
  </si>
  <si>
    <t>REDMI Note 15 Pro+ 5G 12/512 GB</t>
  </si>
  <si>
    <t>REDMI Note 15 Pro+ 5G 12/256 GB</t>
  </si>
  <si>
    <t>REDMI Note 15 Pro 5G 12/512 GB</t>
  </si>
  <si>
    <t>REDMI Note 15 Pro 5G 8/256 GB</t>
  </si>
  <si>
    <t>REDMI Note 15 5G 8/256 GB</t>
  </si>
  <si>
    <t>REDMI Note 15 4G 8/256 GB</t>
  </si>
  <si>
    <t>XIAOMI 17T Pro 12/512 GB</t>
  </si>
  <si>
    <t>XIAOMI 17T Pro 12/256 GB</t>
  </si>
  <si>
    <t>XIAOMI 17T 12/512 GB</t>
  </si>
  <si>
    <t>XIAOMI 17T 12/256 GB</t>
  </si>
  <si>
    <t>REDMI Pad 2 9.7 4G 4/128 GB</t>
  </si>
  <si>
    <t>REDMI Pad 2 9.7 4G 4/64 GB</t>
  </si>
  <si>
    <t>REDMI 17 5G 4/256 GB</t>
  </si>
  <si>
    <t>REDMI 17 5G 4/128 GB</t>
  </si>
  <si>
    <t>REDMI 17 4/256 GB</t>
  </si>
  <si>
    <t>REDMI 17 4/128 GB</t>
  </si>
  <si>
    <t>XIAOMI Bundle 17T Pro 12/512 GB &amp; Redmi Watch 6</t>
  </si>
  <si>
    <t>XIAOMI Bundle 17T Pro 12/256 GB &amp; Redmi Watch 6</t>
  </si>
  <si>
    <t>XIAOMI Bundle 17T 12/512 GB &amp; Redmi Watch 6</t>
  </si>
  <si>
    <t>XIAOMI Bundle 17T 12/256 GB &amp; Redmi Watch 6</t>
  </si>
  <si>
    <t>INFINIX HOT 70 4/128 GB</t>
  </si>
  <si>
    <t>realme Bundle 16 Pro+ 5G 12/512 GB &amp; realme Watch S5</t>
  </si>
  <si>
    <t>realme Bundle 16 Pro 5G 12/512 GB &amp; realme Watch S5</t>
  </si>
  <si>
    <t>realme Bundle 16 5G 8/256 GB &amp; realme Watch S5</t>
  </si>
  <si>
    <t>realme Bundle C100 5G 6/128 GB &amp; realme Watch S5</t>
  </si>
  <si>
    <t>realme Bundle C100 5G 4/128 GB &amp; realme Watch S5</t>
  </si>
  <si>
    <t>OPPO Find N6 16/512 GB</t>
  </si>
  <si>
    <t>OPPO Find X9 Ultra 16/1TB</t>
  </si>
  <si>
    <t>OPPO Find X9 Ultra 12/512 GB</t>
  </si>
  <si>
    <t>OPPO Find X9s 12/512 GB</t>
  </si>
  <si>
    <t>OPPO Find X9s 12/256 GB</t>
  </si>
  <si>
    <t>OPPO Reno 16 Pro 12/256 GB</t>
  </si>
  <si>
    <t>OPPO Reno 16 5G 12/512 GB</t>
  </si>
  <si>
    <t>OPPO Reno 16 5G 12/256 GB</t>
  </si>
  <si>
    <t>OPPO Reno 16 5G 8/256 GB</t>
  </si>
  <si>
    <t>OPPO Reno 16F 5G 8/256 GB</t>
  </si>
  <si>
    <t>OPPO Reno 16F 5G 8/128 GB</t>
  </si>
  <si>
    <t>OPPO Reno 15F 5G 8/256 GB</t>
  </si>
  <si>
    <t>OPPO A7 ProMax 5G 8/256 GB</t>
  </si>
  <si>
    <t>OPPO A7 Pro 5G 8/256 GB</t>
  </si>
  <si>
    <t>OPPO A7 Pro 5G 8/128 GB</t>
  </si>
  <si>
    <t>OPPO A6s 5G 8/256 GB</t>
  </si>
  <si>
    <t>OPPO A6s 5G 8/128 GB</t>
  </si>
  <si>
    <t>OPPO A6 5G 6/128 GB</t>
  </si>
  <si>
    <t>OPPO A6 4G 6/128 GB</t>
  </si>
  <si>
    <t>*OPPO A6c 4/128 GB</t>
  </si>
  <si>
    <t>*OPPO A6c 4/64 GB</t>
  </si>
  <si>
    <t>OPPO A6x 5G 4/128 GB</t>
  </si>
  <si>
    <t>OPPO Pad 5 Matte Display Edition 5G 8/256 GB</t>
  </si>
  <si>
    <t>OPPA Pad SE Matte Display Edition 8/256 GB</t>
  </si>
  <si>
    <t>OPPO Pad SE 4/128 GB LTE</t>
  </si>
  <si>
    <t>OPPO Pad SE 4/128 GB Wifi</t>
  </si>
  <si>
    <t>OPPO Bundle Reno 16F 5G 8/256 GB &amp; OPPO Enco Air 5</t>
  </si>
  <si>
    <t>OPPO Bundle Reno 16F 5G 8/128 GB &amp; OPPO Enco Air 5</t>
  </si>
  <si>
    <t>OPPO Bundle A7 Pro Max 5G 8/256 GB &amp; OPPO Enco Air 5</t>
  </si>
  <si>
    <t>OPPO Bundle A7 Pro 5G 8/256 GB &amp; OPPO Enco Air 5</t>
  </si>
  <si>
    <t>OPPO Bundle A7 Pro 5G 8/128 GB &amp; OPPO Enco Air 5</t>
  </si>
  <si>
    <t>OPPO Bundle Reno 16F 5G 8/256 GB &amp; OPPO Enco Air 5s</t>
  </si>
  <si>
    <t>OPPO Bundle Reno 16F 5G 8/128 GB &amp; OPPO Enco Air 5s</t>
  </si>
  <si>
    <t>OPPO Bundle A7 Pro Max 5G 8/256 GB &amp; OPPO Enco Air 5s</t>
  </si>
  <si>
    <t>OPPO Bundle A7 Pro 5G 8/256 GB &amp; OPPO Enco Air 5s</t>
  </si>
  <si>
    <t>OPPO Bundle A7 Pro 5G 8/128 GB &amp; OPPO Enco Air 5s</t>
  </si>
  <si>
    <t>OPPO Bundle A6x 5G 4/128 GB &amp; OPPO Enco Buds3 Pro</t>
  </si>
  <si>
    <t>OPPO Bundle Reno 16F 5G 8/256 GB &amp; OPPO Watch S</t>
  </si>
  <si>
    <t>OPPO Bundle Reno 16F 5G 8/128 GB &amp; OPPO Watch S</t>
  </si>
  <si>
    <t>OPPO Bundle A7 Pro Max 5G 8/256 GB &amp; OPPO Watch S</t>
  </si>
  <si>
    <t>OPPO Bundle A7 Pro 5G 8/256 GB &amp; OPPO Watch S</t>
  </si>
  <si>
    <t>OPPO Bundle A7 Pro 5G 8/128 GB &amp; OPPO Watch S</t>
  </si>
  <si>
    <t>*vivo X300 Ultra 16/1TB Photographer Kit</t>
  </si>
  <si>
    <t>vivo X300 Ultra 16/1TB</t>
  </si>
  <si>
    <t>vivo X300 Ultra 16/512 GB</t>
  </si>
  <si>
    <t>*vivo X Fold5 16/512 GB</t>
  </si>
  <si>
    <t>vivo X300 Pro 16/512 GB</t>
  </si>
  <si>
    <t>*vivo X200 Pro 16/512 GB</t>
  </si>
  <si>
    <t>*vivo X300 FE 12/512 GB Photographer Kit</t>
  </si>
  <si>
    <t>vivo X300 Pro 12/256 GB</t>
  </si>
  <si>
    <t>vivo X300 16/512 GB</t>
  </si>
  <si>
    <t>vivo X300 FE 12/512 GB</t>
  </si>
  <si>
    <t>vivo X300 12/256 GB</t>
  </si>
  <si>
    <t>*vivo X200 12/256 GB</t>
  </si>
  <si>
    <t>vivo X300 FE 12/256 GB</t>
  </si>
  <si>
    <t>*vivo X200 FE 12/512 GB</t>
  </si>
  <si>
    <t>vivo V70 12/512 GB</t>
  </si>
  <si>
    <t>vivo V70 12/256 GB</t>
  </si>
  <si>
    <t>vivo V70 8/256 GB</t>
  </si>
  <si>
    <t>vivo V70 FE 12/256 GB</t>
  </si>
  <si>
    <t>vivo V70 FE 8/256 GB</t>
  </si>
  <si>
    <t>vivo V80 Lite 6/256 GB</t>
  </si>
  <si>
    <t>vivo V80 Lite 6/128 GB</t>
  </si>
  <si>
    <t>vivo Y31d 6/256 GB</t>
  </si>
  <si>
    <t>vivo Y31 5G 8/256 GB</t>
  </si>
  <si>
    <t>vivo Y31d 6/128 GB</t>
  </si>
  <si>
    <t>vivo Y31 5G 8/128 GB</t>
  </si>
  <si>
    <t>vivo Y21d 6/128 GB</t>
  </si>
  <si>
    <t>vivo Y21d 6/256 GB</t>
  </si>
  <si>
    <t>vivo Y11d 4/128 GB</t>
  </si>
  <si>
    <t>vivo Y21d 4/128 GB</t>
  </si>
  <si>
    <t>vivo Y05 4/128 GB</t>
  </si>
  <si>
    <t>vivo Y05 4/64 GB</t>
  </si>
  <si>
    <t>iQOO 15 16/512 GB</t>
  </si>
  <si>
    <t>iQOO 15 12/256 GB</t>
  </si>
  <si>
    <t>iQOO 15R 12/512 GB</t>
  </si>
  <si>
    <t>iQOO 15R 12/256 GB</t>
  </si>
  <si>
    <t>iQOO Neo10 16/512 GB</t>
  </si>
  <si>
    <t>iQOO Neo10 12/256 GB</t>
  </si>
  <si>
    <t>iQOO Neo10 8/256 GB</t>
  </si>
  <si>
    <t>iQOO Z11 12/256 GB</t>
  </si>
  <si>
    <t>iQOO Z11 8/256 GB</t>
  </si>
  <si>
    <t>*iQOO Z7 12/256 GB</t>
  </si>
  <si>
    <t>iQOO Z11x 8/256 GB</t>
  </si>
  <si>
    <t>*iQOO Z10 5G 12/256 GB</t>
  </si>
  <si>
    <t>iQOO Z11x 8/128 GB</t>
  </si>
  <si>
    <t>Down 5%</t>
  </si>
  <si>
    <t>Down 10%</t>
  </si>
  <si>
    <t>realme 16 5G 8/256</t>
  </si>
  <si>
    <t>realme C100 5G 6/128</t>
  </si>
  <si>
    <t>realme C100 5G 4/128</t>
  </si>
  <si>
    <t>realme C100X 4G 4/256</t>
  </si>
  <si>
    <t>realme C100i 4G 4/128</t>
  </si>
  <si>
    <t>TECNO POVA 8 Pro 5G LAMBORGHINI 12/512</t>
  </si>
  <si>
    <t>TECNO POVA 8 Pro 5G LAMBORGHINI 12/256</t>
  </si>
  <si>
    <t>TECNO POVA 8 Pro 5G LAMBORGHINI 8/256</t>
  </si>
  <si>
    <t>TECNO POVA8 Pro 5G 8/256</t>
  </si>
  <si>
    <t>TECNO POVA8 Pro 5G 12/256</t>
  </si>
  <si>
    <t>TECNO POVA8 Pro 5G 12/512</t>
  </si>
  <si>
    <t>TECNO POVA8 5G 6/128</t>
  </si>
  <si>
    <t>TECNO POVA8 5G 8/128</t>
  </si>
  <si>
    <t>TECNO POVA8 5G 8/256</t>
  </si>
  <si>
    <t>TECNO POVA7 Ultra 5G 12/256</t>
  </si>
  <si>
    <t>TECNO MEGAPAD Pro 8/256</t>
  </si>
  <si>
    <t>TECNO MEGAPAD Pro 8/128</t>
  </si>
  <si>
    <t>REDMI Note 17 Pro Max 5G 8/512</t>
  </si>
  <si>
    <t>REDMI Note 17 Pro Max 5G 8/256</t>
  </si>
  <si>
    <t>REDMI Note 17 Pro 5G 8/256</t>
  </si>
  <si>
    <t>REDMI Note 17 Pro 5G 6/256</t>
  </si>
  <si>
    <t>OPPO Reno 15F 5G 8/256</t>
  </si>
  <si>
    <t>OPPO A6s 5G 8/256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</si>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</sst>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\-??_ ;_ @_ 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3">
    <border/>
    <border>
      <left style="thin">
        <color rgb="FFC9C9C9"/>
      </left>
      <right style="thin">
        <color rgb="FFC9C9C9"/>
      </right>
      <top style="thin">
        <color rgb="FFC9C9C9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10" xfId="0" applyAlignment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horizontal="right" vertical="center"/>
    </xf>
    <xf borderId="2" fillId="2" fontId="1" numFmtId="0" xfId="0" applyBorder="1" applyFill="1" applyFont="1"/>
    <xf borderId="2" fillId="3" fontId="1" numFmtId="0" xfId="0" applyBorder="1" applyFill="1" applyFont="1"/>
    <xf borderId="0" fillId="0" fontId="1" numFmtId="0" xfId="0" applyAlignment="1" applyFont="1">
      <alignment readingOrder="0" shrinkToFit="0" wrapText="1"/>
    </xf>
    <xf borderId="2" fillId="2" fontId="1" numFmtId="0" xfId="0" applyAlignment="1" applyBorder="1" applyFill="1" applyFont="1">
      <alignment readingOrder="0"/>
    </xf>
    <xf borderId="0" fillId="0" fontId="1" numFmtId="3" xfId="0" applyAlignment="1" applyFont="1" applyNumberFormat="1">
      <alignment horizontal="right"/>
    </xf>
    <xf borderId="2" fillId="4" fontId="1" numFmtId="0" xfId="0" applyBorder="1" applyFill="1" applyFont="1"/>
    <xf borderId="2" fillId="5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2" fillId="6" fontId="1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readingOrder="0"/>
    </xf>
    <xf borderId="0" fillId="0" fontId="1" numFmtId="3" xfId="0" applyAlignment="1" applyFont="1" applyNumberFormat="1">
      <alignment horizontal="right" readingOrder="0"/>
    </xf>
    <xf borderId="0" fillId="0" fontId="1" numFmtId="164" xfId="0" applyFont="1" applyNumberFormat="1"/>
    <xf borderId="0" fillId="0" fontId="3" numFmtId="0" xfId="0" applyAlignment="1" applyFont="1">
      <alignment readingOrder="0" vertical="bottom"/>
    </xf>
    <xf borderId="0" fillId="0" fontId="1" numFmtId="164" xfId="0" applyAlignment="1" applyFont="1" applyNumberFormat="1">
      <alignment vertical="center"/>
    </xf>
    <xf borderId="0" fillId="0" fontId="4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  <xf borderId="0" fillId="0" fontId="3" numFmtId="3" xfId="0" applyAlignment="1" applyFont="1" applyNumberFormat="1">
      <alignment readingOrder="0"/>
    </xf>
    <xf borderId="0" fillId="0" fontId="1" numFmtId="3" xfId="0" applyFont="1" applyNumberFormat="1"/>
    <xf borderId="0" fillId="0" fontId="2" numFmtId="3" xfId="0" applyAlignment="1" applyFont="1" applyNumberFormat="1">
      <alignment horizontal="right"/>
    </xf>
    <xf borderId="0" fillId="0" fontId="1" numFmtId="0" xfId="0" applyFon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63"/>
    <col customWidth="1" min="2" max="6" width="12.63"/>
  </cols>
  <sheetData>
    <row r="1">
      <c r="A1" s="4" t="s">
        <v>0</v>
      </c>
      <c r="B1" s="5" t="s">
        <v>1</v>
      </c>
      <c r="C1" s="2" t="s">
        <v>2</v>
      </c>
      <c r="D1" s="6" t="s">
        <v>3</v>
      </c>
      <c r="E1" s="7"/>
      <c r="F1" s="8" t="s">
        <v>4</v>
      </c>
      <c r="G1" s="8" t="s">
        <v>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 t="s">
        <v>7</v>
      </c>
      <c r="B2" s="11">
        <v>67999.0</v>
      </c>
      <c r="C2" s="7">
        <v>161.0</v>
      </c>
      <c r="D2" s="6">
        <f>IF(OR($A2="",LEFT($A2,1)="*"),"",IF('Detail Price'!$A$2="All",ROW(),IF(LEFT($A2,LEN('Detail Price'!$A$2))='Detail Price'!$A$2,ROW(),"")))</f>
        <v>2</v>
      </c>
      <c r="E2" s="7"/>
      <c r="F2" s="8" t="s">
        <v>22</v>
      </c>
      <c r="G2" s="8" t="s">
        <v>23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 t="s">
        <v>24</v>
      </c>
      <c r="B3" s="16">
        <v>39990.0</v>
      </c>
      <c r="C3" s="2">
        <v>1.0</v>
      </c>
      <c r="D3" s="6">
        <f>IF(OR($A3="",LEFT($A3,1)="*"),"",IF('Detail Price'!$A$2="All",ROW(),IF(LEFT($A3,LEN('Detail Price'!$A$2))='Detail Price'!$A$2,ROW(),"")))</f>
        <v>3</v>
      </c>
      <c r="E3" s="7"/>
      <c r="F3" s="8" t="s">
        <v>27</v>
      </c>
      <c r="G3" s="8" t="s">
        <v>28</v>
      </c>
      <c r="H3" s="7"/>
      <c r="I3" s="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29</v>
      </c>
      <c r="B4" s="22">
        <v>5999.0</v>
      </c>
      <c r="C4" s="2">
        <v>2.0</v>
      </c>
      <c r="D4" s="6">
        <f>IF(OR($A4="",LEFT($A4,1)="*"),"",IF('Detail Price'!$A$2="All",ROW(),IF(LEFT($A4,LEN('Detail Price'!$A$2))='Detail Price'!$A$2,ROW(),"")))</f>
        <v>4</v>
      </c>
      <c r="E4" s="7"/>
      <c r="F4" s="8" t="s">
        <v>32</v>
      </c>
      <c r="G4" s="8" t="s">
        <v>33</v>
      </c>
      <c r="H4" s="8"/>
      <c r="I4" s="2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34</v>
      </c>
      <c r="B5" s="16">
        <v>13999.0</v>
      </c>
      <c r="C5" s="2">
        <v>3.0</v>
      </c>
      <c r="D5" s="6">
        <f>IF(OR($A5="",LEFT($A5,1)="*"),"",IF('Detail Price'!$A$2="All",ROW(),IF(LEFT($A5,LEN('Detail Price'!$A$2))='Detail Price'!$A$2,ROW(),"")))</f>
        <v>5</v>
      </c>
      <c r="E5" s="7"/>
      <c r="F5" s="8" t="s">
        <v>35</v>
      </c>
      <c r="G5" s="8" t="s">
        <v>36</v>
      </c>
      <c r="H5" s="8"/>
      <c r="I5" s="2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 t="s">
        <v>37</v>
      </c>
      <c r="B6" s="16">
        <v>19999.0</v>
      </c>
      <c r="C6" s="2">
        <v>4.0</v>
      </c>
      <c r="D6" s="6">
        <f>IF(OR($A6="",LEFT($A6,1)="*"),"",IF('Detail Price'!$A$2="All",ROW(),IF(LEFT($A6,LEN('Detail Price'!$A$2))='Detail Price'!$A$2,ROW(),"")))</f>
        <v>6</v>
      </c>
      <c r="E6" s="7"/>
      <c r="F6" s="8" t="s">
        <v>38</v>
      </c>
      <c r="G6" s="8" t="s">
        <v>39</v>
      </c>
      <c r="H6" s="8"/>
      <c r="I6" s="2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 t="s">
        <v>40</v>
      </c>
      <c r="B7" s="16">
        <v>29999.0</v>
      </c>
      <c r="C7" s="2">
        <v>5.0</v>
      </c>
      <c r="D7" s="6">
        <f>IF(OR($A7="",LEFT($A7,1)="*"),"",IF('Detail Price'!$A$2="All",ROW(),IF(LEFT($A7,LEN('Detail Price'!$A$2))='Detail Price'!$A$2,ROW(),"")))</f>
        <v>7</v>
      </c>
      <c r="E7" s="7"/>
      <c r="F7" s="8" t="s">
        <v>41</v>
      </c>
      <c r="G7" s="8" t="s">
        <v>42</v>
      </c>
      <c r="H7" s="8"/>
      <c r="I7" s="2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4" t="s">
        <v>43</v>
      </c>
      <c r="B8" s="11">
        <v>8999.0</v>
      </c>
      <c r="C8" s="7">
        <v>159.0</v>
      </c>
      <c r="D8" s="7">
        <f>IF(OR($A8="",LEFT($A8,1)="*"),"",IF('Detail Price'!$A$2="All",ROW(),IF(LEFT($A8,LEN('Detail Price'!$A$2))='Detail Price'!$A$2,ROW(),"")))</f>
        <v>8</v>
      </c>
      <c r="E8" s="7"/>
      <c r="F8" s="8" t="s">
        <v>44</v>
      </c>
      <c r="G8" s="8" t="s">
        <v>45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 t="s">
        <v>46</v>
      </c>
      <c r="B9" s="11">
        <v>7999.0</v>
      </c>
      <c r="C9" s="7">
        <v>160.0</v>
      </c>
      <c r="D9" s="7">
        <f>IF(OR($A9="",LEFT($A9,1)="*"),"",IF('Detail Price'!$A$2="All",ROW(),IF(LEFT($A9,LEN('Detail Price'!$A$2))='Detail Price'!$A$2,ROW(),"")))</f>
        <v>9</v>
      </c>
      <c r="E9" s="7"/>
      <c r="F9" s="8" t="s">
        <v>47</v>
      </c>
      <c r="G9" s="8" t="s">
        <v>48</v>
      </c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 t="s">
        <v>49</v>
      </c>
      <c r="B10" s="16">
        <v>8999.0</v>
      </c>
      <c r="C10" s="2">
        <v>6.0</v>
      </c>
      <c r="D10" s="6">
        <f>IF(OR($A10="",LEFT($A10,1)="*"),"",IF('Detail Price'!$A$2="All",ROW(),IF(LEFT($A10,LEN('Detail Price'!$A$2))='Detail Price'!$A$2,ROW(),"")))</f>
        <v>10</v>
      </c>
      <c r="E10" s="7"/>
      <c r="F10" s="8" t="s">
        <v>50</v>
      </c>
      <c r="G10" s="8" t="s">
        <v>51</v>
      </c>
      <c r="H10" s="8"/>
      <c r="I10" s="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 t="s">
        <v>52</v>
      </c>
      <c r="B11" s="16">
        <v>59990.0</v>
      </c>
      <c r="C11" s="2">
        <v>7.0</v>
      </c>
      <c r="D11" s="7">
        <f>IF(OR($A11="",LEFT($A11,1)="*"),"",IF('Detail Price'!$A$2="All",ROW(),IF(LEFT($A11,LEN('Detail Price'!$A$2))='Detail Price'!$A$2,ROW(),"")))</f>
        <v>11</v>
      </c>
      <c r="E11" s="7"/>
      <c r="F11" s="8" t="s">
        <v>53</v>
      </c>
      <c r="G11" s="8" t="s">
        <v>54</v>
      </c>
      <c r="H11" s="8"/>
      <c r="I11" s="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" t="s">
        <v>55</v>
      </c>
      <c r="B12" s="22">
        <v>49990.0</v>
      </c>
      <c r="C12" s="9">
        <v>177.0</v>
      </c>
      <c r="D12" s="7">
        <f>IF(OR($A12="",LEFT($A12,1)="*"),"",IF('Detail Price'!$A$2="All",ROW(),IF(LEFT($A12,LEN('Detail Price'!$A$2))='Detail Price'!$A$2,ROW(),"")))</f>
        <v>12</v>
      </c>
      <c r="E12" s="7"/>
      <c r="F12" s="8" t="s">
        <v>56</v>
      </c>
      <c r="G12" s="8" t="s">
        <v>57</v>
      </c>
      <c r="H12" s="8"/>
      <c r="I12" s="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4" t="s">
        <v>58</v>
      </c>
      <c r="B13" s="22">
        <v>38990.0</v>
      </c>
      <c r="C13" s="9">
        <v>178.0</v>
      </c>
      <c r="D13" s="7">
        <f>IF(OR($A13="",LEFT($A13,1)="*"),"",IF('Detail Price'!$A$2="All",ROW(),IF(LEFT($A13,LEN('Detail Price'!$A$2))='Detail Price'!$A$2,ROW(),"")))</f>
        <v>13</v>
      </c>
      <c r="E13" s="7"/>
      <c r="F13" s="8" t="s">
        <v>59</v>
      </c>
      <c r="G13" s="8" t="s">
        <v>60</v>
      </c>
      <c r="H13" s="8"/>
      <c r="I13" s="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 t="s">
        <v>61</v>
      </c>
      <c r="B14" s="22">
        <v>34990.0</v>
      </c>
      <c r="C14" s="9">
        <v>179.0</v>
      </c>
      <c r="D14" s="7">
        <f>IF(OR($A14="",LEFT($A14,1)="*"),"",IF('Detail Price'!$A$2="All",ROW(),IF(LEFT($A14,LEN('Detail Price'!$A$2))='Detail Price'!$A$2,ROW(),"")))</f>
        <v>14</v>
      </c>
      <c r="E14" s="7"/>
      <c r="F14" s="8"/>
      <c r="G14" s="7"/>
      <c r="H14" s="8"/>
      <c r="I14" s="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 t="s">
        <v>62</v>
      </c>
      <c r="B15" s="16">
        <v>37990.0</v>
      </c>
      <c r="C15" s="2">
        <v>8.0</v>
      </c>
      <c r="D15" s="7">
        <f>IF(OR($A15="",LEFT($A15,1)="*"),"",IF('Detail Price'!$A$2="All",ROW(),IF(LEFT($A15,LEN('Detail Price'!$A$2))='Detail Price'!$A$2,ROW(),"")))</f>
        <v>15</v>
      </c>
      <c r="E15" s="7"/>
      <c r="F15" s="8"/>
      <c r="G15" s="7"/>
      <c r="H15" s="8"/>
      <c r="I15" s="24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 t="s">
        <v>63</v>
      </c>
      <c r="B16" s="16">
        <v>39990.0</v>
      </c>
      <c r="C16" s="2">
        <v>9.0</v>
      </c>
      <c r="D16" s="7">
        <f>IF(OR($A16="",LEFT($A16,1)="*"),"",IF('Detail Price'!$A$2="All",ROW(),IF(LEFT($A16,LEN('Detail Price'!$A$2))='Detail Price'!$A$2,ROW(),"")))</f>
        <v>16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 t="s">
        <v>64</v>
      </c>
      <c r="B17" s="16">
        <v>29990.0</v>
      </c>
      <c r="C17" s="2">
        <v>10.0</v>
      </c>
      <c r="D17" s="7">
        <f>IF(OR($A17="",LEFT($A17,1)="*"),"",IF('Detail Price'!$A$2="All",ROW(),IF(LEFT($A17,LEN('Detail Price'!$A$2))='Detail Price'!$A$2,ROW(),"")))</f>
        <v>17</v>
      </c>
      <c r="E17" s="7"/>
      <c r="F17" s="8"/>
      <c r="G17" s="7"/>
      <c r="H17" s="8"/>
      <c r="I17" s="2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 t="s">
        <v>65</v>
      </c>
      <c r="B18" s="16">
        <v>19990.0</v>
      </c>
      <c r="C18" s="2">
        <v>11.0</v>
      </c>
      <c r="D18" s="7">
        <f>IF(OR($A18="",LEFT($A18,1)="*"),"",IF('Detail Price'!$A$2="All",ROW(),IF(LEFT($A18,LEN('Detail Price'!$A$2))='Detail Price'!$A$2,ROW(),"")))</f>
        <v>18</v>
      </c>
      <c r="E18" s="7"/>
      <c r="F18" s="8"/>
      <c r="G18" s="7"/>
      <c r="H18" s="8"/>
      <c r="I18" s="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 t="s">
        <v>66</v>
      </c>
      <c r="B19" s="16">
        <v>15990.0</v>
      </c>
      <c r="C19" s="2">
        <v>12.0</v>
      </c>
      <c r="D19" s="7">
        <f>IF(OR($A19="",LEFT($A19,1)="*"),"",IF('Detail Price'!$A$2="All",ROW(),IF(LEFT($A19,LEN('Detail Price'!$A$2))='Detail Price'!$A$2,ROW(),"")))</f>
        <v>19</v>
      </c>
      <c r="E19" s="7"/>
      <c r="F19" s="8"/>
      <c r="G19" s="7"/>
      <c r="H19" s="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 t="s">
        <v>67</v>
      </c>
      <c r="B20" s="16">
        <v>11990.0</v>
      </c>
      <c r="C20" s="2">
        <v>13.0</v>
      </c>
      <c r="D20" s="7">
        <f>IF(OR($A20="",LEFT($A20,1)="*"),"",IF('Detail Price'!$A$2="All",ROW(),IF(LEFT($A20,LEN('Detail Price'!$A$2))='Detail Price'!$A$2,ROW(),"")))</f>
        <v>20</v>
      </c>
      <c r="E20" s="7"/>
      <c r="F20" s="8"/>
      <c r="G20" s="7"/>
      <c r="H20" s="8"/>
      <c r="I20" s="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4" t="s">
        <v>68</v>
      </c>
      <c r="B21" s="16">
        <v>5990.0</v>
      </c>
      <c r="C21" s="2">
        <v>14.0</v>
      </c>
      <c r="D21" s="7">
        <f>IF(OR($A21="",LEFT($A21,1)="*"),"",IF('Detail Price'!$A$2="All",ROW(),IF(LEFT($A21,LEN('Detail Price'!$A$2))='Detail Price'!$A$2,ROW(),"")))</f>
        <v>21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4" t="s">
        <v>69</v>
      </c>
      <c r="B22" s="22">
        <v>52990.0</v>
      </c>
      <c r="C22" s="9">
        <v>180.0</v>
      </c>
      <c r="D22" s="7">
        <f>IF(OR($A22="",LEFT($A22,1)="*"),"",IF('Detail Price'!$A$2="All",ROW(),IF(LEFT($A22,LEN('Detail Price'!$A$2))='Detail Price'!$A$2,ROW(),"")))</f>
        <v>22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4" t="s">
        <v>70</v>
      </c>
      <c r="B23" s="22">
        <v>39990.0</v>
      </c>
      <c r="C23" s="9">
        <v>181.0</v>
      </c>
      <c r="D23" s="7">
        <f>IF(OR($A23="",LEFT($A23,1)="*"),"",IF('Detail Price'!$A$2="All",ROW(),IF(LEFT($A23,LEN('Detail Price'!$A$2))='Detail Price'!$A$2,ROW(),"")))</f>
        <v>23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 t="s">
        <v>71</v>
      </c>
      <c r="B24" s="16">
        <v>32990.0</v>
      </c>
      <c r="C24" s="2">
        <v>15.0</v>
      </c>
      <c r="D24" s="7">
        <f>IF(OR($A24="",LEFT($A24,1)="*"),"",IF('Detail Price'!$A$2="All",ROW(),IF(LEFT($A24,LEN('Detail Price'!$A$2))='Detail Price'!$A$2,ROW(),"")))</f>
        <v>24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 t="s">
        <v>72</v>
      </c>
      <c r="B25" s="16">
        <v>27990.0</v>
      </c>
      <c r="C25" s="2">
        <v>16.0</v>
      </c>
      <c r="D25" s="7">
        <f>IF(OR($A25="",LEFT($A25,1)="*"),"",IF('Detail Price'!$A$2="All",ROW(),IF(LEFT($A25,LEN('Detail Price'!$A$2))='Detail Price'!$A$2,ROW(),"")))</f>
        <v>25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 t="s">
        <v>73</v>
      </c>
      <c r="B26" s="16">
        <v>11990.0</v>
      </c>
      <c r="C26" s="2">
        <v>17.0</v>
      </c>
      <c r="D26" s="7">
        <f>IF(OR($A26="",LEFT($A26,1)="*"),"",IF('Detail Price'!$A$2="All",ROW(),IF(LEFT($A26,LEN('Detail Price'!$A$2))='Detail Price'!$A$2,ROW(),"")))</f>
        <v>26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4" t="s">
        <v>74</v>
      </c>
      <c r="B27" s="16">
        <v>13990.0</v>
      </c>
      <c r="C27" s="2">
        <v>18.0</v>
      </c>
      <c r="D27" s="7">
        <f>IF(OR($A27="",LEFT($A27,1)="*"),"",IF('Detail Price'!$A$2="All",ROW(),IF(LEFT($A27,LEN('Detail Price'!$A$2))='Detail Price'!$A$2,ROW(),"")))</f>
        <v>27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 t="s">
        <v>75</v>
      </c>
      <c r="B28" s="16">
        <v>18990.0</v>
      </c>
      <c r="C28" s="2">
        <v>19.0</v>
      </c>
      <c r="D28" s="7">
        <f>IF(OR($A28="",LEFT($A28,1)="*"),"",IF('Detail Price'!$A$2="All",ROW(),IF(LEFT($A28,LEN('Detail Price'!$A$2))='Detail Price'!$A$2,ROW(),"")))</f>
        <v>28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4" t="s">
        <v>76</v>
      </c>
      <c r="B29" s="16">
        <v>19990.0</v>
      </c>
      <c r="C29" s="2">
        <v>20.0</v>
      </c>
      <c r="D29" s="7">
        <f>IF(OR($A29="",LEFT($A29,1)="*"),"",IF('Detail Price'!$A$2="All",ROW(),IF(LEFT($A29,LEN('Detail Price'!$A$2))='Detail Price'!$A$2,ROW(),"")))</f>
        <v>29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9" t="s">
        <v>77</v>
      </c>
      <c r="B30" s="16">
        <v>7990.0</v>
      </c>
      <c r="C30" s="2">
        <v>21.0</v>
      </c>
      <c r="D30" s="7">
        <f>IF(OR($A30="",LEFT($A30,1)="*"),"",IF('Detail Price'!$A$2="All",ROW(),IF(LEFT($A30,LEN('Detail Price'!$A$2))='Detail Price'!$A$2,ROW(),"")))</f>
        <v>30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4" t="s">
        <v>78</v>
      </c>
      <c r="B31" s="22">
        <v>19999.0</v>
      </c>
      <c r="C31" s="9">
        <v>253.0</v>
      </c>
      <c r="D31" s="7">
        <f>IF(OR($A31="",LEFT($A31,1)="*"),"",IF('Detail Price'!$A$2="All",ROW(),IF(LEFT($A31,LEN('Detail Price'!$A$2))='Detail Price'!$A$2,ROW(),"")))</f>
        <v>31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4" t="s">
        <v>79</v>
      </c>
      <c r="B32" s="16">
        <v>15999.0</v>
      </c>
      <c r="C32" s="2">
        <v>22.0</v>
      </c>
      <c r="D32" s="7">
        <f>IF(OR($A32="",LEFT($A32,1)="*"),"",IF('Detail Price'!$A$2="All",ROW(),IF(LEFT($A32,LEN('Detail Price'!$A$2))='Detail Price'!$A$2,ROW(),"")))</f>
        <v>32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4" t="s">
        <v>80</v>
      </c>
      <c r="B33" s="16">
        <v>13999.0</v>
      </c>
      <c r="C33" s="2">
        <v>23.0</v>
      </c>
      <c r="D33" s="7">
        <f>IF(OR($A33="",LEFT($A33,1)="*"),"",IF('Detail Price'!$A$2="All",ROW(),IF(LEFT($A33,LEN('Detail Price'!$A$2))='Detail Price'!$A$2,ROW(),"")))</f>
        <v>33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4" t="s">
        <v>81</v>
      </c>
      <c r="B34" s="16">
        <v>12999.0</v>
      </c>
      <c r="C34" s="2">
        <v>24.0</v>
      </c>
      <c r="D34" s="7">
        <f>IF(OR($A34="",LEFT($A34,1)="*"),"",IF('Detail Price'!$A$2="All",ROW(),IF(LEFT($A34,LEN('Detail Price'!$A$2))='Detail Price'!$A$2,ROW(),"")))</f>
        <v>34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4" t="s">
        <v>82</v>
      </c>
      <c r="B35" s="16">
        <v>12999.0</v>
      </c>
      <c r="C35" s="2">
        <v>25.0</v>
      </c>
      <c r="D35" s="7">
        <f>IF(OR($A35="",LEFT($A35,1)="*"),"",IF('Detail Price'!$A$2="All",ROW(),IF(LEFT($A35,LEN('Detail Price'!$A$2))='Detail Price'!$A$2,ROW(),"")))</f>
        <v>35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4" t="s">
        <v>83</v>
      </c>
      <c r="B36" s="22">
        <v>11999.0</v>
      </c>
      <c r="C36" s="2">
        <v>26.0</v>
      </c>
      <c r="D36" s="7">
        <f>IF(OR($A36="",LEFT($A36,1)="*"),"",IF('Detail Price'!$A$2="All",ROW(),IF(LEFT($A36,LEN('Detail Price'!$A$2))='Detail Price'!$A$2,ROW(),"")))</f>
        <v>36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4" t="s">
        <v>84</v>
      </c>
      <c r="B37" s="16">
        <v>9999.0</v>
      </c>
      <c r="C37" s="2">
        <v>27.0</v>
      </c>
      <c r="D37" s="7">
        <f>IF(OR($A37="",LEFT($A37,1)="*"),"",IF('Detail Price'!$A$2="All",ROW(),IF(LEFT($A37,LEN('Detail Price'!$A$2))='Detail Price'!$A$2,ROW(),"")))</f>
        <v>37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4" t="s">
        <v>85</v>
      </c>
      <c r="B38" s="16">
        <v>8499.0</v>
      </c>
      <c r="C38" s="2">
        <v>28.0</v>
      </c>
      <c r="D38" s="7">
        <f>IF(OR($A38="",LEFT($A38,1)="*"),"",IF('Detail Price'!$A$2="All",ROW(),IF(LEFT($A38,LEN('Detail Price'!$A$2))='Detail Price'!$A$2,ROW(),"")))</f>
        <v>38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4" t="s">
        <v>86</v>
      </c>
      <c r="B39" s="16">
        <v>8499.0</v>
      </c>
      <c r="C39" s="2">
        <v>29.0</v>
      </c>
      <c r="D39" s="7">
        <f>IF(OR($A39="",LEFT($A39,1)="*"),"",IF('Detail Price'!$A$2="All",ROW(),IF(LEFT($A39,LEN('Detail Price'!$A$2))='Detail Price'!$A$2,ROW(),"")))</f>
        <v>39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4" t="s">
        <v>87</v>
      </c>
      <c r="B40" s="16">
        <v>7999.0</v>
      </c>
      <c r="C40" s="2">
        <v>30.0</v>
      </c>
      <c r="D40" s="7">
        <f>IF(OR($A40="",LEFT($A40,1)="*"),"",IF('Detail Price'!$A$2="All",ROW(),IF(LEFT($A40,LEN('Detail Price'!$A$2))='Detail Price'!$A$2,ROW(),"")))</f>
        <v>40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4" t="s">
        <v>88</v>
      </c>
      <c r="B41" s="16">
        <v>7499.0</v>
      </c>
      <c r="C41" s="2">
        <v>31.0</v>
      </c>
      <c r="D41" s="7">
        <f>IF(OR($A41="",LEFT($A41,1)="*"),"",IF('Detail Price'!$A$2="All",ROW(),IF(LEFT($A41,LEN('Detail Price'!$A$2))='Detail Price'!$A$2,ROW(),"")))</f>
        <v>41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4" t="s">
        <v>89</v>
      </c>
      <c r="B42" s="16">
        <v>6499.0</v>
      </c>
      <c r="C42" s="2">
        <v>32.0</v>
      </c>
      <c r="D42" s="7">
        <f>IF(OR($A42="",LEFT($A42,1)="*"),"",IF('Detail Price'!$A$2="All",ROW(),IF(LEFT($A42,LEN('Detail Price'!$A$2))='Detail Price'!$A$2,ROW(),"")))</f>
        <v>42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4" t="s">
        <v>90</v>
      </c>
      <c r="B43" s="16">
        <v>5899.0</v>
      </c>
      <c r="C43" s="2">
        <v>33.0</v>
      </c>
      <c r="D43" s="7">
        <f>IF(OR($A43="",LEFT($A43,1)="*"),"",IF('Detail Price'!$A$2="All",ROW(),IF(LEFT($A43,LEN('Detail Price'!$A$2))='Detail Price'!$A$2,ROW(),"")))</f>
        <v>43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4" t="s">
        <v>91</v>
      </c>
      <c r="B44" s="22">
        <v>6499.0</v>
      </c>
      <c r="C44" s="2">
        <v>34.0</v>
      </c>
      <c r="D44" s="7">
        <f>IF(OR($A44="",LEFT($A44,1)="*"),"",IF('Detail Price'!$A$2="All",ROW(),IF(LEFT($A44,LEN('Detail Price'!$A$2))='Detail Price'!$A$2,ROW(),"")))</f>
        <v>44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4" t="s">
        <v>92</v>
      </c>
      <c r="B45" s="16">
        <v>7999.0</v>
      </c>
      <c r="C45" s="2">
        <v>35.0</v>
      </c>
      <c r="D45" s="7">
        <f>IF(OR($A45="",LEFT($A45,1)="*"),"",IF('Detail Price'!$A$2="All",ROW(),IF(LEFT($A45,LEN('Detail Price'!$A$2))='Detail Price'!$A$2,ROW(),"")))</f>
        <v>45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4" t="s">
        <v>93</v>
      </c>
      <c r="B46" s="16">
        <v>5499.0</v>
      </c>
      <c r="C46" s="2">
        <v>36.0</v>
      </c>
      <c r="D46" s="7">
        <f>IF(OR($A46="",LEFT($A46,1)="*"),"",IF('Detail Price'!$A$2="All",ROW(),IF(LEFT($A46,LEN('Detail Price'!$A$2))='Detail Price'!$A$2,ROW(),"")))</f>
        <v>46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4" t="s">
        <v>94</v>
      </c>
      <c r="B47" s="16">
        <v>14999.0</v>
      </c>
      <c r="C47" s="2">
        <v>37.0</v>
      </c>
      <c r="D47" s="7">
        <f>IF(OR($A47="",LEFT($A47,1)="*"),"",IF('Detail Price'!$A$2="All",ROW(),IF(LEFT($A47,LEN('Detail Price'!$A$2))='Detail Price'!$A$2,ROW(),"")))</f>
        <v>47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4" t="s">
        <v>95</v>
      </c>
      <c r="B48" s="16">
        <v>11999.0</v>
      </c>
      <c r="C48" s="2">
        <v>38.0</v>
      </c>
      <c r="D48" s="7">
        <f>IF(OR($A48="",LEFT($A48,1)="*"),"",IF('Detail Price'!$A$2="All",ROW(),IF(LEFT($A48,LEN('Detail Price'!$A$2))='Detail Price'!$A$2,ROW(),"")))</f>
        <v>48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4" t="s">
        <v>96</v>
      </c>
      <c r="B49" s="16">
        <v>8999.0</v>
      </c>
      <c r="C49" s="2">
        <v>39.0</v>
      </c>
      <c r="D49" s="7">
        <f>IF(OR($A49="",LEFT($A49,1)="*"),"",IF('Detail Price'!$A$2="All",ROW(),IF(LEFT($A49,LEN('Detail Price'!$A$2))='Detail Price'!$A$2,ROW(),"")))</f>
        <v>49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4" t="s">
        <v>97</v>
      </c>
      <c r="B50" s="16">
        <v>7999.0</v>
      </c>
      <c r="C50" s="2">
        <v>40.0</v>
      </c>
      <c r="D50" s="7">
        <f>IF(OR($A50="",LEFT($A50,1)="*"),"",IF('Detail Price'!$A$2="All",ROW(),IF(LEFT($A50,LEN('Detail Price'!$A$2))='Detail Price'!$A$2,ROW(),"")))</f>
        <v>50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4" t="s">
        <v>98</v>
      </c>
      <c r="B51" s="16">
        <v>8499.0</v>
      </c>
      <c r="C51" s="2">
        <v>41.0</v>
      </c>
      <c r="D51" s="7">
        <f>IF(OR($A51="",LEFT($A51,1)="*"),"",IF('Detail Price'!$A$2="All",ROW(),IF(LEFT($A51,LEN('Detail Price'!$A$2))='Detail Price'!$A$2,ROW(),"")))</f>
        <v>51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4" t="s">
        <v>99</v>
      </c>
      <c r="B52" s="16">
        <v>7499.0</v>
      </c>
      <c r="C52" s="2">
        <v>42.0</v>
      </c>
      <c r="D52" s="7">
        <f>IF(OR($A52="",LEFT($A52,1)="*"),"",IF('Detail Price'!$A$2="All",ROW(),IF(LEFT($A52,LEN('Detail Price'!$A$2))='Detail Price'!$A$2,ROW(),"")))</f>
        <v>52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4" t="s">
        <v>100</v>
      </c>
      <c r="B53" s="16">
        <v>6499.0</v>
      </c>
      <c r="C53" s="2">
        <v>43.0</v>
      </c>
      <c r="D53" s="7">
        <f>IF(OR($A53="",LEFT($A53,1)="*"),"",IF('Detail Price'!$A$2="All",ROW(),IF(LEFT($A53,LEN('Detail Price'!$A$2))='Detail Price'!$A$2,ROW(),"")))</f>
        <v>53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4" t="s">
        <v>101</v>
      </c>
      <c r="B54" s="16">
        <v>23999.0</v>
      </c>
      <c r="C54" s="2">
        <v>44.0</v>
      </c>
      <c r="D54" s="7">
        <f>IF(OR($A54="",LEFT($A54,1)="*"),"",IF('Detail Price'!$A$2="All",ROW(),IF(LEFT($A54,LEN('Detail Price'!$A$2))='Detail Price'!$A$2,ROW(),"")))</f>
        <v>54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4" t="s">
        <v>102</v>
      </c>
      <c r="B55" s="16">
        <v>17499.0</v>
      </c>
      <c r="C55" s="2">
        <v>45.0</v>
      </c>
      <c r="D55" s="7">
        <f>IF(OR($A55="",LEFT($A55,1)="*"),"",IF('Detail Price'!$A$2="All",ROW(),IF(LEFT($A55,LEN('Detail Price'!$A$2))='Detail Price'!$A$2,ROW(),"")))</f>
        <v>55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4" t="s">
        <v>103</v>
      </c>
      <c r="B56" s="16">
        <v>18999.0</v>
      </c>
      <c r="C56" s="2">
        <v>46.0</v>
      </c>
      <c r="D56" s="7">
        <f>IF(OR($A56="",LEFT($A56,1)="*"),"",IF('Detail Price'!$A$2="All",ROW(),IF(LEFT($A56,LEN('Detail Price'!$A$2))='Detail Price'!$A$2,ROW(),"")))</f>
        <v>56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4" t="s">
        <v>104</v>
      </c>
      <c r="B57" s="16">
        <v>16999.0</v>
      </c>
      <c r="C57" s="2">
        <v>47.0</v>
      </c>
      <c r="D57" s="7">
        <f>IF(OR($A57="",LEFT($A57,1)="*"),"",IF('Detail Price'!$A$2="All",ROW(),IF(LEFT($A57,LEN('Detail Price'!$A$2))='Detail Price'!$A$2,ROW(),"")))</f>
        <v>57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4" t="s">
        <v>105</v>
      </c>
      <c r="B58" s="16">
        <v>13999.0</v>
      </c>
      <c r="C58" s="2">
        <v>48.0</v>
      </c>
      <c r="D58" s="7">
        <f>IF(OR($A58="",LEFT($A58,1)="*"),"",IF('Detail Price'!$A$2="All",ROW(),IF(LEFT($A58,LEN('Detail Price'!$A$2))='Detail Price'!$A$2,ROW(),"")))</f>
        <v>58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4" t="s">
        <v>106</v>
      </c>
      <c r="B59" s="22">
        <v>16999.0</v>
      </c>
      <c r="C59" s="9">
        <v>182.0</v>
      </c>
      <c r="D59" s="7" t="str">
        <f>IF(OR($A59="",LEFT($A59,1)="*"),"",IF('Detail Price'!$A$2="All",ROW(),IF(LEFT($A59,LEN('Detail Price'!$A$2))='Detail Price'!$A$2,ROW(),"")))</f>
        <v/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4" t="s">
        <v>107</v>
      </c>
      <c r="B60" s="16">
        <v>9999.0</v>
      </c>
      <c r="C60" s="2">
        <v>49.0</v>
      </c>
      <c r="D60" s="7">
        <f>IF(OR($A60="",LEFT($A60,1)="*"),"",IF('Detail Price'!$A$2="All",ROW(),IF(LEFT($A60,LEN('Detail Price'!$A$2))='Detail Price'!$A$2,ROW(),"")))</f>
        <v>60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4" t="s">
        <v>108</v>
      </c>
      <c r="B61" s="16">
        <v>8999.0</v>
      </c>
      <c r="C61" s="2">
        <v>50.0</v>
      </c>
      <c r="D61" s="7">
        <f>IF(OR($A61="",LEFT($A61,1)="*"),"",IF('Detail Price'!$A$2="All",ROW(),IF(LEFT($A61,LEN('Detail Price'!$A$2))='Detail Price'!$A$2,ROW(),"")))</f>
        <v>61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4" t="s">
        <v>109</v>
      </c>
      <c r="B62" s="16">
        <v>5999.0</v>
      </c>
      <c r="C62" s="2">
        <v>51.0</v>
      </c>
      <c r="D62" s="7">
        <f>IF(OR($A62="",LEFT($A62,1)="*"),"",IF('Detail Price'!$A$2="All",ROW(),IF(LEFT($A62,LEN('Detail Price'!$A$2))='Detail Price'!$A$2,ROW(),"")))</f>
        <v>62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4" t="s">
        <v>110</v>
      </c>
      <c r="B63" s="22">
        <v>8499.0</v>
      </c>
      <c r="C63" s="2">
        <v>52.0</v>
      </c>
      <c r="D63" s="7">
        <f>IF(OR($A63="",LEFT($A63,1)="*"),"",IF('Detail Price'!$A$2="All",ROW(),IF(LEFT($A63,LEN('Detail Price'!$A$2))='Detail Price'!$A$2,ROW(),"")))</f>
        <v>63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4" t="s">
        <v>111</v>
      </c>
      <c r="B64" s="22">
        <v>7999.0</v>
      </c>
      <c r="C64" s="2">
        <v>53.0</v>
      </c>
      <c r="D64" s="7">
        <f>IF(OR($A64="",LEFT($A64,1)="*"),"",IF('Detail Price'!$A$2="All",ROW(),IF(LEFT($A64,LEN('Detail Price'!$A$2))='Detail Price'!$A$2,ROW(),"")))</f>
        <v>64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4" t="s">
        <v>112</v>
      </c>
      <c r="B65" s="16">
        <v>6999.0</v>
      </c>
      <c r="C65" s="2">
        <v>54.0</v>
      </c>
      <c r="D65" s="7">
        <f>IF(OR($A65="",LEFT($A65,1)="*"),"",IF('Detail Price'!$A$2="All",ROW(),IF(LEFT($A65,LEN('Detail Price'!$A$2))='Detail Price'!$A$2,ROW(),"")))</f>
        <v>65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4" t="s">
        <v>113</v>
      </c>
      <c r="B66" s="22">
        <v>6499.0</v>
      </c>
      <c r="C66" s="2">
        <v>56.0</v>
      </c>
      <c r="D66" s="7">
        <f>IF(OR($A66="",LEFT($A66,1)="*"),"",IF('Detail Price'!$A$2="All",ROW(),IF(LEFT($A66,LEN('Detail Price'!$A$2))='Detail Price'!$A$2,ROW(),"")))</f>
        <v>66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4" t="s">
        <v>114</v>
      </c>
      <c r="B67" s="22">
        <v>4999.0</v>
      </c>
      <c r="C67" s="9">
        <v>249.0</v>
      </c>
      <c r="D67" s="7">
        <f>IF(OR($A67="",LEFT($A67,1)="*"),"",IF('Detail Price'!$A$2="All",ROW(),IF(LEFT($A67,LEN('Detail Price'!$A$2))='Detail Price'!$A$2,ROW(),"")))</f>
        <v>67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4" t="s">
        <v>115</v>
      </c>
      <c r="B68" s="16">
        <v>14999.0</v>
      </c>
      <c r="C68" s="2">
        <v>55.0</v>
      </c>
      <c r="D68" s="7">
        <f>IF(OR($A68="",LEFT($A68,1)="*"),"",IF('Detail Price'!$A$2="All",ROW(),IF(LEFT($A68,LEN('Detail Price'!$A$2))='Detail Price'!$A$2,ROW(),"")))</f>
        <v>68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4" t="s">
        <v>116</v>
      </c>
      <c r="B69" s="16">
        <v>5999.0</v>
      </c>
      <c r="C69" s="2">
        <v>57.0</v>
      </c>
      <c r="D69" s="7">
        <f>IF(OR($A69="",LEFT($A69,1)="*"),"",IF('Detail Price'!$A$2="All",ROW(),IF(LEFT($A69,LEN('Detail Price'!$A$2))='Detail Price'!$A$2,ROW(),"")))</f>
        <v>69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4" t="s">
        <v>117</v>
      </c>
      <c r="B70" s="16">
        <v>6999.0</v>
      </c>
      <c r="C70" s="2">
        <v>58.0</v>
      </c>
      <c r="D70" s="7">
        <f>IF(OR($A70="",LEFT($A70,1)="*"),"",IF('Detail Price'!$A$2="All",ROW(),IF(LEFT($A70,LEN('Detail Price'!$A$2))='Detail Price'!$A$2,ROW(),"")))</f>
        <v>70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4" t="s">
        <v>118</v>
      </c>
      <c r="B71" s="16">
        <v>7999.0</v>
      </c>
      <c r="C71" s="2">
        <v>59.0</v>
      </c>
      <c r="D71" s="7">
        <f>IF(OR($A71="",LEFT($A71,1)="*"),"",IF('Detail Price'!$A$2="All",ROW(),IF(LEFT($A71,LEN('Detail Price'!$A$2))='Detail Price'!$A$2,ROW(),"")))</f>
        <v>71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4" t="s">
        <v>119</v>
      </c>
      <c r="B72" s="16">
        <v>9299.0</v>
      </c>
      <c r="C72" s="2">
        <v>60.0</v>
      </c>
      <c r="D72" s="7">
        <f>IF(OR($A72="",LEFT($A72,1)="*"),"",IF('Detail Price'!$A$2="All",ROW(),IF(LEFT($A72,LEN('Detail Price'!$A$2))='Detail Price'!$A$2,ROW(),"")))</f>
        <v>72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4" t="s">
        <v>120</v>
      </c>
      <c r="B73" s="16">
        <v>10999.0</v>
      </c>
      <c r="C73" s="2">
        <v>61.0</v>
      </c>
      <c r="D73" s="7">
        <f>IF(OR($A73="",LEFT($A73,1)="*"),"",IF('Detail Price'!$A$2="All",ROW(),IF(LEFT($A73,LEN('Detail Price'!$A$2))='Detail Price'!$A$2,ROW(),"")))</f>
        <v>73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4" t="s">
        <v>121</v>
      </c>
      <c r="B74" s="16">
        <v>20999.0</v>
      </c>
      <c r="C74" s="2">
        <v>62.0</v>
      </c>
      <c r="D74" s="7">
        <f>IF(OR($A74="",LEFT($A74,1)="*"),"",IF('Detail Price'!$A$2="All",ROW(),IF(LEFT($A74,LEN('Detail Price'!$A$2))='Detail Price'!$A$2,ROW(),"")))</f>
        <v>74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4" t="s">
        <v>122</v>
      </c>
      <c r="B75" s="16">
        <v>17999.0</v>
      </c>
      <c r="C75" s="2">
        <v>63.0</v>
      </c>
      <c r="D75" s="7">
        <f>IF(OR($A75="",LEFT($A75,1)="*"),"",IF('Detail Price'!$A$2="All",ROW(),IF(LEFT($A75,LEN('Detail Price'!$A$2))='Detail Price'!$A$2,ROW(),"")))</f>
        <v>75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4" t="s">
        <v>123</v>
      </c>
      <c r="B76" s="16">
        <v>16999.0</v>
      </c>
      <c r="C76" s="2">
        <v>64.0</v>
      </c>
      <c r="D76" s="7">
        <f>IF(OR($A76="",LEFT($A76,1)="*"),"",IF('Detail Price'!$A$2="All",ROW(),IF(LEFT($A76,LEN('Detail Price'!$A$2))='Detail Price'!$A$2,ROW(),"")))</f>
        <v>76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4" t="s">
        <v>124</v>
      </c>
      <c r="B77" s="16">
        <v>13999.0</v>
      </c>
      <c r="C77" s="2">
        <v>65.0</v>
      </c>
      <c r="D77" s="7">
        <f>IF(OR($A77="",LEFT($A77,1)="*"),"",IF('Detail Price'!$A$2="All",ROW(),IF(LEFT($A77,LEN('Detail Price'!$A$2))='Detail Price'!$A$2,ROW(),"")))</f>
        <v>77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4" t="s">
        <v>125</v>
      </c>
      <c r="B78" s="16">
        <v>11999.0</v>
      </c>
      <c r="C78" s="2">
        <v>66.0</v>
      </c>
      <c r="D78" s="7">
        <f>IF(OR($A78="",LEFT($A78,1)="*"),"",IF('Detail Price'!$A$2="All",ROW(),IF(LEFT($A78,LEN('Detail Price'!$A$2))='Detail Price'!$A$2,ROW(),"")))</f>
        <v>78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4" t="s">
        <v>126</v>
      </c>
      <c r="B79" s="16">
        <v>13999.0</v>
      </c>
      <c r="C79" s="2">
        <v>67.0</v>
      </c>
      <c r="D79" s="7">
        <f>IF(OR($A79="",LEFT($A79,1)="*"),"",IF('Detail Price'!$A$2="All",ROW(),IF(LEFT($A79,LEN('Detail Price'!$A$2))='Detail Price'!$A$2,ROW(),"")))</f>
        <v>79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4" t="s">
        <v>127</v>
      </c>
      <c r="B80" s="16">
        <v>15999.0</v>
      </c>
      <c r="C80" s="2">
        <v>68.0</v>
      </c>
      <c r="D80" s="7">
        <f>IF(OR($A80="",LEFT($A80,1)="*"),"",IF('Detail Price'!$A$2="All",ROW(),IF(LEFT($A80,LEN('Detail Price'!$A$2))='Detail Price'!$A$2,ROW(),"")))</f>
        <v>80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4" t="s">
        <v>128</v>
      </c>
      <c r="B81" s="16">
        <v>42900.0</v>
      </c>
      <c r="C81" s="2">
        <v>69.0</v>
      </c>
      <c r="D81" s="7">
        <f>IF(OR($A81="",LEFT($A81,1)="*"),"",IF('Detail Price'!$A$2="All",ROW(),IF(LEFT($A81,LEN('Detail Price'!$A$2))='Detail Price'!$A$2,ROW(),"")))</f>
        <v>81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4" t="s">
        <v>129</v>
      </c>
      <c r="B82" s="16">
        <v>47900.0</v>
      </c>
      <c r="C82" s="2">
        <v>70.0</v>
      </c>
      <c r="D82" s="7">
        <f>IF(OR($A82="",LEFT($A82,1)="*"),"",IF('Detail Price'!$A$2="All",ROW(),IF(LEFT($A82,LEN('Detail Price'!$A$2))='Detail Price'!$A$2,ROW(),"")))</f>
        <v>82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4" t="s">
        <v>130</v>
      </c>
      <c r="B83" s="16">
        <v>40900.0</v>
      </c>
      <c r="C83" s="2">
        <v>71.0</v>
      </c>
      <c r="D83" s="7">
        <f>IF(OR($A83="",LEFT($A83,1)="*"),"",IF('Detail Price'!$A$2="All",ROW(),IF(LEFT($A83,LEN('Detail Price'!$A$2))='Detail Price'!$A$2,ROW(),"")))</f>
        <v>83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 t="s">
        <v>131</v>
      </c>
      <c r="B84" s="16">
        <v>48900.0</v>
      </c>
      <c r="C84" s="2">
        <v>72.0</v>
      </c>
      <c r="D84" s="7">
        <f>IF(OR($A84="",LEFT($A84,1)="*"),"",IF('Detail Price'!$A$2="All",ROW(),IF(LEFT($A84,LEN('Detail Price'!$A$2))='Detail Price'!$A$2,ROW(),"")))</f>
        <v>84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 t="s">
        <v>132</v>
      </c>
      <c r="B85" s="16">
        <v>32900.0</v>
      </c>
      <c r="C85" s="2">
        <v>73.0</v>
      </c>
      <c r="D85" s="7">
        <f>IF(OR($A85="",LEFT($A85,1)="*"),"",IF('Detail Price'!$A$2="All",ROW(),IF(LEFT($A85,LEN('Detail Price'!$A$2))='Detail Price'!$A$2,ROW(),"")))</f>
        <v>85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 t="s">
        <v>133</v>
      </c>
      <c r="B86" s="16">
        <v>36900.0</v>
      </c>
      <c r="C86" s="2">
        <v>74.0</v>
      </c>
      <c r="D86" s="7">
        <f>IF(OR($A86="",LEFT($A86,1)="*"),"",IF('Detail Price'!$A$2="All",ROW(),IF(LEFT($A86,LEN('Detail Price'!$A$2))='Detail Price'!$A$2,ROW(),"")))</f>
        <v>86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 t="s">
        <v>134</v>
      </c>
      <c r="B87" s="16">
        <v>63900.0</v>
      </c>
      <c r="C87" s="2">
        <v>75.0</v>
      </c>
      <c r="D87" s="7">
        <f>IF(OR($A87="",LEFT($A87,1)="*"),"",IF('Detail Price'!$A$2="All",ROW(),IF(LEFT($A87,LEN('Detail Price'!$A$2))='Detail Price'!$A$2,ROW(),"")))</f>
        <v>87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 t="s">
        <v>135</v>
      </c>
      <c r="B88" s="16">
        <v>68900.0</v>
      </c>
      <c r="C88" s="2">
        <v>76.0</v>
      </c>
      <c r="D88" s="7">
        <f>IF(OR($A88="",LEFT($A88,1)="*"),"",IF('Detail Price'!$A$2="All",ROW(),IF(LEFT($A88,LEN('Detail Price'!$A$2))='Detail Price'!$A$2,ROW(),"")))</f>
        <v>88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 t="s">
        <v>136</v>
      </c>
      <c r="B89" s="16">
        <v>78900.0</v>
      </c>
      <c r="C89" s="2">
        <v>77.0</v>
      </c>
      <c r="D89" s="7">
        <f>IF(OR($A89="",LEFT($A89,1)="*"),"",IF('Detail Price'!$A$2="All",ROW(),IF(LEFT($A89,LEN('Detail Price'!$A$2))='Detail Price'!$A$2,ROW(),"")))</f>
        <v>89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 t="s">
        <v>137</v>
      </c>
      <c r="B90" s="16">
        <v>67900.0</v>
      </c>
      <c r="C90" s="2">
        <v>78.0</v>
      </c>
      <c r="D90" s="7">
        <f>IF(OR($A90="",LEFT($A90,1)="*"),"",IF('Detail Price'!$A$2="All",ROW(),IF(LEFT($A90,LEN('Detail Price'!$A$2))='Detail Price'!$A$2,ROW(),"")))</f>
        <v>90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 t="s">
        <v>138</v>
      </c>
      <c r="B91" s="16">
        <v>75900.0</v>
      </c>
      <c r="C91" s="2">
        <v>79.0</v>
      </c>
      <c r="D91" s="7">
        <f>IF(OR($A91="",LEFT($A91,1)="*"),"",IF('Detail Price'!$A$2="All",ROW(),IF(LEFT($A91,LEN('Detail Price'!$A$2))='Detail Price'!$A$2,ROW(),"")))</f>
        <v>91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2" t="s">
        <v>139</v>
      </c>
      <c r="B92" s="16">
        <v>87900.0</v>
      </c>
      <c r="C92" s="2">
        <v>80.0</v>
      </c>
      <c r="D92" s="7">
        <f>IF(OR($A92="",LEFT($A92,1)="*"),"",IF('Detail Price'!$A$2="All",ROW(),IF(LEFT($A92,LEN('Detail Price'!$A$2))='Detail Price'!$A$2,ROW(),"")))</f>
        <v>92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 t="s">
        <v>140</v>
      </c>
      <c r="B93" s="16">
        <v>27900.0</v>
      </c>
      <c r="C93" s="2">
        <v>81.0</v>
      </c>
      <c r="D93" s="7">
        <f>IF(OR($A93="",LEFT($A93,1)="*"),"",IF('Detail Price'!$A$2="All",ROW(),IF(LEFT($A93,LEN('Detail Price'!$A$2))='Detail Price'!$A$2,ROW(),"")))</f>
        <v>93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 t="s">
        <v>141</v>
      </c>
      <c r="B94" s="16">
        <v>32900.0</v>
      </c>
      <c r="C94" s="2">
        <v>82.0</v>
      </c>
      <c r="D94" s="7">
        <f>IF(OR($A94="",LEFT($A94,1)="*"),"",IF('Detail Price'!$A$2="All",ROW(),IF(LEFT($A94,LEN('Detail Price'!$A$2))='Detail Price'!$A$2,ROW(),"")))</f>
        <v>94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 t="s">
        <v>142</v>
      </c>
      <c r="B95" s="16">
        <v>33900.0</v>
      </c>
      <c r="C95" s="2">
        <v>83.0</v>
      </c>
      <c r="D95" s="7">
        <f>IF(OR($A95="",LEFT($A95,1)="*"),"",IF('Detail Price'!$A$2="All",ROW(),IF(LEFT($A95,LEN('Detail Price'!$A$2))='Detail Price'!$A$2,ROW(),"")))</f>
        <v>95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 t="s">
        <v>143</v>
      </c>
      <c r="B96" s="16">
        <v>38900.0</v>
      </c>
      <c r="C96" s="2">
        <v>84.0</v>
      </c>
      <c r="D96" s="7">
        <f>IF(OR($A96="",LEFT($A96,1)="*"),"",IF('Detail Price'!$A$2="All",ROW(),IF(LEFT($A96,LEN('Detail Price'!$A$2))='Detail Price'!$A$2,ROW(),"")))</f>
        <v>96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 t="s">
        <v>144</v>
      </c>
      <c r="B97" s="16">
        <v>48900.0</v>
      </c>
      <c r="C97" s="2">
        <v>85.0</v>
      </c>
      <c r="D97" s="7">
        <f>IF(OR($A97="",LEFT($A97,1)="*"),"",IF('Detail Price'!$A$2="All",ROW(),IF(LEFT($A97,LEN('Detail Price'!$A$2))='Detail Price'!$A$2,ROW(),"")))</f>
        <v>97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2" t="s">
        <v>145</v>
      </c>
      <c r="B98" s="16">
        <v>58900.0</v>
      </c>
      <c r="C98" s="2">
        <v>86.0</v>
      </c>
      <c r="D98" s="7">
        <f>IF(OR($A98="",LEFT($A98,1)="*"),"",IF('Detail Price'!$A$2="All",ROW(),IF(LEFT($A98,LEN('Detail Price'!$A$2))='Detail Price'!$A$2,ROW(),"")))</f>
        <v>98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 t="s">
        <v>146</v>
      </c>
      <c r="B99" s="16">
        <v>22900.0</v>
      </c>
      <c r="C99" s="2">
        <v>87.0</v>
      </c>
      <c r="D99" s="7">
        <f>IF(OR($A99="",LEFT($A99,1)="*"),"",IF('Detail Price'!$A$2="All",ROW(),IF(LEFT($A99,LEN('Detail Price'!$A$2))='Detail Price'!$A$2,ROW(),"")))</f>
        <v>99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 t="s">
        <v>147</v>
      </c>
      <c r="B100" s="16">
        <v>25900.0</v>
      </c>
      <c r="C100" s="2">
        <v>88.0</v>
      </c>
      <c r="D100" s="7">
        <f>IF(OR($A100="",LEFT($A100,1)="*"),"",IF('Detail Price'!$A$2="All",ROW(),IF(LEFT($A100,LEN('Detail Price'!$A$2))='Detail Price'!$A$2,ROW(),"")))</f>
        <v>100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 t="s">
        <v>148</v>
      </c>
      <c r="B101" s="16">
        <v>29900.0</v>
      </c>
      <c r="C101" s="2">
        <v>89.0</v>
      </c>
      <c r="D101" s="7">
        <f>IF(OR($A101="",LEFT($A101,1)="*"),"",IF('Detail Price'!$A$2="All",ROW(),IF(LEFT($A101,LEN('Detail Price'!$A$2))='Detail Price'!$A$2,ROW(),"")))</f>
        <v>101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 t="s">
        <v>149</v>
      </c>
      <c r="B102" s="16">
        <v>34900.0</v>
      </c>
      <c r="C102" s="2">
        <v>90.0</v>
      </c>
      <c r="D102" s="7">
        <f>IF(OR($A102="",LEFT($A102,1)="*"),"",IF('Detail Price'!$A$2="All",ROW(),IF(LEFT($A102,LEN('Detail Price'!$A$2))='Detail Price'!$A$2,ROW(),"")))</f>
        <v>102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 t="s">
        <v>150</v>
      </c>
      <c r="B103" s="16">
        <v>36900.0</v>
      </c>
      <c r="C103" s="2">
        <v>91.0</v>
      </c>
      <c r="D103" s="7">
        <f>IF(OR($A103="",LEFT($A103,1)="*"),"",IF('Detail Price'!$A$2="All",ROW(),IF(LEFT($A103,LEN('Detail Price'!$A$2))='Detail Price'!$A$2,ROW(),"")))</f>
        <v>103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 t="s">
        <v>151</v>
      </c>
      <c r="B104" s="16">
        <v>41900.0</v>
      </c>
      <c r="C104" s="2">
        <v>92.0</v>
      </c>
      <c r="D104" s="7">
        <f>IF(OR($A104="",LEFT($A104,1)="*"),"",IF('Detail Price'!$A$2="All",ROW(),IF(LEFT($A104,LEN('Detail Price'!$A$2))='Detail Price'!$A$2,ROW(),"")))</f>
        <v>104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 t="s">
        <v>152</v>
      </c>
      <c r="B105" s="16">
        <v>42900.0</v>
      </c>
      <c r="C105" s="2">
        <v>93.0</v>
      </c>
      <c r="D105" s="7">
        <f>IF(OR($A105="",LEFT($A105,1)="*"),"",IF('Detail Price'!$A$2="All",ROW(),IF(LEFT($A105,LEN('Detail Price'!$A$2))='Detail Price'!$A$2,ROW(),"")))</f>
        <v>105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 t="s">
        <v>153</v>
      </c>
      <c r="B106" s="16">
        <v>33900.0</v>
      </c>
      <c r="C106" s="2">
        <v>94.0</v>
      </c>
      <c r="D106" s="7">
        <f>IF(OR($A106="",LEFT($A106,1)="*"),"",IF('Detail Price'!$A$2="All",ROW(),IF(LEFT($A106,LEN('Detail Price'!$A$2))='Detail Price'!$A$2,ROW(),"")))</f>
        <v>106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 t="s">
        <v>154</v>
      </c>
      <c r="B107" s="16">
        <v>41900.0</v>
      </c>
      <c r="C107" s="2">
        <v>95.0</v>
      </c>
      <c r="D107" s="7">
        <f>IF(OR($A107="",LEFT($A107,1)="*"),"",IF('Detail Price'!$A$2="All",ROW(),IF(LEFT($A107,LEN('Detail Price'!$A$2))='Detail Price'!$A$2,ROW(),"")))</f>
        <v>107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 t="s">
        <v>155</v>
      </c>
      <c r="B108" s="16">
        <v>40900.0</v>
      </c>
      <c r="C108" s="2">
        <v>96.0</v>
      </c>
      <c r="D108" s="7">
        <f>IF(OR($A108="",LEFT($A108,1)="*"),"",IF('Detail Price'!$A$2="All",ROW(),IF(LEFT($A108,LEN('Detail Price'!$A$2))='Detail Price'!$A$2,ROW(),"")))</f>
        <v>108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 t="s">
        <v>156</v>
      </c>
      <c r="B109" s="16">
        <v>48900.0</v>
      </c>
      <c r="C109" s="2">
        <v>97.0</v>
      </c>
      <c r="D109" s="7">
        <f>IF(OR($A109="",LEFT($A109,1)="*"),"",IF('Detail Price'!$A$2="All",ROW(),IF(LEFT($A109,LEN('Detail Price'!$A$2))='Detail Price'!$A$2,ROW(),"")))</f>
        <v>109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 t="s">
        <v>157</v>
      </c>
      <c r="B110" s="16">
        <v>46900.0</v>
      </c>
      <c r="C110" s="2">
        <v>98.0</v>
      </c>
      <c r="D110" s="7">
        <f>IF(OR($A110="",LEFT($A110,1)="*"),"",IF('Detail Price'!$A$2="All",ROW(),IF(LEFT($A110,LEN('Detail Price'!$A$2))='Detail Price'!$A$2,ROW(),"")))</f>
        <v>110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 t="s">
        <v>158</v>
      </c>
      <c r="B111" s="16">
        <v>54900.0</v>
      </c>
      <c r="C111" s="2">
        <v>99.0</v>
      </c>
      <c r="D111" s="7">
        <f>IF(OR($A111="",LEFT($A111,1)="*"),"",IF('Detail Price'!$A$2="All",ROW(),IF(LEFT($A111,LEN('Detail Price'!$A$2))='Detail Price'!$A$2,ROW(),"")))</f>
        <v>111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2" t="s">
        <v>159</v>
      </c>
      <c r="B112" s="16">
        <v>66900.0</v>
      </c>
      <c r="C112" s="2">
        <v>100.0</v>
      </c>
      <c r="D112" s="7">
        <f>IF(OR($A112="",LEFT($A112,1)="*"),"",IF('Detail Price'!$A$2="All",ROW(),IF(LEFT($A112,LEN('Detail Price'!$A$2))='Detail Price'!$A$2,ROW(),"")))</f>
        <v>112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 t="s">
        <v>160</v>
      </c>
      <c r="B113" s="16">
        <v>22900.0</v>
      </c>
      <c r="C113" s="2">
        <v>101.0</v>
      </c>
      <c r="D113" s="7">
        <f>IF(OR($A113="",LEFT($A113,1)="*"),"",IF('Detail Price'!$A$2="All",ROW(),IF(LEFT($A113,LEN('Detail Price'!$A$2))='Detail Price'!$A$2,ROW(),"")))</f>
        <v>113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 t="s">
        <v>161</v>
      </c>
      <c r="B114" s="16">
        <v>26900.0</v>
      </c>
      <c r="C114" s="2">
        <v>102.0</v>
      </c>
      <c r="D114" s="7">
        <f>IF(OR($A114="",LEFT($A114,1)="*"),"",IF('Detail Price'!$A$2="All",ROW(),IF(LEFT($A114,LEN('Detail Price'!$A$2))='Detail Price'!$A$2,ROW(),"")))</f>
        <v>114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 t="s">
        <v>162</v>
      </c>
      <c r="B115" s="16">
        <v>6990.0</v>
      </c>
      <c r="C115" s="2">
        <v>103.0</v>
      </c>
      <c r="D115" s="7">
        <f>IF(OR($A115="",LEFT($A115,1)="*"),"",IF('Detail Price'!$A$2="All",ROW(),IF(LEFT($A115,LEN('Detail Price'!$A$2))='Detail Price'!$A$2,ROW(),"")))</f>
        <v>115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 t="s">
        <v>163</v>
      </c>
      <c r="B116" s="16">
        <v>9990.0</v>
      </c>
      <c r="C116" s="2">
        <v>104.0</v>
      </c>
      <c r="D116" s="7">
        <f>IF(OR($A116="",LEFT($A116,1)="*"),"",IF('Detail Price'!$A$2="All",ROW(),IF(LEFT($A116,LEN('Detail Price'!$A$2))='Detail Price'!$A$2,ROW(),"")))</f>
        <v>116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 t="s">
        <v>164</v>
      </c>
      <c r="B117" s="16">
        <v>7990.0</v>
      </c>
      <c r="C117" s="2">
        <v>105.0</v>
      </c>
      <c r="D117" s="7">
        <f>IF(OR($A117="",LEFT($A117,1)="*"),"",IF('Detail Price'!$A$2="All",ROW(),IF(LEFT($A117,LEN('Detail Price'!$A$2))='Detail Price'!$A$2,ROW(),"")))</f>
        <v>117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 t="s">
        <v>165</v>
      </c>
      <c r="B118" s="16">
        <v>17900.0</v>
      </c>
      <c r="C118" s="2">
        <v>106.0</v>
      </c>
      <c r="D118" s="7">
        <f>IF(OR($A118="",LEFT($A118,1)="*"),"",IF('Detail Price'!$A$2="All",ROW(),IF(LEFT($A118,LEN('Detail Price'!$A$2))='Detail Price'!$A$2,ROW(),"")))</f>
        <v>118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 t="s">
        <v>166</v>
      </c>
      <c r="B119" s="16">
        <v>20900.0</v>
      </c>
      <c r="C119" s="2">
        <v>107.0</v>
      </c>
      <c r="D119" s="7">
        <f>IF(OR($A119="",LEFT($A119,1)="*"),"",IF('Detail Price'!$A$2="All",ROW(),IF(LEFT($A119,LEN('Detail Price'!$A$2))='Detail Price'!$A$2,ROW(),"")))</f>
        <v>119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 t="s">
        <v>167</v>
      </c>
      <c r="B120" s="16">
        <v>26900.0</v>
      </c>
      <c r="C120" s="2">
        <v>108.0</v>
      </c>
      <c r="D120" s="7">
        <f>IF(OR($A120="",LEFT($A120,1)="*"),"",IF('Detail Price'!$A$2="All",ROW(),IF(LEFT($A120,LEN('Detail Price'!$A$2))='Detail Price'!$A$2,ROW(),"")))</f>
        <v>120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 t="s">
        <v>168</v>
      </c>
      <c r="B121" s="16">
        <v>29900.0</v>
      </c>
      <c r="C121" s="2">
        <v>109.0</v>
      </c>
      <c r="D121" s="7">
        <f>IF(OR($A121="",LEFT($A121,1)="*"),"",IF('Detail Price'!$A$2="All",ROW(),IF(LEFT($A121,LEN('Detail Price'!$A$2))='Detail Price'!$A$2,ROW(),"")))</f>
        <v>121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2" t="s">
        <v>169</v>
      </c>
      <c r="B122" s="16">
        <v>15990.0</v>
      </c>
      <c r="C122" s="2">
        <v>110.0</v>
      </c>
      <c r="D122" s="7">
        <f>IF(OR($A122="",LEFT($A122,1)="*"),"",IF('Detail Price'!$A$2="All",ROW(),IF(LEFT($A122,LEN('Detail Price'!$A$2))='Detail Price'!$A$2,ROW(),"")))</f>
        <v>122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" t="s">
        <v>170</v>
      </c>
      <c r="B123" s="16">
        <v>11990.0</v>
      </c>
      <c r="C123" s="2">
        <v>111.0</v>
      </c>
      <c r="D123" s="7">
        <f>IF(OR($A123="",LEFT($A123,1)="*"),"",IF('Detail Price'!$A$2="All",ROW(),IF(LEFT($A123,LEN('Detail Price'!$A$2))='Detail Price'!$A$2,ROW(),"")))</f>
        <v>123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 t="s">
        <v>171</v>
      </c>
      <c r="B124" s="16">
        <v>36900.0</v>
      </c>
      <c r="C124" s="2">
        <v>112.0</v>
      </c>
      <c r="D124" s="7">
        <f>IF(OR($A124="",LEFT($A124,1)="*"),"",IF('Detail Price'!$A$2="All",ROW(),IF(LEFT($A124,LEN('Detail Price'!$A$2))='Detail Price'!$A$2,ROW(),"")))</f>
        <v>124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 t="s">
        <v>172</v>
      </c>
      <c r="B125" s="16">
        <v>41900.0</v>
      </c>
      <c r="C125" s="2">
        <v>113.0</v>
      </c>
      <c r="D125" s="7">
        <f>IF(OR($A125="",LEFT($A125,1)="*"),"",IF('Detail Price'!$A$2="All",ROW(),IF(LEFT($A125,LEN('Detail Price'!$A$2))='Detail Price'!$A$2,ROW(),"")))</f>
        <v>125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 t="s">
        <v>173</v>
      </c>
      <c r="B126" s="16">
        <v>31900.0</v>
      </c>
      <c r="C126" s="2">
        <v>114.0</v>
      </c>
      <c r="D126" s="7">
        <f>IF(OR($A126="",LEFT($A126,1)="*"),"",IF('Detail Price'!$A$2="All",ROW(),IF(LEFT($A126,LEN('Detail Price'!$A$2))='Detail Price'!$A$2,ROW(),"")))</f>
        <v>126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 t="s">
        <v>174</v>
      </c>
      <c r="B127" s="16">
        <v>33900.0</v>
      </c>
      <c r="C127" s="2">
        <v>115.0</v>
      </c>
      <c r="D127" s="7">
        <f>IF(OR($A127="",LEFT($A127,1)="*"),"",IF('Detail Price'!$A$2="All",ROW(),IF(LEFT($A127,LEN('Detail Price'!$A$2))='Detail Price'!$A$2,ROW(),"")))</f>
        <v>127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 t="s">
        <v>175</v>
      </c>
      <c r="B128" s="16">
        <v>45900.0</v>
      </c>
      <c r="C128" s="2">
        <v>116.0</v>
      </c>
      <c r="D128" s="7">
        <f>IF(OR($A128="",LEFT($A128,1)="*"),"",IF('Detail Price'!$A$2="All",ROW(),IF(LEFT($A128,LEN('Detail Price'!$A$2))='Detail Price'!$A$2,ROW(),"")))</f>
        <v>128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4" t="s">
        <v>176</v>
      </c>
      <c r="B129" s="22">
        <v>19999.0</v>
      </c>
      <c r="C129" s="9">
        <v>174.0</v>
      </c>
      <c r="D129" s="7">
        <f>IF(OR($A129="",LEFT($A129,1)="*"),"",IF('Detail Price'!$A$2="All",ROW(),IF(LEFT($A129,LEN('Detail Price'!$A$2))='Detail Price'!$A$2,ROW(),"")))</f>
        <v>129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4" t="s">
        <v>177</v>
      </c>
      <c r="B130" s="22">
        <v>17999.0</v>
      </c>
      <c r="C130" s="9">
        <v>175.0</v>
      </c>
      <c r="D130" s="7">
        <f>IF(OR($A130="",LEFT($A130,1)="*"),"",IF('Detail Price'!$A$2="All",ROW(),IF(LEFT($A130,LEN('Detail Price'!$A$2))='Detail Price'!$A$2,ROW(),"")))</f>
        <v>130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4" t="s">
        <v>178</v>
      </c>
      <c r="B131" s="22">
        <v>15999.0</v>
      </c>
      <c r="C131" s="9">
        <v>176.0</v>
      </c>
      <c r="D131" s="7">
        <f>IF(OR($A131="",LEFT($A131,1)="*"),"",IF('Detail Price'!$A$2="All",ROW(),IF(LEFT($A131,LEN('Detail Price'!$A$2))='Detail Price'!$A$2,ROW(),"")))</f>
        <v>131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4" t="s">
        <v>179</v>
      </c>
      <c r="B132" s="16">
        <v>14999.0</v>
      </c>
      <c r="C132" s="2">
        <v>122.0</v>
      </c>
      <c r="D132" s="7">
        <f>IF(OR($A132="",LEFT($A132,1)="*"),"",IF('Detail Price'!$A$2="All",ROW(),IF(LEFT($A132,LEN('Detail Price'!$A$2))='Detail Price'!$A$2,ROW(),"")))</f>
        <v>132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4" t="s">
        <v>180</v>
      </c>
      <c r="B133" s="16">
        <v>16999.0</v>
      </c>
      <c r="C133" s="2">
        <v>123.0</v>
      </c>
      <c r="D133" s="7">
        <f>IF(OR($A133="",LEFT($A133,1)="*"),"",IF('Detail Price'!$A$2="All",ROW(),IF(LEFT($A133,LEN('Detail Price'!$A$2))='Detail Price'!$A$2,ROW(),"")))</f>
        <v>133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4" t="s">
        <v>181</v>
      </c>
      <c r="B134" s="16">
        <v>18999.0</v>
      </c>
      <c r="C134" s="2">
        <v>124.0</v>
      </c>
      <c r="D134" s="7">
        <f>IF(OR($A134="",LEFT($A134,1)="*"),"",IF('Detail Price'!$A$2="All",ROW(),IF(LEFT($A134,LEN('Detail Price'!$A$2))='Detail Price'!$A$2,ROW(),"")))</f>
        <v>134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4" t="s">
        <v>182</v>
      </c>
      <c r="B135" s="16">
        <v>9999.0</v>
      </c>
      <c r="C135" s="2">
        <v>125.0</v>
      </c>
      <c r="D135" s="7">
        <f>IF(OR($A135="",LEFT($A135,1)="*"),"",IF('Detail Price'!$A$2="All",ROW(),IF(LEFT($A135,LEN('Detail Price'!$A$2))='Detail Price'!$A$2,ROW(),"")))</f>
        <v>135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4" t="s">
        <v>183</v>
      </c>
      <c r="B136" s="16">
        <v>10999.0</v>
      </c>
      <c r="C136" s="2">
        <v>126.0</v>
      </c>
      <c r="D136" s="7">
        <f>IF(OR($A136="",LEFT($A136,1)="*"),"",IF('Detail Price'!$A$2="All",ROW(),IF(LEFT($A136,LEN('Detail Price'!$A$2))='Detail Price'!$A$2,ROW(),"")))</f>
        <v>136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4" t="s">
        <v>184</v>
      </c>
      <c r="B137" s="16">
        <v>11999.0</v>
      </c>
      <c r="C137" s="2">
        <v>127.0</v>
      </c>
      <c r="D137" s="7">
        <f>IF(OR($A137="",LEFT($A137,1)="*"),"",IF('Detail Price'!$A$2="All",ROW(),IF(LEFT($A137,LEN('Detail Price'!$A$2))='Detail Price'!$A$2,ROW(),"")))</f>
        <v>137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4" t="s">
        <v>185</v>
      </c>
      <c r="B138" s="16">
        <v>13999.0</v>
      </c>
      <c r="C138" s="2">
        <v>117.0</v>
      </c>
      <c r="D138" s="7">
        <f>IF(OR($A138="",LEFT($A138,1)="*"),"",IF('Detail Price'!$A$2="All",ROW(),IF(LEFT($A138,LEN('Detail Price'!$A$2))='Detail Price'!$A$2,ROW(),"")))</f>
        <v>138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4" t="s">
        <v>186</v>
      </c>
      <c r="B139" s="16">
        <v>7999.0</v>
      </c>
      <c r="C139" s="2">
        <v>118.0</v>
      </c>
      <c r="D139" s="7">
        <f>IF(OR($A139="",LEFT($A139,1)="*"),"",IF('Detail Price'!$A$2="All",ROW(),IF(LEFT($A139,LEN('Detail Price'!$A$2))='Detail Price'!$A$2,ROW(),"")))</f>
        <v>139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4" t="s">
        <v>187</v>
      </c>
      <c r="B140" s="16">
        <v>8999.0</v>
      </c>
      <c r="C140" s="2">
        <v>119.0</v>
      </c>
      <c r="D140" s="7">
        <f>IF(OR($A140="",LEFT($A140,1)="*"),"",IF('Detail Price'!$A$2="All",ROW(),IF(LEFT($A140,LEN('Detail Price'!$A$2))='Detail Price'!$A$2,ROW(),"")))</f>
        <v>140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4" t="s">
        <v>188</v>
      </c>
      <c r="B141" s="22">
        <v>6999.0</v>
      </c>
      <c r="C141" s="2">
        <v>120.0</v>
      </c>
      <c r="D141" s="7">
        <f>IF(OR($A141="",LEFT($A141,1)="*"),"",IF('Detail Price'!$A$2="All",ROW(),IF(LEFT($A141,LEN('Detail Price'!$A$2))='Detail Price'!$A$2,ROW(),"")))</f>
        <v>141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4" t="s">
        <v>189</v>
      </c>
      <c r="B142" s="22">
        <v>7499.0</v>
      </c>
      <c r="C142" s="2">
        <v>121.0</v>
      </c>
      <c r="D142" s="7">
        <f>IF(OR($A142="",LEFT($A142,1)="*"),"",IF('Detail Price'!$A$2="All",ROW(),IF(LEFT($A142,LEN('Detail Price'!$A$2))='Detail Price'!$A$2,ROW(),"")))</f>
        <v>142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4" t="s">
        <v>190</v>
      </c>
      <c r="B143" s="16">
        <v>9999.0</v>
      </c>
      <c r="C143" s="2">
        <v>128.0</v>
      </c>
      <c r="D143" s="7">
        <f>IF(OR($A143="",LEFT($A143,1)="*"),"",IF('Detail Price'!$A$2="All",ROW(),IF(LEFT($A143,LEN('Detail Price'!$A$2))='Detail Price'!$A$2,ROW(),"")))</f>
        <v>143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4" t="s">
        <v>191</v>
      </c>
      <c r="B144" s="16">
        <v>9499.0</v>
      </c>
      <c r="C144" s="2">
        <v>129.0</v>
      </c>
      <c r="D144" s="7">
        <f>IF(OR($A144="",LEFT($A144,1)="*"),"",IF('Detail Price'!$A$2="All",ROW(),IF(LEFT($A144,LEN('Detail Price'!$A$2))='Detail Price'!$A$2,ROW(),"")))</f>
        <v>144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4" t="s">
        <v>192</v>
      </c>
      <c r="B145" s="16">
        <v>6499.0</v>
      </c>
      <c r="C145" s="2">
        <v>130.0</v>
      </c>
      <c r="D145" s="7">
        <f>IF(OR($A145="",LEFT($A145,1)="*"),"",IF('Detail Price'!$A$2="All",ROW(),IF(LEFT($A145,LEN('Detail Price'!$A$2))='Detail Price'!$A$2,ROW(),"")))</f>
        <v>145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4" t="s">
        <v>193</v>
      </c>
      <c r="B146" s="22">
        <v>19999.0</v>
      </c>
      <c r="C146" s="9">
        <v>163.0</v>
      </c>
      <c r="D146" s="7">
        <f>IF(OR($A146="",LEFT($A146,1)="*"),"",IF('Detail Price'!$A$2="All",ROW(),IF(LEFT($A146,LEN('Detail Price'!$A$2))='Detail Price'!$A$2,ROW(),"")))</f>
        <v>146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4" t="s">
        <v>194</v>
      </c>
      <c r="B147" s="22">
        <v>17999.0</v>
      </c>
      <c r="C147" s="9">
        <v>164.0</v>
      </c>
      <c r="D147" s="7">
        <f>IF(OR($A147="",LEFT($A147,1)="*"),"",IF('Detail Price'!$A$2="All",ROW(),IF(LEFT($A147,LEN('Detail Price'!$A$2))='Detail Price'!$A$2,ROW(),"")))</f>
        <v>147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4" t="s">
        <v>195</v>
      </c>
      <c r="B148" s="22">
        <v>15999.0</v>
      </c>
      <c r="C148" s="9">
        <v>165.0</v>
      </c>
      <c r="D148" s="7">
        <f>IF(OR($A148="",LEFT($A148,1)="*"),"",IF('Detail Price'!$A$2="All",ROW(),IF(LEFT($A148,LEN('Detail Price'!$A$2))='Detail Price'!$A$2,ROW(),"")))</f>
        <v>148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4" t="s">
        <v>196</v>
      </c>
      <c r="B149" s="22">
        <v>14999.0</v>
      </c>
      <c r="C149" s="9">
        <v>166.0</v>
      </c>
      <c r="D149" s="7">
        <f>IF(OR($A149="",LEFT($A149,1)="*"),"",IF('Detail Price'!$A$2="All",ROW(),IF(LEFT($A149,LEN('Detail Price'!$A$2))='Detail Price'!$A$2,ROW(),"")))</f>
        <v>149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4" t="s">
        <v>197</v>
      </c>
      <c r="B150" s="22">
        <v>12999.0</v>
      </c>
      <c r="C150" s="9">
        <v>167.0</v>
      </c>
      <c r="D150" s="7">
        <f>IF(OR($A150="",LEFT($A150,1)="*"),"",IF('Detail Price'!$A$2="All",ROW(),IF(LEFT($A150,LEN('Detail Price'!$A$2))='Detail Price'!$A$2,ROW(),"")))</f>
        <v>150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4" t="s">
        <v>198</v>
      </c>
      <c r="B151" s="22">
        <v>11999.0</v>
      </c>
      <c r="C151" s="9">
        <v>168.0</v>
      </c>
      <c r="D151" s="7">
        <f>IF(OR($A151="",LEFT($A151,1)="*"),"",IF('Detail Price'!$A$2="All",ROW(),IF(LEFT($A151,LEN('Detail Price'!$A$2))='Detail Price'!$A$2,ROW(),"")))</f>
        <v>151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4" t="s">
        <v>199</v>
      </c>
      <c r="B152" s="22">
        <v>8499.0</v>
      </c>
      <c r="C152" s="9">
        <v>169.0</v>
      </c>
      <c r="D152" s="7">
        <f>IF(OR($A152="",LEFT($A152,1)="*"),"",IF('Detail Price'!$A$2="All",ROW(),IF(LEFT($A152,LEN('Detail Price'!$A$2))='Detail Price'!$A$2,ROW(),"")))</f>
        <v>152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4" t="s">
        <v>200</v>
      </c>
      <c r="B153" s="16">
        <v>16990.0</v>
      </c>
      <c r="C153" s="2">
        <v>131.0</v>
      </c>
      <c r="D153" s="7">
        <f>IF(OR($A153="",LEFT($A153,1)="*"),"",IF('Detail Price'!$A$2="All",ROW(),IF(LEFT($A153,LEN('Detail Price'!$A$2))='Detail Price'!$A$2,ROW(),"")))</f>
        <v>153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4" t="s">
        <v>201</v>
      </c>
      <c r="B154" s="16">
        <v>14990.0</v>
      </c>
      <c r="C154" s="2">
        <v>132.0</v>
      </c>
      <c r="D154" s="7">
        <f>IF(OR($A154="",LEFT($A154,1)="*"),"",IF('Detail Price'!$A$2="All",ROW(),IF(LEFT($A154,LEN('Detail Price'!$A$2))='Detail Price'!$A$2,ROW(),"")))</f>
        <v>154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4" t="s">
        <v>202</v>
      </c>
      <c r="B155" s="16">
        <v>14990.0</v>
      </c>
      <c r="C155" s="2">
        <v>133.0</v>
      </c>
      <c r="D155" s="7">
        <f>IF(OR($A155="",LEFT($A155,1)="*"),"",IF('Detail Price'!$A$2="All",ROW(),IF(LEFT($A155,LEN('Detail Price'!$A$2))='Detail Price'!$A$2,ROW(),"")))</f>
        <v>155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4" t="s">
        <v>203</v>
      </c>
      <c r="B156" s="16">
        <v>11990.0</v>
      </c>
      <c r="C156" s="2">
        <v>134.0</v>
      </c>
      <c r="D156" s="7">
        <f>IF(OR($A156="",LEFT($A156,1)="*"),"",IF('Detail Price'!$A$2="All",ROW(),IF(LEFT($A156,LEN('Detail Price'!$A$2))='Detail Price'!$A$2,ROW(),"")))</f>
        <v>156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4" t="s">
        <v>204</v>
      </c>
      <c r="B157" s="16">
        <v>8499.0</v>
      </c>
      <c r="C157" s="2">
        <v>135.0</v>
      </c>
      <c r="D157" s="7">
        <f>IF(OR($A157="",LEFT($A157,1)="*"),"",IF('Detail Price'!$A$2="All",ROW(),IF(LEFT($A157,LEN('Detail Price'!$A$2))='Detail Price'!$A$2,ROW(),"")))</f>
        <v>157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4" t="s">
        <v>205</v>
      </c>
      <c r="B158" s="16">
        <v>6699.0</v>
      </c>
      <c r="C158" s="2">
        <v>136.0</v>
      </c>
      <c r="D158" s="7">
        <f>IF(OR($A158="",LEFT($A158,1)="*"),"",IF('Detail Price'!$A$2="All",ROW(),IF(LEFT($A158,LEN('Detail Price'!$A$2))='Detail Price'!$A$2,ROW(),"")))</f>
        <v>158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4" t="s">
        <v>206</v>
      </c>
      <c r="B159" s="16">
        <v>27999.0</v>
      </c>
      <c r="C159" s="2">
        <v>137.0</v>
      </c>
      <c r="D159" s="7">
        <f>IF(OR($A159="",LEFT($A159,1)="*"),"",IF('Detail Price'!$A$2="All",ROW(),IF(LEFT($A159,LEN('Detail Price'!$A$2))='Detail Price'!$A$2,ROW(),"")))</f>
        <v>159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4" t="s">
        <v>207</v>
      </c>
      <c r="B160" s="16">
        <v>25999.0</v>
      </c>
      <c r="C160" s="2">
        <v>138.0</v>
      </c>
      <c r="D160" s="7">
        <f>IF(OR($A160="",LEFT($A160,1)="*"),"",IF('Detail Price'!$A$2="All",ROW(),IF(LEFT($A160,LEN('Detail Price'!$A$2))='Detail Price'!$A$2,ROW(),"")))</f>
        <v>160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4" t="s">
        <v>208</v>
      </c>
      <c r="B161" s="16">
        <v>22999.0</v>
      </c>
      <c r="C161" s="2">
        <v>139.0</v>
      </c>
      <c r="D161" s="7">
        <f>IF(OR($A161="",LEFT($A161,1)="*"),"",IF('Detail Price'!$A$2="All",ROW(),IF(LEFT($A161,LEN('Detail Price'!$A$2))='Detail Price'!$A$2,ROW(),"")))</f>
        <v>161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4" t="s">
        <v>209</v>
      </c>
      <c r="B162" s="16">
        <v>19999.0</v>
      </c>
      <c r="C162" s="2">
        <v>140.0</v>
      </c>
      <c r="D162" s="7">
        <f>IF(OR($A162="",LEFT($A162,1)="*"),"",IF('Detail Price'!$A$2="All",ROW(),IF(LEFT($A162,LEN('Detail Price'!$A$2))='Detail Price'!$A$2,ROW(),"")))</f>
        <v>162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4" t="s">
        <v>210</v>
      </c>
      <c r="B163" s="16">
        <v>5999.0</v>
      </c>
      <c r="C163" s="2">
        <v>141.0</v>
      </c>
      <c r="D163" s="7">
        <f>IF(OR($A163="",LEFT($A163,1)="*"),"",IF('Detail Price'!$A$2="All",ROW(),IF(LEFT($A163,LEN('Detail Price'!$A$2))='Detail Price'!$A$2,ROW(),"")))</f>
        <v>163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4" t="s">
        <v>211</v>
      </c>
      <c r="B164" s="16">
        <v>5499.0</v>
      </c>
      <c r="C164" s="2">
        <v>142.0</v>
      </c>
      <c r="D164" s="7">
        <f>IF(OR($A164="",LEFT($A164,1)="*"),"",IF('Detail Price'!$A$2="All",ROW(),IF(LEFT($A164,LEN('Detail Price'!$A$2))='Detail Price'!$A$2,ROW(),"")))</f>
        <v>164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4" t="s">
        <v>212</v>
      </c>
      <c r="B165" s="16">
        <v>8999.0</v>
      </c>
      <c r="C165" s="2">
        <v>150.0</v>
      </c>
      <c r="D165" s="7">
        <f>IF(OR($A165="",LEFT($A165,1)="*"),"",IF('Detail Price'!$A$2="All",ROW(),IF(LEFT($A165,LEN('Detail Price'!$A$2))='Detail Price'!$A$2,ROW(),"")))</f>
        <v>165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4" t="s">
        <v>213</v>
      </c>
      <c r="B166" s="16">
        <v>7999.0</v>
      </c>
      <c r="C166" s="2">
        <v>151.0</v>
      </c>
      <c r="D166" s="7">
        <f>IF(OR($A166="",LEFT($A166,1)="*"),"",IF('Detail Price'!$A$2="All",ROW(),IF(LEFT($A166,LEN('Detail Price'!$A$2))='Detail Price'!$A$2,ROW(),"")))</f>
        <v>166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4" t="s">
        <v>214</v>
      </c>
      <c r="B167" s="16">
        <v>7999.0</v>
      </c>
      <c r="C167" s="2">
        <v>152.0</v>
      </c>
      <c r="D167" s="7">
        <f>IF(OR($A167="",LEFT($A167,1)="*"),"",IF('Detail Price'!$A$2="All",ROW(),IF(LEFT($A167,LEN('Detail Price'!$A$2))='Detail Price'!$A$2,ROW(),"")))</f>
        <v>167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4" t="s">
        <v>215</v>
      </c>
      <c r="B168" s="16">
        <v>6999.0</v>
      </c>
      <c r="C168" s="2">
        <v>153.0</v>
      </c>
      <c r="D168" s="7">
        <f>IF(OR($A168="",LEFT($A168,1)="*"),"",IF('Detail Price'!$A$2="All",ROW(),IF(LEFT($A168,LEN('Detail Price'!$A$2))='Detail Price'!$A$2,ROW(),"")))</f>
        <v>168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 t="s">
        <v>216</v>
      </c>
      <c r="B169" s="16">
        <v>31189.0</v>
      </c>
      <c r="C169" s="2">
        <v>154.0</v>
      </c>
      <c r="D169" s="7">
        <f>IF(OR($A169="",LEFT($A169,1)="*"),"",IF('Detail Price'!$A$2="All",ROW(),IF(LEFT($A169,LEN('Detail Price'!$A$2))='Detail Price'!$A$2,ROW(),"")))</f>
        <v>169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 t="s">
        <v>217</v>
      </c>
      <c r="B170" s="16">
        <v>29189.0</v>
      </c>
      <c r="C170" s="2">
        <v>155.0</v>
      </c>
      <c r="D170" s="7">
        <f>IF(OR($A170="",LEFT($A170,1)="*"),"",IF('Detail Price'!$A$2="All",ROW(),IF(LEFT($A170,LEN('Detail Price'!$A$2))='Detail Price'!$A$2,ROW(),"")))</f>
        <v>170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 t="s">
        <v>218</v>
      </c>
      <c r="B171" s="16">
        <v>26189.0</v>
      </c>
      <c r="C171" s="2">
        <v>156.0</v>
      </c>
      <c r="D171" s="7">
        <f>IF(OR($A171="",LEFT($A171,1)="*"),"",IF('Detail Price'!$A$2="All",ROW(),IF(LEFT($A171,LEN('Detail Price'!$A$2))='Detail Price'!$A$2,ROW(),"")))</f>
        <v>171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 t="s">
        <v>219</v>
      </c>
      <c r="B172" s="16">
        <v>23189.0</v>
      </c>
      <c r="C172" s="2">
        <v>157.0</v>
      </c>
      <c r="D172" s="7">
        <f>IF(OR($A172="",LEFT($A172,1)="*"),"",IF('Detail Price'!$A$2="All",ROW(),IF(LEFT($A172,LEN('Detail Price'!$A$2))='Detail Price'!$A$2,ROW(),"")))</f>
        <v>172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4" t="s">
        <v>220</v>
      </c>
      <c r="B173" s="22">
        <v>5799.0</v>
      </c>
      <c r="C173" s="9">
        <v>161.0</v>
      </c>
      <c r="D173" s="7">
        <f>IF(OR($A173="",LEFT($A173,1)="*"),"",IF('Detail Price'!$A$2="All",ROW(),IF(LEFT($A173,LEN('Detail Price'!$A$2))='Detail Price'!$A$2,ROW(),"")))</f>
        <v>173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4" t="s">
        <v>221</v>
      </c>
      <c r="B174" s="22">
        <v>27998.0</v>
      </c>
      <c r="C174" s="8">
        <v>170.0</v>
      </c>
      <c r="D174" s="7">
        <f>IF(OR($A174="",LEFT($A174,1)="*"),"",IF('Detail Price'!$A$2="All",ROW(),IF(LEFT($A174,LEN('Detail Price'!$A$2))='Detail Price'!$A$2,ROW(),"")))</f>
        <v>174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4" t="s">
        <v>222</v>
      </c>
      <c r="B175" s="22">
        <v>22998.0</v>
      </c>
      <c r="C175" s="8">
        <v>171.0</v>
      </c>
      <c r="D175" s="7">
        <f>IF(OR($A175="",LEFT($A175,1)="*"),"",IF('Detail Price'!$A$2="All",ROW(),IF(LEFT($A175,LEN('Detail Price'!$A$2))='Detail Price'!$A$2,ROW(),"")))</f>
        <v>175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4" t="s">
        <v>223</v>
      </c>
      <c r="B176" s="22">
        <v>17998.0</v>
      </c>
      <c r="C176" s="8">
        <v>172.0</v>
      </c>
      <c r="D176" s="7">
        <f>IF(OR($A176="",LEFT($A176,1)="*"),"",IF('Detail Price'!$A$2="All",ROW(),IF(LEFT($A176,LEN('Detail Price'!$A$2))='Detail Price'!$A$2,ROW(),"")))</f>
        <v>176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 t="s">
        <v>224</v>
      </c>
      <c r="B177" s="27">
        <v>12498.0</v>
      </c>
      <c r="C177" s="8">
        <v>183.0</v>
      </c>
      <c r="D177" s="7">
        <f>IF(OR($A177="",LEFT($A177,1)="*"),"",IF('Detail Price'!$A$2="All",ROW(),IF(LEFT($A177,LEN('Detail Price'!$A$2))='Detail Price'!$A$2,ROW(),"")))</f>
        <v>177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 t="s">
        <v>225</v>
      </c>
      <c r="B178" s="27">
        <v>11998.0</v>
      </c>
      <c r="C178" s="8">
        <v>184.0</v>
      </c>
      <c r="D178" s="7">
        <f>IF(OR($A178="",LEFT($A178,1)="*"),"",IF('Detail Price'!$A$2="All",ROW(),IF(LEFT($A178,LEN('Detail Price'!$A$2))='Detail Price'!$A$2,ROW(),"")))</f>
        <v>178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 t="s">
        <v>226</v>
      </c>
      <c r="B179" s="27">
        <v>79999.0</v>
      </c>
      <c r="C179" s="8">
        <v>185.0</v>
      </c>
      <c r="D179" s="7">
        <f>IF(OR($A179="",LEFT($A179,1)="*"),"",IF('Detail Price'!$A$2="All",ROW(),IF(LEFT($A179,LEN('Detail Price'!$A$2))='Detail Price'!$A$2,ROW(),"")))</f>
        <v>179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 t="s">
        <v>227</v>
      </c>
      <c r="B180" s="27">
        <v>69999.0</v>
      </c>
      <c r="C180" s="8">
        <v>186.0</v>
      </c>
      <c r="D180" s="7">
        <f>IF(OR($A180="",LEFT($A180,1)="*"),"",IF('Detail Price'!$A$2="All",ROW(),IF(LEFT($A180,LEN('Detail Price'!$A$2))='Detail Price'!$A$2,ROW(),"")))</f>
        <v>180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 t="s">
        <v>228</v>
      </c>
      <c r="B181" s="27">
        <v>54999.0</v>
      </c>
      <c r="C181" s="8">
        <v>187.0</v>
      </c>
      <c r="D181" s="7">
        <f>IF(OR($A181="",LEFT($A181,1)="*"),"",IF('Detail Price'!$A$2="All",ROW(),IF(LEFT($A181,LEN('Detail Price'!$A$2))='Detail Price'!$A$2,ROW(),"")))</f>
        <v>181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 t="s">
        <v>229</v>
      </c>
      <c r="B182" s="27">
        <v>34999.0</v>
      </c>
      <c r="C182" s="8">
        <v>188.0</v>
      </c>
      <c r="D182" s="7">
        <f>IF(OR($A182="",LEFT($A182,1)="*"),"",IF('Detail Price'!$A$2="All",ROW(),IF(LEFT($A182,LEN('Detail Price'!$A$2))='Detail Price'!$A$2,ROW(),"")))</f>
        <v>182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 t="s">
        <v>230</v>
      </c>
      <c r="B183" s="27">
        <v>31999.0</v>
      </c>
      <c r="C183" s="8">
        <v>189.0</v>
      </c>
      <c r="D183" s="7">
        <f>IF(OR($A183="",LEFT($A183,1)="*"),"",IF('Detail Price'!$A$2="All",ROW(),IF(LEFT($A183,LEN('Detail Price'!$A$2))='Detail Price'!$A$2,ROW(),"")))</f>
        <v>183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 t="s">
        <v>231</v>
      </c>
      <c r="B184" s="27">
        <v>29999.0</v>
      </c>
      <c r="C184" s="8">
        <v>190.0</v>
      </c>
      <c r="D184" s="7">
        <f>IF(OR($A184="",LEFT($A184,1)="*"),"",IF('Detail Price'!$A$2="All",ROW(),IF(LEFT($A184,LEN('Detail Price'!$A$2))='Detail Price'!$A$2,ROW(),"")))</f>
        <v>184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 t="s">
        <v>232</v>
      </c>
      <c r="B185" s="27">
        <v>26999.0</v>
      </c>
      <c r="C185" s="8">
        <v>192.0</v>
      </c>
      <c r="D185" s="7">
        <f>IF(OR($A185="",LEFT($A185,1)="*"),"",IF('Detail Price'!$A$2="All",ROW(),IF(LEFT($A185,LEN('Detail Price'!$A$2))='Detail Price'!$A$2,ROW(),"")))</f>
        <v>185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 t="s">
        <v>233</v>
      </c>
      <c r="B186" s="27">
        <v>24999.0</v>
      </c>
      <c r="C186" s="8">
        <v>193.0</v>
      </c>
      <c r="D186" s="7">
        <f>IF(OR($A186="",LEFT($A186,1)="*"),"",IF('Detail Price'!$A$2="All",ROW(),IF(LEFT($A186,LEN('Detail Price'!$A$2))='Detail Price'!$A$2,ROW(),"")))</f>
        <v>186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 t="s">
        <v>234</v>
      </c>
      <c r="B187" s="27">
        <v>21999.0</v>
      </c>
      <c r="C187" s="8">
        <v>194.0</v>
      </c>
      <c r="D187" s="7">
        <f>IF(OR($A187="",LEFT($A187,1)="*"),"",IF('Detail Price'!$A$2="All",ROW(),IF(LEFT($A187,LEN('Detail Price'!$A$2))='Detail Price'!$A$2,ROW(),"")))</f>
        <v>187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 t="s">
        <v>235</v>
      </c>
      <c r="B188" s="27">
        <v>18999.0</v>
      </c>
      <c r="C188" s="8">
        <v>195.0</v>
      </c>
      <c r="D188" s="7">
        <f>IF(OR($A188="",LEFT($A188,1)="*"),"",IF('Detail Price'!$A$2="All",ROW(),IF(LEFT($A188,LEN('Detail Price'!$A$2))='Detail Price'!$A$2,ROW(),"")))</f>
        <v>188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 t="s">
        <v>236</v>
      </c>
      <c r="B189" s="27">
        <v>17999.0</v>
      </c>
      <c r="C189" s="8">
        <v>196.0</v>
      </c>
      <c r="D189" s="7">
        <f>IF(OR($A189="",LEFT($A189,1)="*"),"",IF('Detail Price'!$A$2="All",ROW(),IF(LEFT($A189,LEN('Detail Price'!$A$2))='Detail Price'!$A$2,ROW(),"")))</f>
        <v>189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 t="s">
        <v>237</v>
      </c>
      <c r="B190" s="27">
        <v>14999.0</v>
      </c>
      <c r="C190" s="8">
        <v>191.0</v>
      </c>
      <c r="D190" s="7">
        <f>IF(OR($A190="",LEFT($A190,1)="*"),"",IF('Detail Price'!$A$2="All",ROW(),IF(LEFT($A190,LEN('Detail Price'!$A$2))='Detail Price'!$A$2,ROW(),"")))</f>
        <v>190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 t="s">
        <v>238</v>
      </c>
      <c r="B191" s="27">
        <v>19999.0</v>
      </c>
      <c r="C191" s="8">
        <v>250.0</v>
      </c>
      <c r="D191" s="7">
        <f>IF(OR($A191="",LEFT($A191,1)="*"),"",IF('Detail Price'!$A$2="All",ROW(),IF(LEFT($A191,LEN('Detail Price'!$A$2))='Detail Price'!$A$2,ROW(),"")))</f>
        <v>191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 t="s">
        <v>239</v>
      </c>
      <c r="B192" s="27">
        <v>15999.0</v>
      </c>
      <c r="C192" s="8">
        <v>251.0</v>
      </c>
      <c r="D192" s="7">
        <f>IF(OR($A192="",LEFT($A192,1)="*"),"",IF('Detail Price'!$A$2="All",ROW(),IF(LEFT($A192,LEN('Detail Price'!$A$2))='Detail Price'!$A$2,ROW(),"")))</f>
        <v>192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 t="s">
        <v>240</v>
      </c>
      <c r="B193" s="27">
        <v>13999.0</v>
      </c>
      <c r="C193" s="8">
        <v>252.0</v>
      </c>
      <c r="D193" s="7">
        <f>IF(OR($A193="",LEFT($A193,1)="*"),"",IF('Detail Price'!$A$2="All",ROW(),IF(LEFT($A193,LEN('Detail Price'!$A$2))='Detail Price'!$A$2,ROW(),"")))</f>
        <v>193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 t="s">
        <v>241</v>
      </c>
      <c r="B194" s="27">
        <v>14999.0</v>
      </c>
      <c r="C194" s="8">
        <v>197.0</v>
      </c>
      <c r="D194" s="7">
        <f>IF(OR($A194="",LEFT($A194,1)="*"),"",IF('Detail Price'!$A$2="All",ROW(),IF(LEFT($A194,LEN('Detail Price'!$A$2))='Detail Price'!$A$2,ROW(),"")))</f>
        <v>194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 t="s">
        <v>242</v>
      </c>
      <c r="B195" s="27">
        <v>11999.0</v>
      </c>
      <c r="C195" s="8">
        <v>198.0</v>
      </c>
      <c r="D195" s="7">
        <f>IF(OR($A195="",LEFT($A195,1)="*"),"",IF('Detail Price'!$A$2="All",ROW(),IF(LEFT($A195,LEN('Detail Price'!$A$2))='Detail Price'!$A$2,ROW(),"")))</f>
        <v>195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 t="s">
        <v>243</v>
      </c>
      <c r="B196" s="27">
        <v>8499.0</v>
      </c>
      <c r="C196" s="8">
        <v>199.0</v>
      </c>
      <c r="D196" s="7">
        <f>IF(OR($A196="",LEFT($A196,1)="*"),"",IF('Detail Price'!$A$2="All",ROW(),IF(LEFT($A196,LEN('Detail Price'!$A$2))='Detail Price'!$A$2,ROW(),"")))</f>
        <v>196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 t="s">
        <v>244</v>
      </c>
      <c r="B197" s="27">
        <v>6499.0</v>
      </c>
      <c r="C197" s="8">
        <v>200.0</v>
      </c>
      <c r="D197" s="7">
        <f>IF(OR($A197="",LEFT($A197,1)="*"),"",IF('Detail Price'!$A$2="All",ROW(),IF(LEFT($A197,LEN('Detail Price'!$A$2))='Detail Price'!$A$2,ROW(),"")))</f>
        <v>197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 t="s">
        <v>245</v>
      </c>
      <c r="B198" s="27">
        <v>6499.0</v>
      </c>
      <c r="C198" s="8">
        <v>201.0</v>
      </c>
      <c r="D198" s="7" t="str">
        <f>IF(OR($A198="",LEFT($A198,1)="*"),"",IF('Detail Price'!$A$2="All",ROW(),IF(LEFT($A198,LEN('Detail Price'!$A$2))='Detail Price'!$A$2,ROW(),"")))</f>
        <v/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 t="s">
        <v>246</v>
      </c>
      <c r="B199" s="27">
        <v>5499.0</v>
      </c>
      <c r="C199" s="8">
        <v>202.0</v>
      </c>
      <c r="D199" s="7" t="str">
        <f>IF(OR($A199="",LEFT($A199,1)="*"),"",IF('Detail Price'!$A$2="All",ROW(),IF(LEFT($A199,LEN('Detail Price'!$A$2))='Detail Price'!$A$2,ROW(),"")))</f>
        <v/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 t="s">
        <v>247</v>
      </c>
      <c r="B200" s="27">
        <v>8999.0</v>
      </c>
      <c r="C200" s="8">
        <v>203.0</v>
      </c>
      <c r="D200" s="7">
        <f>IF(OR($A200="",LEFT($A200,1)="*"),"",IF('Detail Price'!$A$2="All",ROW(),IF(LEFT($A200,LEN('Detail Price'!$A$2))='Detail Price'!$A$2,ROW(),"")))</f>
        <v>200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 t="s">
        <v>248</v>
      </c>
      <c r="B201" s="27">
        <v>18999.0</v>
      </c>
      <c r="C201" s="8">
        <v>270.0</v>
      </c>
      <c r="D201" s="7">
        <f>IF(OR($A201="",LEFT($A201,1)="*"),"",IF('Detail Price'!$A$2="All",ROW(),IF(LEFT($A201,LEN('Detail Price'!$A$2))='Detail Price'!$A$2,ROW(),"")))</f>
        <v>201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 t="s">
        <v>249</v>
      </c>
      <c r="B202" s="27">
        <v>11999.0</v>
      </c>
      <c r="C202" s="8">
        <v>271.0</v>
      </c>
      <c r="D202" s="7">
        <f>IF(OR($A202="",LEFT($A202,1)="*"),"",IF('Detail Price'!$A$2="All",ROW(),IF(LEFT($A202,LEN('Detail Price'!$A$2))='Detail Price'!$A$2,ROW(),"")))</f>
        <v>202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 t="s">
        <v>250</v>
      </c>
      <c r="B203" s="27">
        <v>8999.0</v>
      </c>
      <c r="C203" s="8">
        <v>272.0</v>
      </c>
      <c r="D203" s="7">
        <f>IF(OR($A203="",LEFT($A203,1)="*"),"",IF('Detail Price'!$A$2="All",ROW(),IF(LEFT($A203,LEN('Detail Price'!$A$2))='Detail Price'!$A$2,ROW(),"")))</f>
        <v>203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 t="s">
        <v>251</v>
      </c>
      <c r="B204" s="27">
        <v>7999.0</v>
      </c>
      <c r="C204" s="8">
        <v>273.0</v>
      </c>
      <c r="D204" s="7">
        <f>IF(OR($A204="",LEFT($A204,1)="*"),"",IF('Detail Price'!$A$2="All",ROW(),IF(LEFT($A204,LEN('Detail Price'!$A$2))='Detail Price'!$A$2,ROW(),"")))</f>
        <v>204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 t="s">
        <v>252</v>
      </c>
      <c r="B205" s="27">
        <v>20998.0</v>
      </c>
      <c r="C205" s="8">
        <v>254.0</v>
      </c>
      <c r="D205" s="7">
        <f>IF(OR($A205="",LEFT($A205,1)="*"),"",IF('Detail Price'!$A$2="All",ROW(),IF(LEFT($A205,LEN('Detail Price'!$A$2))='Detail Price'!$A$2,ROW(),"")))</f>
        <v>205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 t="s">
        <v>253</v>
      </c>
      <c r="B206" s="27">
        <v>19998.0</v>
      </c>
      <c r="C206" s="8">
        <v>255.0</v>
      </c>
      <c r="D206" s="7">
        <f>IF(OR($A206="",LEFT($A206,1)="*"),"",IF('Detail Price'!$A$2="All",ROW(),IF(LEFT($A206,LEN('Detail Price'!$A$2))='Detail Price'!$A$2,ROW(),"")))</f>
        <v>206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 t="s">
        <v>254</v>
      </c>
      <c r="B207" s="27">
        <v>21998.0</v>
      </c>
      <c r="C207" s="8">
        <v>256.0</v>
      </c>
      <c r="D207" s="7">
        <f>IF(OR($A207="",LEFT($A207,1)="*"),"",IF('Detail Price'!$A$2="All",ROW(),IF(LEFT($A207,LEN('Detail Price'!$A$2))='Detail Price'!$A$2,ROW(),"")))</f>
        <v>207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" t="s">
        <v>255</v>
      </c>
      <c r="B208" s="27">
        <v>17998.0</v>
      </c>
      <c r="C208" s="8">
        <v>257.0</v>
      </c>
      <c r="D208" s="7">
        <f>IF(OR($A208="",LEFT($A208,1)="*"),"",IF('Detail Price'!$A$2="All",ROW(),IF(LEFT($A208,LEN('Detail Price'!$A$2))='Detail Price'!$A$2,ROW(),"")))</f>
        <v>208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 t="s">
        <v>256</v>
      </c>
      <c r="B209" s="27">
        <v>15998.0</v>
      </c>
      <c r="C209" s="8">
        <v>258.0</v>
      </c>
      <c r="D209" s="7">
        <f>IF(OR($A209="",LEFT($A209,1)="*"),"",IF('Detail Price'!$A$2="All",ROW(),IF(LEFT($A209,LEN('Detail Price'!$A$2))='Detail Price'!$A$2,ROW(),"")))</f>
        <v>209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" t="s">
        <v>257</v>
      </c>
      <c r="B210" s="28">
        <v>21498.0</v>
      </c>
      <c r="C210" s="8">
        <v>259.0</v>
      </c>
      <c r="D210" s="7">
        <f>IF(OR($A210="",LEFT($A210,1)="*"),"",IF('Detail Price'!$A$2="All",ROW(),IF(LEFT($A210,LEN('Detail Price'!$A$2))='Detail Price'!$A$2,ROW(),"")))</f>
        <v>210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 t="s">
        <v>258</v>
      </c>
      <c r="B211" s="27">
        <v>20498.0</v>
      </c>
      <c r="C211" s="8">
        <v>260.0</v>
      </c>
      <c r="D211" s="7">
        <f>IF(OR($A211="",LEFT($A211,1)="*"),"",IF('Detail Price'!$A$2="All",ROW(),IF(LEFT($A211,LEN('Detail Price'!$A$2))='Detail Price'!$A$2,ROW(),"")))</f>
        <v>211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 t="s">
        <v>259</v>
      </c>
      <c r="B212" s="27">
        <v>22498.0</v>
      </c>
      <c r="C212" s="8">
        <v>261.0</v>
      </c>
      <c r="D212" s="7">
        <f>IF(OR($A212="",LEFT($A212,1)="*"),"",IF('Detail Price'!$A$2="All",ROW(),IF(LEFT($A212,LEN('Detail Price'!$A$2))='Detail Price'!$A$2,ROW(),"")))</f>
        <v>212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 t="s">
        <v>260</v>
      </c>
      <c r="B213" s="27">
        <v>18498.0</v>
      </c>
      <c r="C213" s="8">
        <v>262.0</v>
      </c>
      <c r="D213" s="7">
        <f>IF(OR($A213="",LEFT($A213,1)="*"),"",IF('Detail Price'!$A$2="All",ROW(),IF(LEFT($A213,LEN('Detail Price'!$A$2))='Detail Price'!$A$2,ROW(),"")))</f>
        <v>213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 t="s">
        <v>261</v>
      </c>
      <c r="B214" s="27">
        <v>16498.0</v>
      </c>
      <c r="C214" s="8">
        <v>263.0</v>
      </c>
      <c r="D214" s="7">
        <f>IF(OR($A214="",LEFT($A214,1)="*"),"",IF('Detail Price'!$A$2="All",ROW(),IF(LEFT($A214,LEN('Detail Price'!$A$2))='Detail Price'!$A$2,ROW(),"")))</f>
        <v>214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 t="s">
        <v>262</v>
      </c>
      <c r="B215" s="27">
        <v>9998.0</v>
      </c>
      <c r="C215" s="8">
        <v>264.0</v>
      </c>
      <c r="D215" s="7">
        <f>IF(OR($A215="",LEFT($A215,1)="*"),"",IF('Detail Price'!$A$2="All",ROW(),IF(LEFT($A215,LEN('Detail Price'!$A$2))='Detail Price'!$A$2,ROW(),"")))</f>
        <v>215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 t="s">
        <v>263</v>
      </c>
      <c r="B216" s="27">
        <v>24998.0</v>
      </c>
      <c r="C216" s="8">
        <v>265.0</v>
      </c>
      <c r="D216" s="7">
        <f>IF(OR($A216="",LEFT($A216,1)="*"),"",IF('Detail Price'!$A$2="All",ROW(),IF(LEFT($A216,LEN('Detail Price'!$A$2))='Detail Price'!$A$2,ROW(),"")))</f>
        <v>216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 t="s">
        <v>264</v>
      </c>
      <c r="B217" s="27">
        <v>23998.0</v>
      </c>
      <c r="C217" s="8">
        <v>266.0</v>
      </c>
      <c r="D217" s="7">
        <f>IF(OR($A217="",LEFT($A217,1)="*"),"",IF('Detail Price'!$A$2="All",ROW(),IF(LEFT($A217,LEN('Detail Price'!$A$2))='Detail Price'!$A$2,ROW(),"")))</f>
        <v>217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 t="s">
        <v>265</v>
      </c>
      <c r="B218" s="27">
        <v>25998.0</v>
      </c>
      <c r="C218" s="8">
        <v>267.0</v>
      </c>
      <c r="D218" s="7">
        <f>IF(OR($A218="",LEFT($A218,1)="*"),"",IF('Detail Price'!$A$2="All",ROW(),IF(LEFT($A218,LEN('Detail Price'!$A$2))='Detail Price'!$A$2,ROW(),"")))</f>
        <v>218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 t="s">
        <v>266</v>
      </c>
      <c r="B219" s="27">
        <v>21998.0</v>
      </c>
      <c r="C219" s="8">
        <v>268.0</v>
      </c>
      <c r="D219" s="7">
        <f>IF(OR($A219="",LEFT($A219,1)="*"),"",IF('Detail Price'!$A$2="All",ROW(),IF(LEFT($A219,LEN('Detail Price'!$A$2))='Detail Price'!$A$2,ROW(),"")))</f>
        <v>219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 t="s">
        <v>267</v>
      </c>
      <c r="B220" s="27">
        <v>19998.0</v>
      </c>
      <c r="C220" s="8">
        <v>269.0</v>
      </c>
      <c r="D220" s="7">
        <f>IF(OR($A220="",LEFT($A220,1)="*"),"",IF('Detail Price'!$A$2="All",ROW(),IF(LEFT($A220,LEN('Detail Price'!$A$2))='Detail Price'!$A$2,ROW(),"")))</f>
        <v>220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 t="s">
        <v>268</v>
      </c>
      <c r="B221" s="27">
        <v>79999.0</v>
      </c>
      <c r="C221" s="8">
        <v>204.0</v>
      </c>
      <c r="D221" s="7" t="str">
        <f>IF(OR($A221="",LEFT($A221,1)="*"),"",IF('Detail Price'!$A$2="All",ROW(),IF(LEFT($A221,LEN('Detail Price'!$A$2))='Detail Price'!$A$2,ROW(),"")))</f>
        <v/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 t="s">
        <v>269</v>
      </c>
      <c r="B222" s="27">
        <v>64999.0</v>
      </c>
      <c r="C222" s="8">
        <v>205.0</v>
      </c>
      <c r="D222" s="7">
        <f>IF(OR($A222="",LEFT($A222,1)="*"),"",IF('Detail Price'!$A$2="All",ROW(),IF(LEFT($A222,LEN('Detail Price'!$A$2))='Detail Price'!$A$2,ROW(),"")))</f>
        <v>222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 t="s">
        <v>270</v>
      </c>
      <c r="B223" s="27">
        <v>54999.0</v>
      </c>
      <c r="C223" s="8">
        <v>206.0</v>
      </c>
      <c r="D223" s="7">
        <f>IF(OR($A223="",LEFT($A223,1)="*"),"",IF('Detail Price'!$A$2="All",ROW(),IF(LEFT($A223,LEN('Detail Price'!$A$2))='Detail Price'!$A$2,ROW(),"")))</f>
        <v>223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 t="s">
        <v>271</v>
      </c>
      <c r="B224" s="27">
        <v>49999.0</v>
      </c>
      <c r="C224" s="8">
        <v>207.0</v>
      </c>
      <c r="D224" s="7" t="str">
        <f>IF(OR($A224="",LEFT($A224,1)="*"),"",IF('Detail Price'!$A$2="All",ROW(),IF(LEFT($A224,LEN('Detail Price'!$A$2))='Detail Price'!$A$2,ROW(),"")))</f>
        <v/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 t="s">
        <v>272</v>
      </c>
      <c r="B225" s="27">
        <v>39999.0</v>
      </c>
      <c r="C225" s="8">
        <v>208.0</v>
      </c>
      <c r="D225" s="7">
        <f>IF(OR($A225="",LEFT($A225,1)="*"),"",IF('Detail Price'!$A$2="All",ROW(),IF(LEFT($A225,LEN('Detail Price'!$A$2))='Detail Price'!$A$2,ROW(),"")))</f>
        <v>225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 t="s">
        <v>273</v>
      </c>
      <c r="B226" s="27">
        <v>39999.0</v>
      </c>
      <c r="C226" s="8">
        <v>209.0</v>
      </c>
      <c r="D226" s="7" t="str">
        <f>IF(OR($A226="",LEFT($A226,1)="*"),"",IF('Detail Price'!$A$2="All",ROW(),IF(LEFT($A226,LEN('Detail Price'!$A$2))='Detail Price'!$A$2,ROW(),"")))</f>
        <v/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 t="s">
        <v>274</v>
      </c>
      <c r="B227" s="27">
        <v>37999.0</v>
      </c>
      <c r="C227" s="8">
        <v>210.0</v>
      </c>
      <c r="D227" s="7" t="str">
        <f>IF(OR($A227="",LEFT($A227,1)="*"),"",IF('Detail Price'!$A$2="All",ROW(),IF(LEFT($A227,LEN('Detail Price'!$A$2))='Detail Price'!$A$2,ROW(),"")))</f>
        <v/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 t="s">
        <v>275</v>
      </c>
      <c r="B228" s="27">
        <v>36999.0</v>
      </c>
      <c r="C228" s="8">
        <v>211.0</v>
      </c>
      <c r="D228" s="7">
        <f>IF(OR($A228="",LEFT($A228,1)="*"),"",IF('Detail Price'!$A$2="All",ROW(),IF(LEFT($A228,LEN('Detail Price'!$A$2))='Detail Price'!$A$2,ROW(),"")))</f>
        <v>228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 t="s">
        <v>274</v>
      </c>
      <c r="B229" s="27">
        <v>33999.0</v>
      </c>
      <c r="C229" s="8">
        <v>212.0</v>
      </c>
      <c r="D229" s="7" t="str">
        <f>IF(OR($A229="",LEFT($A229,1)="*"),"",IF('Detail Price'!$A$2="All",ROW(),IF(LEFT($A229,LEN('Detail Price'!$A$2))='Detail Price'!$A$2,ROW(),"")))</f>
        <v/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 t="s">
        <v>276</v>
      </c>
      <c r="B230" s="27">
        <v>32999.0</v>
      </c>
      <c r="C230" s="8">
        <v>213.0</v>
      </c>
      <c r="D230" s="7">
        <f>IF(OR($A230="",LEFT($A230,1)="*"),"",IF('Detail Price'!$A$2="All",ROW(),IF(LEFT($A230,LEN('Detail Price'!$A$2))='Detail Price'!$A$2,ROW(),"")))</f>
        <v>230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 t="s">
        <v>277</v>
      </c>
      <c r="B231" s="27">
        <v>31999.0</v>
      </c>
      <c r="C231" s="8">
        <v>214.0</v>
      </c>
      <c r="D231" s="7">
        <f>IF(OR($A231="",LEFT($A231,1)="*"),"",IF('Detail Price'!$A$2="All",ROW(),IF(LEFT($A231,LEN('Detail Price'!$A$2))='Detail Price'!$A$2,ROW(),"")))</f>
        <v>231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 t="s">
        <v>278</v>
      </c>
      <c r="B232" s="27">
        <v>29999.0</v>
      </c>
      <c r="C232" s="8">
        <v>215.0</v>
      </c>
      <c r="D232" s="7">
        <f>IF(OR($A232="",LEFT($A232,1)="*"),"",IF('Detail Price'!$A$2="All",ROW(),IF(LEFT($A232,LEN('Detail Price'!$A$2))='Detail Price'!$A$2,ROW(),"")))</f>
        <v>232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 t="s">
        <v>279</v>
      </c>
      <c r="B233" s="27">
        <v>29999.0</v>
      </c>
      <c r="C233" s="8">
        <v>216.0</v>
      </c>
      <c r="D233" s="7" t="str">
        <f>IF(OR($A233="",LEFT($A233,1)="*"),"",IF('Detail Price'!$A$2="All",ROW(),IF(LEFT($A233,LEN('Detail Price'!$A$2))='Detail Price'!$A$2,ROW(),"")))</f>
        <v/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 t="s">
        <v>280</v>
      </c>
      <c r="B234" s="27">
        <v>27999.0</v>
      </c>
      <c r="C234" s="8">
        <v>217.0</v>
      </c>
      <c r="D234" s="7">
        <f>IF(OR($A234="",LEFT($A234,1)="*"),"",IF('Detail Price'!$A$2="All",ROW(),IF(LEFT($A234,LEN('Detail Price'!$A$2))='Detail Price'!$A$2,ROW(),"")))</f>
        <v>234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 t="s">
        <v>281</v>
      </c>
      <c r="B235" s="27">
        <v>22999.0</v>
      </c>
      <c r="C235" s="8">
        <v>218.0</v>
      </c>
      <c r="D235" s="7" t="str">
        <f>IF(OR($A235="",LEFT($A235,1)="*"),"",IF('Detail Price'!$A$2="All",ROW(),IF(LEFT($A235,LEN('Detail Price'!$A$2))='Detail Price'!$A$2,ROW(),"")))</f>
        <v/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 t="s">
        <v>282</v>
      </c>
      <c r="B236" s="27">
        <v>23999.0</v>
      </c>
      <c r="C236" s="8">
        <v>219.0</v>
      </c>
      <c r="D236" s="7">
        <f>IF(OR($A236="",LEFT($A236,1)="*"),"",IF('Detail Price'!$A$2="All",ROW(),IF(LEFT($A236,LEN('Detail Price'!$A$2))='Detail Price'!$A$2,ROW(),"")))</f>
        <v>236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 t="s">
        <v>283</v>
      </c>
      <c r="B237" s="27">
        <v>19999.0</v>
      </c>
      <c r="C237" s="8">
        <v>220.0</v>
      </c>
      <c r="D237" s="7">
        <f>IF(OR($A237="",LEFT($A237,1)="*"),"",IF('Detail Price'!$A$2="All",ROW(),IF(LEFT($A237,LEN('Detail Price'!$A$2))='Detail Price'!$A$2,ROW(),"")))</f>
        <v>237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 t="s">
        <v>284</v>
      </c>
      <c r="B238" s="27">
        <v>17999.0</v>
      </c>
      <c r="C238" s="8">
        <v>221.0</v>
      </c>
      <c r="D238" s="7">
        <f>IF(OR($A238="",LEFT($A238,1)="*"),"",IF('Detail Price'!$A$2="All",ROW(),IF(LEFT($A238,LEN('Detail Price'!$A$2))='Detail Price'!$A$2,ROW(),"")))</f>
        <v>238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 t="s">
        <v>285</v>
      </c>
      <c r="B239" s="27">
        <v>16999.0</v>
      </c>
      <c r="C239" s="8">
        <v>222.0</v>
      </c>
      <c r="D239" s="7">
        <f>IF(OR($A239="",LEFT($A239,1)="*"),"",IF('Detail Price'!$A$2="All",ROW(),IF(LEFT($A239,LEN('Detail Price'!$A$2))='Detail Price'!$A$2,ROW(),"")))</f>
        <v>239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 t="s">
        <v>286</v>
      </c>
      <c r="B240" s="27">
        <v>12999.0</v>
      </c>
      <c r="C240" s="8">
        <v>223.0</v>
      </c>
      <c r="D240" s="7">
        <f>IF(OR($A240="",LEFT($A240,1)="*"),"",IF('Detail Price'!$A$2="All",ROW(),IF(LEFT($A240,LEN('Detail Price'!$A$2))='Detail Price'!$A$2,ROW(),"")))</f>
        <v>240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 t="s">
        <v>287</v>
      </c>
      <c r="B241" s="27">
        <v>15999.0</v>
      </c>
      <c r="C241" s="8">
        <v>224.0</v>
      </c>
      <c r="D241" s="7">
        <f>IF(OR($A241="",LEFT($A241,1)="*"),"",IF('Detail Price'!$A$2="All",ROW(),IF(LEFT($A241,LEN('Detail Price'!$A$2))='Detail Price'!$A$2,ROW(),"")))</f>
        <v>241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 t="s">
        <v>288</v>
      </c>
      <c r="B242" s="27">
        <v>13999.0</v>
      </c>
      <c r="C242" s="8">
        <v>225.0</v>
      </c>
      <c r="D242" s="7">
        <f>IF(OR($A242="",LEFT($A242,1)="*"),"",IF('Detail Price'!$A$2="All",ROW(),IF(LEFT($A242,LEN('Detail Price'!$A$2))='Detail Price'!$A$2,ROW(),"")))</f>
        <v>242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 t="s">
        <v>289</v>
      </c>
      <c r="B243" s="27">
        <v>9499.0</v>
      </c>
      <c r="C243" s="8">
        <v>226.0</v>
      </c>
      <c r="D243" s="7">
        <f>IF(OR($A243="",LEFT($A243,1)="*"),"",IF('Detail Price'!$A$2="All",ROW(),IF(LEFT($A243,LEN('Detail Price'!$A$2))='Detail Price'!$A$2,ROW(),"")))</f>
        <v>243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 t="s">
        <v>290</v>
      </c>
      <c r="B244" s="27">
        <v>8499.0</v>
      </c>
      <c r="C244" s="8">
        <v>227.0</v>
      </c>
      <c r="D244" s="7">
        <f>IF(OR($A244="",LEFT($A244,1)="*"),"",IF('Detail Price'!$A$2="All",ROW(),IF(LEFT($A244,LEN('Detail Price'!$A$2))='Detail Price'!$A$2,ROW(),"")))</f>
        <v>244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 t="s">
        <v>291</v>
      </c>
      <c r="B245" s="27">
        <v>7999.0</v>
      </c>
      <c r="C245" s="8">
        <v>228.0</v>
      </c>
      <c r="D245" s="7">
        <f>IF(OR($A245="",LEFT($A245,1)="*"),"",IF('Detail Price'!$A$2="All",ROW(),IF(LEFT($A245,LEN('Detail Price'!$A$2))='Detail Price'!$A$2,ROW(),"")))</f>
        <v>245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 t="s">
        <v>292</v>
      </c>
      <c r="B246" s="27">
        <v>7499.0</v>
      </c>
      <c r="C246" s="8">
        <v>229.0</v>
      </c>
      <c r="D246" s="7">
        <f>IF(OR($A246="",LEFT($A246,1)="*"),"",IF('Detail Price'!$A$2="All",ROW(),IF(LEFT($A246,LEN('Detail Price'!$A$2))='Detail Price'!$A$2,ROW(),"")))</f>
        <v>246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 t="s">
        <v>293</v>
      </c>
      <c r="B247" s="27">
        <v>6999.0</v>
      </c>
      <c r="C247" s="8">
        <v>230.0</v>
      </c>
      <c r="D247" s="7">
        <f>IF(OR($A247="",LEFT($A247,1)="*"),"",IF('Detail Price'!$A$2="All",ROW(),IF(LEFT($A247,LEN('Detail Price'!$A$2))='Detail Price'!$A$2,ROW(),"")))</f>
        <v>247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 t="s">
        <v>294</v>
      </c>
      <c r="B248" s="27">
        <v>5999.0</v>
      </c>
      <c r="C248" s="8">
        <v>231.0</v>
      </c>
      <c r="D248" s="7">
        <f>IF(OR($A248="",LEFT($A248,1)="*"),"",IF('Detail Price'!$A$2="All",ROW(),IF(LEFT($A248,LEN('Detail Price'!$A$2))='Detail Price'!$A$2,ROW(),"")))</f>
        <v>248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 t="s">
        <v>295</v>
      </c>
      <c r="B249" s="27">
        <v>6299.0</v>
      </c>
      <c r="C249" s="8">
        <v>232.0</v>
      </c>
      <c r="D249" s="7">
        <f>IF(OR($A249="",LEFT($A249,1)="*"),"",IF('Detail Price'!$A$2="All",ROW(),IF(LEFT($A249,LEN('Detail Price'!$A$2))='Detail Price'!$A$2,ROW(),"")))</f>
        <v>249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 t="s">
        <v>296</v>
      </c>
      <c r="B250" s="27">
        <v>4999.0</v>
      </c>
      <c r="C250" s="8">
        <v>233.0</v>
      </c>
      <c r="D250" s="7">
        <f>IF(OR($A250="",LEFT($A250,1)="*"),"",IF('Detail Price'!$A$2="All",ROW(),IF(LEFT($A250,LEN('Detail Price'!$A$2))='Detail Price'!$A$2,ROW(),"")))</f>
        <v>250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 t="s">
        <v>297</v>
      </c>
      <c r="B251" s="27">
        <v>5799.0</v>
      </c>
      <c r="C251" s="8">
        <v>234.0</v>
      </c>
      <c r="D251" s="7">
        <f>IF(OR($A251="",LEFT($A251,1)="*"),"",IF('Detail Price'!$A$2="All",ROW(),IF(LEFT($A251,LEN('Detail Price'!$A$2))='Detail Price'!$A$2,ROW(),"")))</f>
        <v>251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 t="s">
        <v>298</v>
      </c>
      <c r="B252" s="27">
        <v>5499.0</v>
      </c>
      <c r="C252" s="8">
        <v>235.0</v>
      </c>
      <c r="D252" s="7">
        <f>IF(OR($A252="",LEFT($A252,1)="*"),"",IF('Detail Price'!$A$2="All",ROW(),IF(LEFT($A252,LEN('Detail Price'!$A$2))='Detail Price'!$A$2,ROW(),"")))</f>
        <v>252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 t="s">
        <v>299</v>
      </c>
      <c r="B253" s="27">
        <v>32900.0</v>
      </c>
      <c r="C253" s="8">
        <v>236.0</v>
      </c>
      <c r="D253" s="7">
        <f>IF(OR($A253="",LEFT($A253,1)="*"),"",IF('Detail Price'!$A$2="All",ROW(),IF(LEFT($A253,LEN('Detail Price'!$A$2))='Detail Price'!$A$2,ROW(),"")))</f>
        <v>253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 t="s">
        <v>300</v>
      </c>
      <c r="B254" s="27">
        <v>32900.0</v>
      </c>
      <c r="C254" s="8">
        <v>237.0</v>
      </c>
      <c r="D254" s="7">
        <f>IF(OR($A254="",LEFT($A254,1)="*"),"",IF('Detail Price'!$A$2="All",ROW(),IF(LEFT($A254,LEN('Detail Price'!$A$2))='Detail Price'!$A$2,ROW(),"")))</f>
        <v>254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 t="s">
        <v>301</v>
      </c>
      <c r="B255" s="27">
        <v>29900.0</v>
      </c>
      <c r="C255" s="8">
        <v>238.0</v>
      </c>
      <c r="D255" s="7">
        <f>IF(OR($A255="",LEFT($A255,1)="*"),"",IF('Detail Price'!$A$2="All",ROW(),IF(LEFT($A255,LEN('Detail Price'!$A$2))='Detail Price'!$A$2,ROW(),"")))</f>
        <v>255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 t="s">
        <v>302</v>
      </c>
      <c r="B256" s="27">
        <v>25900.0</v>
      </c>
      <c r="C256" s="8">
        <v>239.0</v>
      </c>
      <c r="D256" s="7">
        <f>IF(OR($A256="",LEFT($A256,1)="*"),"",IF('Detail Price'!$A$2="All",ROW(),IF(LEFT($A256,LEN('Detail Price'!$A$2))='Detail Price'!$A$2,ROW(),"")))</f>
        <v>256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 t="s">
        <v>303</v>
      </c>
      <c r="B257" s="27">
        <v>16900.0</v>
      </c>
      <c r="C257" s="8">
        <v>240.0</v>
      </c>
      <c r="D257" s="7">
        <f>IF(OR($A257="",LEFT($A257,1)="*"),"",IF('Detail Price'!$A$2="All",ROW(),IF(LEFT($A257,LEN('Detail Price'!$A$2))='Detail Price'!$A$2,ROW(),"")))</f>
        <v>257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 t="s">
        <v>304</v>
      </c>
      <c r="B258" s="27">
        <v>14900.0</v>
      </c>
      <c r="C258" s="8">
        <v>241.0</v>
      </c>
      <c r="D258" s="7">
        <f>IF(OR($A258="",LEFT($A258,1)="*"),"",IF('Detail Price'!$A$2="All",ROW(),IF(LEFT($A258,LEN('Detail Price'!$A$2))='Detail Price'!$A$2,ROW(),"")))</f>
        <v>258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 t="s">
        <v>305</v>
      </c>
      <c r="B259" s="27">
        <v>14490.0</v>
      </c>
      <c r="C259" s="8">
        <v>242.0</v>
      </c>
      <c r="D259" s="7">
        <f>IF(OR($A259="",LEFT($A259,1)="*"),"",IF('Detail Price'!$A$2="All",ROW(),IF(LEFT($A259,LEN('Detail Price'!$A$2))='Detail Price'!$A$2,ROW(),"")))</f>
        <v>259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 t="s">
        <v>306</v>
      </c>
      <c r="B260" s="27">
        <v>17900.0</v>
      </c>
      <c r="C260" s="8">
        <v>243.0</v>
      </c>
      <c r="D260" s="7">
        <f>IF(OR($A260="",LEFT($A260,1)="*"),"",IF('Detail Price'!$A$2="All",ROW(),IF(LEFT($A260,LEN('Detail Price'!$A$2))='Detail Price'!$A$2,ROW(),"")))</f>
        <v>260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 t="s">
        <v>307</v>
      </c>
      <c r="B261" s="27">
        <v>15900.0</v>
      </c>
      <c r="C261" s="8">
        <v>244.0</v>
      </c>
      <c r="D261" s="7">
        <f>IF(OR($A261="",LEFT($A261,1)="*"),"",IF('Detail Price'!$A$2="All",ROW(),IF(LEFT($A261,LEN('Detail Price'!$A$2))='Detail Price'!$A$2,ROW(),"")))</f>
        <v>261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 t="s">
        <v>308</v>
      </c>
      <c r="B262" s="27">
        <v>11999.0</v>
      </c>
      <c r="C262" s="8">
        <v>245.0</v>
      </c>
      <c r="D262" s="7" t="str">
        <f>IF(OR($A262="",LEFT($A262,1)="*"),"",IF('Detail Price'!$A$2="All",ROW(),IF(LEFT($A262,LEN('Detail Price'!$A$2))='Detail Price'!$A$2,ROW(),"")))</f>
        <v/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 t="s">
        <v>309</v>
      </c>
      <c r="B263" s="27">
        <v>11900.0</v>
      </c>
      <c r="C263" s="8">
        <v>246.0</v>
      </c>
      <c r="D263" s="7">
        <f>IF(OR($A263="",LEFT($A263,1)="*"),"",IF('Detail Price'!$A$2="All",ROW(),IF(LEFT($A263,LEN('Detail Price'!$A$2))='Detail Price'!$A$2,ROW(),"")))</f>
        <v>263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 t="s">
        <v>310</v>
      </c>
      <c r="B264" s="27">
        <v>9900.0</v>
      </c>
      <c r="C264" s="8">
        <v>247.0</v>
      </c>
      <c r="D264" s="7" t="str">
        <f>IF(OR($A264="",LEFT($A264,1)="*"),"",IF('Detail Price'!$A$2="All",ROW(),IF(LEFT($A264,LEN('Detail Price'!$A$2))='Detail Price'!$A$2,ROW(),"")))</f>
        <v/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 t="s">
        <v>311</v>
      </c>
      <c r="B265" s="27">
        <v>9900.0</v>
      </c>
      <c r="C265" s="8">
        <v>248.0</v>
      </c>
      <c r="D265" s="7">
        <f>IF(OR($A265="",LEFT($A265,1)="*"),"",IF('Detail Price'!$A$2="All",ROW(),IF(LEFT($A265,LEN('Detail Price'!$A$2))='Detail Price'!$A$2,ROW(),"")))</f>
        <v>265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30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31"/>
      <c r="B267" s="30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31"/>
      <c r="B268" s="30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31"/>
      <c r="B269" s="30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31"/>
      <c r="B270" s="30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31"/>
      <c r="B271" s="30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31"/>
      <c r="B272" s="30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31"/>
      <c r="B273" s="30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31"/>
      <c r="B274" s="30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31"/>
      <c r="B275" s="30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31"/>
      <c r="B276" s="30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31"/>
      <c r="B277" s="30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31"/>
      <c r="B278" s="30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31"/>
      <c r="B279" s="30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31"/>
      <c r="B280" s="30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31"/>
      <c r="B281" s="30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31"/>
      <c r="B282" s="30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31"/>
      <c r="B283" s="30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31"/>
      <c r="B284" s="30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31"/>
      <c r="B285" s="30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31"/>
      <c r="B286" s="30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31"/>
      <c r="B287" s="30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31"/>
      <c r="B288" s="30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31"/>
      <c r="B289" s="30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31"/>
      <c r="B290" s="30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31"/>
      <c r="B291" s="30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31"/>
      <c r="B292" s="30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31"/>
      <c r="B293" s="30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31"/>
      <c r="B294" s="30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31"/>
      <c r="B295" s="30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31"/>
      <c r="B296" s="30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31"/>
      <c r="B297" s="30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31"/>
      <c r="B298" s="30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31"/>
      <c r="B299" s="30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31"/>
      <c r="B300" s="30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31"/>
      <c r="B301" s="30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31"/>
      <c r="B302" s="30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31"/>
      <c r="B303" s="30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31"/>
      <c r="B304" s="30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31"/>
      <c r="B305" s="30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31"/>
      <c r="B306" s="30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31"/>
      <c r="B307" s="30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31"/>
      <c r="B308" s="30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31"/>
      <c r="B309" s="30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31"/>
      <c r="B310" s="30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31"/>
      <c r="B311" s="30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31"/>
      <c r="B312" s="30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31"/>
      <c r="B313" s="30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31"/>
      <c r="B314" s="30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31"/>
      <c r="B315" s="30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31"/>
      <c r="B316" s="30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31"/>
      <c r="B317" s="30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31"/>
      <c r="B318" s="30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31"/>
      <c r="B319" s="30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31"/>
      <c r="B320" s="30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31"/>
      <c r="B321" s="30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31"/>
      <c r="B322" s="30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31"/>
      <c r="B323" s="30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31"/>
      <c r="B324" s="30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31"/>
      <c r="B325" s="30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31"/>
      <c r="B326" s="30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31"/>
      <c r="B327" s="30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31"/>
      <c r="B328" s="30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31"/>
      <c r="B329" s="30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31"/>
      <c r="B330" s="30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31"/>
      <c r="B331" s="30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31"/>
      <c r="B332" s="30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31"/>
      <c r="B333" s="30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31"/>
      <c r="B334" s="30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31"/>
      <c r="B335" s="30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31"/>
      <c r="B336" s="30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31"/>
      <c r="B337" s="30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31"/>
      <c r="B338" s="30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31"/>
      <c r="B339" s="30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31"/>
      <c r="B340" s="30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31"/>
      <c r="B341" s="30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31"/>
      <c r="B342" s="30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31"/>
      <c r="B343" s="30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31"/>
      <c r="B344" s="30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31"/>
      <c r="B345" s="30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31"/>
      <c r="B346" s="30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31"/>
      <c r="B347" s="30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31"/>
      <c r="B348" s="30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31"/>
      <c r="B349" s="30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31"/>
      <c r="B350" s="30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31"/>
      <c r="B351" s="30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31"/>
      <c r="B352" s="30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31"/>
      <c r="B353" s="30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31"/>
      <c r="B354" s="30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31"/>
      <c r="B355" s="30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31"/>
      <c r="B356" s="30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31"/>
      <c r="B357" s="30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31"/>
      <c r="B358" s="30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31"/>
      <c r="B359" s="30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31"/>
      <c r="B360" s="30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31"/>
      <c r="B361" s="30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31"/>
      <c r="B362" s="30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31"/>
      <c r="B363" s="30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31"/>
      <c r="B364" s="30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31"/>
      <c r="B365" s="30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31"/>
      <c r="B366" s="30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31"/>
      <c r="B367" s="30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31"/>
      <c r="B368" s="30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31"/>
      <c r="B369" s="30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31"/>
      <c r="B370" s="30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31"/>
      <c r="B371" s="30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31"/>
      <c r="B372" s="30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31"/>
      <c r="B373" s="30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31"/>
      <c r="B374" s="30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31"/>
      <c r="B375" s="30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31"/>
      <c r="B376" s="30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31"/>
      <c r="B377" s="30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31"/>
      <c r="B378" s="30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31"/>
      <c r="B379" s="30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31"/>
      <c r="B380" s="30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31"/>
      <c r="B381" s="30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31"/>
      <c r="B382" s="30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31"/>
      <c r="B383" s="30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31"/>
      <c r="B384" s="30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31"/>
      <c r="B385" s="30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31"/>
      <c r="B386" s="30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31"/>
      <c r="B387" s="30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31"/>
      <c r="B388" s="30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31"/>
      <c r="B389" s="30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31"/>
      <c r="B390" s="30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31"/>
      <c r="B391" s="30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31"/>
      <c r="B392" s="30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31"/>
      <c r="B393" s="30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31"/>
      <c r="B394" s="30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31"/>
      <c r="B395" s="30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31"/>
      <c r="B396" s="30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31"/>
      <c r="B397" s="30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31"/>
      <c r="B398" s="30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31"/>
      <c r="B399" s="30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31"/>
      <c r="B400" s="30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31"/>
      <c r="B401" s="30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31"/>
      <c r="B402" s="30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31"/>
      <c r="B403" s="30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31"/>
      <c r="B404" s="30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31"/>
      <c r="B405" s="30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31"/>
      <c r="B406" s="30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31"/>
      <c r="B407" s="30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31"/>
      <c r="B408" s="30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31"/>
      <c r="B409" s="30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31"/>
      <c r="B410" s="30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31"/>
      <c r="B411" s="30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31"/>
      <c r="B412" s="30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31"/>
      <c r="B413" s="30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31"/>
      <c r="B414" s="30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31"/>
      <c r="B415" s="30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31"/>
      <c r="B416" s="30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31"/>
      <c r="B417" s="30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31"/>
      <c r="B418" s="30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31"/>
      <c r="B419" s="30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31"/>
      <c r="B420" s="30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31"/>
      <c r="B421" s="30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31"/>
      <c r="B422" s="30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31"/>
      <c r="B423" s="30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31"/>
      <c r="B424" s="30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31"/>
      <c r="B425" s="30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31"/>
      <c r="B426" s="30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31"/>
      <c r="B427" s="30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31"/>
      <c r="B428" s="30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31"/>
      <c r="B429" s="30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31"/>
      <c r="B430" s="30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31"/>
      <c r="B431" s="30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31"/>
      <c r="B432" s="30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31"/>
      <c r="B433" s="30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31"/>
      <c r="B434" s="30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31"/>
      <c r="B435" s="30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31"/>
      <c r="B436" s="30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31"/>
      <c r="B437" s="30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31"/>
      <c r="B438" s="30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31"/>
      <c r="B439" s="30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31"/>
      <c r="B440" s="30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31"/>
      <c r="B441" s="30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31"/>
      <c r="B442" s="30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31"/>
      <c r="B443" s="30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31"/>
      <c r="B444" s="30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31"/>
      <c r="B445" s="30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31"/>
      <c r="B446" s="30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31"/>
      <c r="B447" s="30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31"/>
      <c r="B448" s="30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31"/>
      <c r="B449" s="30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31"/>
      <c r="B450" s="30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31"/>
      <c r="B451" s="30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31"/>
      <c r="B452" s="30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31"/>
      <c r="B453" s="30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31"/>
      <c r="B454" s="30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31"/>
      <c r="B455" s="30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31"/>
      <c r="B456" s="30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31"/>
      <c r="B457" s="30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31"/>
      <c r="B458" s="30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31"/>
      <c r="B459" s="30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31"/>
      <c r="B460" s="30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31"/>
      <c r="B461" s="30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31"/>
      <c r="B462" s="30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31"/>
      <c r="B463" s="30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31"/>
      <c r="B464" s="30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31"/>
      <c r="B465" s="30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31"/>
      <c r="B466" s="30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31"/>
      <c r="B467" s="30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31"/>
      <c r="B468" s="30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31"/>
      <c r="B469" s="30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31"/>
      <c r="B470" s="30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31"/>
      <c r="B471" s="30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31"/>
      <c r="B472" s="30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31"/>
      <c r="B473" s="30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31"/>
      <c r="B474" s="30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31"/>
      <c r="B475" s="30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31"/>
      <c r="B476" s="30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31"/>
      <c r="B477" s="30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31"/>
      <c r="B478" s="30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31"/>
      <c r="B479" s="30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31"/>
      <c r="B480" s="30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31"/>
      <c r="B481" s="30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31"/>
      <c r="B482" s="30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31"/>
      <c r="B483" s="30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31"/>
      <c r="B484" s="30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31"/>
      <c r="B485" s="30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31"/>
      <c r="B486" s="30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31"/>
      <c r="B487" s="30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31"/>
      <c r="B488" s="30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31"/>
      <c r="B489" s="30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31"/>
      <c r="B490" s="30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31"/>
      <c r="B491" s="30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31"/>
      <c r="B492" s="30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31"/>
      <c r="B493" s="30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31"/>
      <c r="B494" s="30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31"/>
      <c r="B495" s="30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31"/>
      <c r="B496" s="30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31"/>
      <c r="B497" s="30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31"/>
      <c r="B498" s="30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31"/>
      <c r="B499" s="30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31"/>
      <c r="B500" s="30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31"/>
      <c r="B501" s="30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31"/>
      <c r="B502" s="30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31"/>
      <c r="B503" s="30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31"/>
      <c r="B504" s="30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31"/>
      <c r="B505" s="30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31"/>
      <c r="B506" s="30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31"/>
      <c r="B507" s="30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31"/>
      <c r="B508" s="30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31"/>
      <c r="B509" s="30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31"/>
      <c r="B510" s="30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31"/>
      <c r="B511" s="30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31"/>
      <c r="B512" s="30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31"/>
      <c r="B513" s="30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31"/>
      <c r="B514" s="30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31"/>
      <c r="B515" s="30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31"/>
      <c r="B516" s="30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31"/>
      <c r="B517" s="30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31"/>
      <c r="B518" s="30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31"/>
      <c r="B519" s="30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31"/>
      <c r="B520" s="30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31"/>
      <c r="B521" s="30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31"/>
      <c r="B522" s="30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31"/>
      <c r="B523" s="30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31"/>
      <c r="B524" s="30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31"/>
      <c r="B525" s="30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31"/>
      <c r="B526" s="30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31"/>
      <c r="B527" s="30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31"/>
      <c r="B528" s="30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31"/>
      <c r="B529" s="30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31"/>
      <c r="B530" s="30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31"/>
      <c r="B531" s="30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31"/>
      <c r="B532" s="30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31"/>
      <c r="B533" s="30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31"/>
      <c r="B534" s="30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31"/>
      <c r="B535" s="30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31"/>
      <c r="B536" s="30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31"/>
      <c r="B537" s="30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31"/>
      <c r="B538" s="30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31"/>
      <c r="B539" s="30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31"/>
      <c r="B540" s="30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31"/>
      <c r="B541" s="30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31"/>
      <c r="B542" s="30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31"/>
      <c r="B543" s="30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31"/>
      <c r="B544" s="30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31"/>
      <c r="B545" s="30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31"/>
      <c r="B546" s="30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31"/>
      <c r="B547" s="30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31"/>
      <c r="B548" s="30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31"/>
      <c r="B549" s="30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31"/>
      <c r="B550" s="30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31"/>
      <c r="B551" s="30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31"/>
      <c r="B552" s="30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31"/>
      <c r="B553" s="30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31"/>
      <c r="B554" s="30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31"/>
      <c r="B555" s="30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31"/>
      <c r="B556" s="30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31"/>
      <c r="B557" s="30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31"/>
      <c r="B558" s="30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31"/>
      <c r="B559" s="30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31"/>
      <c r="B560" s="30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31"/>
      <c r="B561" s="30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31"/>
      <c r="B562" s="30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31"/>
      <c r="B563" s="30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31"/>
      <c r="B564" s="30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31"/>
      <c r="B565" s="30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31"/>
      <c r="B566" s="30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31"/>
      <c r="B567" s="30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31"/>
      <c r="B568" s="30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31"/>
      <c r="B569" s="30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31"/>
      <c r="B570" s="30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31"/>
      <c r="B571" s="30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31"/>
      <c r="B572" s="30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31"/>
      <c r="B573" s="30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31"/>
      <c r="B574" s="30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31"/>
      <c r="B575" s="30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31"/>
      <c r="B576" s="30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31"/>
      <c r="B577" s="30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31"/>
      <c r="B578" s="30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31"/>
      <c r="B579" s="30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31"/>
      <c r="B580" s="30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31"/>
      <c r="B581" s="30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31"/>
      <c r="B582" s="30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31"/>
      <c r="B583" s="30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31"/>
      <c r="B584" s="30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31"/>
      <c r="B585" s="30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31"/>
      <c r="B586" s="30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31"/>
      <c r="B587" s="30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31"/>
      <c r="B588" s="30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31"/>
      <c r="B589" s="30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31"/>
      <c r="B590" s="30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31"/>
      <c r="B591" s="30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31"/>
      <c r="B592" s="30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31"/>
      <c r="B593" s="30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31"/>
      <c r="B594" s="30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31"/>
      <c r="B595" s="30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31"/>
      <c r="B596" s="30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31"/>
      <c r="B597" s="30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31"/>
      <c r="B598" s="30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31"/>
      <c r="B599" s="30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31"/>
      <c r="B600" s="30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31"/>
      <c r="B601" s="30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31"/>
      <c r="B602" s="30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31"/>
      <c r="B603" s="30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31"/>
      <c r="B604" s="30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31"/>
      <c r="B605" s="30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31"/>
      <c r="B606" s="30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31"/>
      <c r="B607" s="30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31"/>
      <c r="B608" s="30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31"/>
      <c r="B609" s="30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31"/>
      <c r="B610" s="30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31"/>
      <c r="B611" s="30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31"/>
      <c r="B612" s="30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31"/>
      <c r="B613" s="30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31"/>
      <c r="B614" s="30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31"/>
      <c r="B615" s="30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31"/>
      <c r="B616" s="30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31"/>
      <c r="B617" s="30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31"/>
      <c r="B618" s="30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31"/>
      <c r="B619" s="30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31"/>
      <c r="B620" s="30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31"/>
      <c r="B621" s="30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31"/>
      <c r="B622" s="30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31"/>
      <c r="B623" s="30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31"/>
      <c r="B624" s="30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31"/>
      <c r="B625" s="30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31"/>
      <c r="B626" s="30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31"/>
      <c r="B627" s="30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31"/>
      <c r="B628" s="30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31"/>
      <c r="B629" s="30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31"/>
      <c r="B630" s="30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31"/>
      <c r="B631" s="30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31"/>
      <c r="B632" s="30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31"/>
      <c r="B633" s="30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31"/>
      <c r="B634" s="30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31"/>
      <c r="B635" s="30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31"/>
      <c r="B636" s="30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31"/>
      <c r="B637" s="30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31"/>
      <c r="B638" s="30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31"/>
      <c r="B639" s="30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31"/>
      <c r="B640" s="30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31"/>
      <c r="B641" s="30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31"/>
      <c r="B642" s="30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31"/>
      <c r="B643" s="30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31"/>
      <c r="B644" s="30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31"/>
      <c r="B645" s="30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31"/>
      <c r="B646" s="30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31"/>
      <c r="B647" s="30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31"/>
      <c r="B648" s="30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31"/>
      <c r="B649" s="30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31"/>
      <c r="B650" s="30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31"/>
      <c r="B651" s="30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31"/>
      <c r="B652" s="30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31"/>
      <c r="B653" s="30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31"/>
      <c r="B654" s="30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31"/>
      <c r="B655" s="30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31"/>
      <c r="B656" s="30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31"/>
      <c r="B657" s="30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31"/>
      <c r="B658" s="30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31"/>
      <c r="B659" s="30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31"/>
      <c r="B660" s="30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31"/>
      <c r="B661" s="30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31"/>
      <c r="B662" s="30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31"/>
      <c r="B663" s="30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31"/>
      <c r="B664" s="30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31"/>
      <c r="B665" s="30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31"/>
      <c r="B666" s="30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31"/>
      <c r="B667" s="30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31"/>
      <c r="B668" s="30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31"/>
      <c r="B669" s="30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31"/>
      <c r="B670" s="30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31"/>
      <c r="B671" s="30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31"/>
      <c r="B672" s="30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31"/>
      <c r="B673" s="30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31"/>
      <c r="B674" s="30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31"/>
      <c r="B675" s="30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31"/>
      <c r="B676" s="30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31"/>
      <c r="B677" s="30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31"/>
      <c r="B678" s="30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31"/>
      <c r="B679" s="30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31"/>
      <c r="B680" s="30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31"/>
      <c r="B681" s="30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31"/>
      <c r="B682" s="30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31"/>
      <c r="B683" s="30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31"/>
      <c r="B684" s="30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31"/>
      <c r="B685" s="30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31"/>
      <c r="B686" s="30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31"/>
      <c r="B687" s="30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31"/>
      <c r="B688" s="30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31"/>
      <c r="B689" s="30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31"/>
      <c r="B690" s="30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31"/>
      <c r="B691" s="30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31"/>
      <c r="B692" s="30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31"/>
      <c r="B693" s="30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31"/>
      <c r="B694" s="30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31"/>
      <c r="B695" s="30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31"/>
      <c r="B696" s="30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31"/>
      <c r="B697" s="30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31"/>
      <c r="B698" s="30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31"/>
      <c r="B699" s="30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31"/>
      <c r="B700" s="30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31"/>
      <c r="B701" s="30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31"/>
      <c r="B702" s="30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31"/>
      <c r="B703" s="30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31"/>
      <c r="B704" s="30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31"/>
      <c r="B705" s="30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31"/>
      <c r="B706" s="30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31"/>
      <c r="B707" s="30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31"/>
      <c r="B708" s="30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31"/>
      <c r="B709" s="30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31"/>
      <c r="B710" s="30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31"/>
      <c r="B711" s="30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31"/>
      <c r="B712" s="30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31"/>
      <c r="B713" s="30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31"/>
      <c r="B714" s="30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31"/>
      <c r="B715" s="30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31"/>
      <c r="B716" s="30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31"/>
      <c r="B717" s="30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31"/>
      <c r="B718" s="30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31"/>
      <c r="B719" s="30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31"/>
      <c r="B720" s="30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31"/>
      <c r="B721" s="30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31"/>
      <c r="B722" s="30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31"/>
      <c r="B723" s="30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31"/>
      <c r="B724" s="30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31"/>
      <c r="B725" s="30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31"/>
      <c r="B726" s="30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31"/>
      <c r="B727" s="30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31"/>
      <c r="B728" s="30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31"/>
      <c r="B729" s="30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31"/>
      <c r="B730" s="30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31"/>
      <c r="B731" s="30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31"/>
      <c r="B732" s="30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31"/>
      <c r="B733" s="30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31"/>
      <c r="B734" s="30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31"/>
      <c r="B735" s="30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31"/>
      <c r="B736" s="30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31"/>
      <c r="B737" s="30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31"/>
      <c r="B738" s="30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31"/>
      <c r="B739" s="30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31"/>
      <c r="B740" s="30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31"/>
      <c r="B741" s="30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31"/>
      <c r="B742" s="30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31"/>
      <c r="B743" s="30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31"/>
      <c r="B744" s="30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31"/>
      <c r="B745" s="30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31"/>
      <c r="B746" s="30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31"/>
      <c r="B747" s="30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31"/>
      <c r="B748" s="30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31"/>
      <c r="B749" s="30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31"/>
      <c r="B750" s="30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31"/>
      <c r="B751" s="30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31"/>
      <c r="B752" s="30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31"/>
      <c r="B753" s="30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31"/>
      <c r="B754" s="30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31"/>
      <c r="B755" s="30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31"/>
      <c r="B756" s="30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31"/>
      <c r="B757" s="30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31"/>
      <c r="B758" s="30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31"/>
      <c r="B759" s="30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31"/>
      <c r="B760" s="30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31"/>
      <c r="B761" s="30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31"/>
      <c r="B762" s="30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31"/>
      <c r="B763" s="30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31"/>
      <c r="B764" s="30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31"/>
      <c r="B765" s="30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31"/>
      <c r="B766" s="30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31"/>
      <c r="B767" s="30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31"/>
      <c r="B768" s="30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31"/>
      <c r="B769" s="30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31"/>
      <c r="B770" s="30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31"/>
      <c r="B771" s="30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31"/>
      <c r="B772" s="30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31"/>
      <c r="B773" s="30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31"/>
      <c r="B774" s="30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31"/>
      <c r="B775" s="30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31"/>
      <c r="B776" s="30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31"/>
      <c r="B777" s="30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31"/>
      <c r="B778" s="30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31"/>
      <c r="B779" s="30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31"/>
      <c r="B780" s="30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31"/>
      <c r="B781" s="30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31"/>
      <c r="B782" s="30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31"/>
      <c r="B783" s="30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31"/>
      <c r="B784" s="30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31"/>
      <c r="B785" s="30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31"/>
      <c r="B786" s="30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31"/>
      <c r="B787" s="30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31"/>
      <c r="B788" s="30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31"/>
      <c r="B789" s="30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31"/>
      <c r="B790" s="30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31"/>
      <c r="B791" s="30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31"/>
      <c r="B792" s="30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31"/>
      <c r="B793" s="30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31"/>
      <c r="B794" s="30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31"/>
      <c r="B795" s="30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31"/>
      <c r="B796" s="30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31"/>
      <c r="B797" s="30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31"/>
      <c r="B798" s="30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31"/>
      <c r="B799" s="30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31"/>
      <c r="B800" s="30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31"/>
      <c r="B801" s="30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31"/>
      <c r="B802" s="30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31"/>
      <c r="B803" s="30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31"/>
      <c r="B804" s="30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31"/>
      <c r="B805" s="30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31"/>
      <c r="B806" s="30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31"/>
      <c r="B807" s="30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31"/>
      <c r="B808" s="30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31"/>
      <c r="B809" s="30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31"/>
      <c r="B810" s="30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31"/>
      <c r="B811" s="30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31"/>
      <c r="B812" s="30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31"/>
      <c r="B813" s="30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31"/>
      <c r="B814" s="30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31"/>
      <c r="B815" s="30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31"/>
      <c r="B816" s="30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31"/>
      <c r="B817" s="30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31"/>
      <c r="B818" s="30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31"/>
      <c r="B819" s="30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31"/>
      <c r="B820" s="30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31"/>
      <c r="B821" s="30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31"/>
      <c r="B822" s="30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31"/>
      <c r="B823" s="30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31"/>
      <c r="B824" s="30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31"/>
      <c r="B825" s="30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31"/>
      <c r="B826" s="30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31"/>
      <c r="B827" s="30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31"/>
      <c r="B828" s="30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31"/>
      <c r="B829" s="30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31"/>
      <c r="B830" s="30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31"/>
      <c r="B831" s="30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31"/>
      <c r="B832" s="30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31"/>
      <c r="B833" s="30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31"/>
      <c r="B834" s="30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31"/>
      <c r="B835" s="30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31"/>
      <c r="B836" s="30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31"/>
      <c r="B837" s="30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31"/>
      <c r="B838" s="30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31"/>
      <c r="B839" s="30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31"/>
      <c r="B840" s="30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31"/>
      <c r="B841" s="30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31"/>
      <c r="B842" s="30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31"/>
      <c r="B843" s="30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31"/>
      <c r="B844" s="30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31"/>
      <c r="B845" s="30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31"/>
      <c r="B846" s="30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31"/>
      <c r="B847" s="30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31"/>
      <c r="B848" s="30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31"/>
      <c r="B849" s="30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31"/>
      <c r="B850" s="30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31"/>
      <c r="B851" s="30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31"/>
      <c r="B852" s="30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31"/>
      <c r="B853" s="30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31"/>
      <c r="B854" s="30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31"/>
      <c r="B855" s="30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31"/>
      <c r="B856" s="30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31"/>
      <c r="B857" s="30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31"/>
      <c r="B858" s="30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31"/>
      <c r="B859" s="30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31"/>
      <c r="B860" s="30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31"/>
      <c r="B861" s="30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31"/>
      <c r="B862" s="30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31"/>
      <c r="B863" s="30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31"/>
      <c r="B864" s="30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31"/>
      <c r="B865" s="30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31"/>
      <c r="B866" s="30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31"/>
      <c r="B867" s="30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31"/>
      <c r="B868" s="30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31"/>
      <c r="B869" s="30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31"/>
      <c r="B870" s="30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31"/>
      <c r="B871" s="30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31"/>
      <c r="B872" s="30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31"/>
      <c r="B873" s="30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31"/>
      <c r="B874" s="30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31"/>
      <c r="B875" s="30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31"/>
      <c r="B876" s="30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31"/>
      <c r="B877" s="30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31"/>
      <c r="B878" s="30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31"/>
      <c r="B879" s="30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31"/>
      <c r="B880" s="30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31"/>
      <c r="B881" s="30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31"/>
      <c r="B882" s="30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31"/>
      <c r="B883" s="30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31"/>
      <c r="B884" s="30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31"/>
      <c r="B885" s="30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31"/>
      <c r="B886" s="30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31"/>
      <c r="B887" s="30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31"/>
      <c r="B888" s="30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31"/>
      <c r="B889" s="30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31"/>
      <c r="B890" s="30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31"/>
      <c r="B891" s="30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31"/>
      <c r="B892" s="30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31"/>
      <c r="B893" s="30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31"/>
      <c r="B894" s="30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31"/>
      <c r="B895" s="30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31"/>
      <c r="B896" s="30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31"/>
      <c r="B897" s="30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31"/>
      <c r="B898" s="30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31"/>
      <c r="B899" s="30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31"/>
      <c r="B900" s="30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31"/>
      <c r="B901" s="30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31"/>
      <c r="B902" s="30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31"/>
      <c r="B903" s="30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31"/>
      <c r="B904" s="30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31"/>
      <c r="B905" s="30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31"/>
      <c r="B906" s="30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31"/>
      <c r="B907" s="30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31"/>
      <c r="B908" s="30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31"/>
      <c r="B909" s="30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31"/>
      <c r="B910" s="30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31"/>
      <c r="B911" s="30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31"/>
      <c r="B912" s="30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31"/>
      <c r="B913" s="30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31"/>
      <c r="B914" s="30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31"/>
      <c r="B915" s="30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31"/>
      <c r="B916" s="30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31"/>
      <c r="B917" s="30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31"/>
      <c r="B918" s="30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31"/>
      <c r="B919" s="30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31"/>
      <c r="B920" s="30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31"/>
      <c r="B921" s="30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31"/>
      <c r="B922" s="30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31"/>
      <c r="B923" s="30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31"/>
      <c r="B924" s="30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31"/>
      <c r="B925" s="30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31"/>
      <c r="B926" s="30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31"/>
      <c r="B927" s="30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31"/>
      <c r="B928" s="30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31"/>
      <c r="B929" s="30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31"/>
      <c r="B930" s="30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31"/>
      <c r="B931" s="30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31"/>
      <c r="B932" s="30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31"/>
      <c r="B933" s="30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31"/>
      <c r="B934" s="30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31"/>
      <c r="B935" s="30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31"/>
      <c r="B936" s="30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31"/>
      <c r="B937" s="30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31"/>
      <c r="B938" s="30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31"/>
      <c r="B939" s="30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31"/>
      <c r="B940" s="30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31"/>
      <c r="B941" s="30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31"/>
      <c r="B942" s="30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31"/>
      <c r="B943" s="30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31"/>
      <c r="B944" s="30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31"/>
      <c r="B945" s="30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31"/>
      <c r="B946" s="30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31"/>
      <c r="B947" s="30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31"/>
      <c r="B948" s="30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31"/>
      <c r="B949" s="30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31"/>
      <c r="B950" s="30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31"/>
      <c r="B951" s="30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31"/>
      <c r="B952" s="30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31"/>
      <c r="B953" s="30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31"/>
      <c r="B954" s="30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31"/>
      <c r="B955" s="30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31"/>
      <c r="B956" s="30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31"/>
      <c r="B957" s="30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31"/>
      <c r="B958" s="30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31"/>
      <c r="B959" s="30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31"/>
      <c r="B960" s="30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31"/>
      <c r="B961" s="30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31"/>
      <c r="B962" s="30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31"/>
      <c r="B963" s="30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31"/>
      <c r="B964" s="30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31"/>
      <c r="B965" s="30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31"/>
      <c r="B966" s="30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31"/>
      <c r="B967" s="30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31"/>
      <c r="B968" s="30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31"/>
      <c r="B969" s="30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31"/>
      <c r="B970" s="30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31"/>
      <c r="B971" s="30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31"/>
      <c r="B972" s="30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31"/>
      <c r="B973" s="30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31"/>
      <c r="B974" s="30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31"/>
      <c r="B975" s="30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31"/>
      <c r="B976" s="30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31"/>
      <c r="B977" s="30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31"/>
      <c r="B978" s="30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31"/>
      <c r="B979" s="30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31"/>
      <c r="B980" s="30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31"/>
      <c r="B981" s="30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31"/>
      <c r="B982" s="30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31"/>
      <c r="B983" s="30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31"/>
      <c r="B984" s="30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31"/>
      <c r="B985" s="30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31"/>
      <c r="B986" s="30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31"/>
      <c r="B987" s="30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31"/>
      <c r="B988" s="30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31"/>
      <c r="B989" s="30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31"/>
      <c r="B990" s="30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31"/>
      <c r="B991" s="30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31"/>
      <c r="B992" s="30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31"/>
      <c r="B993" s="30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31"/>
      <c r="B994" s="30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31"/>
      <c r="B995" s="30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31"/>
      <c r="B996" s="30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31"/>
      <c r="B997" s="30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31"/>
      <c r="B998" s="30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31"/>
      <c r="B999" s="30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31"/>
      <c r="B1000" s="30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31"/>
      <c r="B1001" s="30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31"/>
      <c r="B1002" s="30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31"/>
      <c r="B1003" s="30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31"/>
      <c r="B1004" s="30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31"/>
      <c r="B1005" s="30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31"/>
      <c r="B1006" s="30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31"/>
      <c r="B1007" s="30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31"/>
      <c r="B1008" s="30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31"/>
      <c r="B1009" s="30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31"/>
      <c r="B1010" s="30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31"/>
      <c r="B1011" s="30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31"/>
      <c r="B1012" s="30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31"/>
      <c r="B1013" s="30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31"/>
      <c r="B1014" s="30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31"/>
      <c r="B1015" s="30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31"/>
      <c r="B1016" s="30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31"/>
      <c r="B1017" s="30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31"/>
      <c r="B1018" s="30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31"/>
      <c r="B1019" s="30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31"/>
      <c r="B1020" s="30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31"/>
      <c r="B1021" s="30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31"/>
      <c r="B1022" s="30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31"/>
      <c r="B1023" s="30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31"/>
      <c r="B1024" s="30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31"/>
      <c r="B1025" s="30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31"/>
      <c r="B1026" s="30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31"/>
      <c r="B1027" s="30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31"/>
      <c r="B1028" s="30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31"/>
      <c r="B1029" s="30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31"/>
      <c r="B1030" s="30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31"/>
      <c r="B1031" s="30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31"/>
      <c r="B1032" s="30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31"/>
      <c r="B1033" s="30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</sheetData>
  <mergeCells count="1">
    <mergeCell ref="I18:I1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1.25"/>
    <col customWidth="1" min="2" max="3" width="12.63"/>
    <col customWidth="1" min="4" max="4" width="8.25"/>
    <col customWidth="1" min="5" max="6" width="12.63"/>
  </cols>
  <sheetData>
    <row r="1" ht="14.25" customHeight="1">
      <c r="A1" s="1">
        <v>0.0115</v>
      </c>
      <c r="B1" s="2">
        <v>400.0</v>
      </c>
      <c r="C1" s="2">
        <v>0.0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14.25" customHeight="1">
      <c r="A2" s="9" t="s">
        <v>6</v>
      </c>
      <c r="B2" s="2" t="s">
        <v>8</v>
      </c>
      <c r="C2" s="2" t="s">
        <v>9</v>
      </c>
      <c r="D2" s="2" t="s">
        <v>10</v>
      </c>
      <c r="E2" s="2" t="s">
        <v>11</v>
      </c>
      <c r="F2" s="12" t="s">
        <v>12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13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17" t="s">
        <v>25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18" t="s">
        <v>26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P2" s="20" t="s">
        <v>30</v>
      </c>
      <c r="AQ2" s="2" t="s">
        <v>14</v>
      </c>
      <c r="AR2" s="2" t="s">
        <v>15</v>
      </c>
      <c r="AS2" s="2" t="s">
        <v>16</v>
      </c>
      <c r="AT2" s="2" t="s">
        <v>17</v>
      </c>
      <c r="AU2" s="2" t="s">
        <v>18</v>
      </c>
      <c r="AV2" s="2" t="s">
        <v>19</v>
      </c>
      <c r="AW2" s="2" t="s">
        <v>20</v>
      </c>
      <c r="AX2" s="2" t="s">
        <v>21</v>
      </c>
    </row>
    <row r="3" ht="14.25" customHeight="1">
      <c r="A3" s="2" t="str">
        <f t="array" ref="A3">IFERROR(INDEX('Product Price'!A:A,SMALL('Product Price'!$D:$D,1)),"")</f>
        <v>HONOR Magic V6 16/512 GB</v>
      </c>
      <c r="B3" s="23">
        <f t="array" ref="B3">IFERROR(INDEX('Product Price'!B:B,SMALL('Product Price'!$D:$D,1)),"")</f>
        <v>67999</v>
      </c>
      <c r="C3" s="2">
        <f t="array" ref="C3">IFERROR(INDEX('Product Price'!C:C,SMALL('Product Price'!$D:$D,1)),"")</f>
        <v>161</v>
      </c>
      <c r="D3" s="2">
        <f t="shared" ref="D3:D200" si="1">IF(AND(B3&gt;=3900,B3&lt;=10000),795,IF(AND(B3&gt;=10001,B3&lt;=20000),1450,IF(AND(B3&gt;=20001,B3&lt;=40000),1900,IF(AND(B3&gt;=40001,B3&lt;=60000),2475,IF(AND(B3&gt;=60001,B3&lt;=80000),4025,IF(AND(B3&gt;=80001,B3&lt;=100000),5175,IF(AND(B3&gt;=100001,B3&lt;=120000),6785,"")))))))</f>
        <v>4025</v>
      </c>
      <c r="E3" s="23">
        <f t="shared" ref="E3:E200" si="2">IFERROR(B3+D3,"")</f>
        <v>72024</v>
      </c>
      <c r="F3" s="25">
        <f t="shared" ref="F3:F6" si="3">IFERROR(ROUNDUP($B3*15%,0),"")</f>
        <v>10200</v>
      </c>
      <c r="G3" s="23">
        <f t="shared" ref="G3:G200" si="4">$B3-F3</f>
        <v>57799</v>
      </c>
      <c r="H3" s="23">
        <f t="shared" ref="H3:H200" si="5">$G3+D3</f>
        <v>61824</v>
      </c>
      <c r="I3" s="2">
        <f t="shared" ref="I3:I200" si="6">IF(((G3*$A$1)*6)&lt;$C$1,"-",IF(ROUNDUP((((G3*100/107)*(1+($A$1*6)))/6)*1.07,0)&lt;$B$1,"-",ROUNDUP(((((G3*100/107)+$D3)*(1+($A$1*6)))/6)*1.07,0)))</f>
        <v>11066</v>
      </c>
      <c r="J3" s="2">
        <f t="shared" ref="J3:J200" si="7">IF(((G3*$A$1)*9)&lt;$C$1,"-",IF(ROUNDUP((((G3*100/107)*(1+($A$1*9)))/9)*1.07,0)&lt;$B$1,"-",ROUNDUP(((((G3*100/107)+$D3)*(1+($A$1*9)))/9)*1.07,0)))</f>
        <v>7615</v>
      </c>
      <c r="K3" s="2">
        <f t="shared" ref="K3:K200" si="8">IF(((G3*$A$1)*12)&lt;$C$1,"-",IF(ROUNDUP((((G3*100/107)*(1+($A$1*12)))/12)*1.07,0)&lt;$B$1,"-",ROUNDUP(((((G3*100/107)+$D3)*(1+($A$1*12)))/12)*1.07,0)))</f>
        <v>5890</v>
      </c>
      <c r="L3" s="2">
        <f t="shared" ref="L3:L200" si="9">IF(((G3*$A$1)*15)&lt;$C$1,"-",IF(ROUNDUP((((G3*100/107)*(1+($A$1*15)))/15)*1.07,0)&lt;$B$1,"-",ROUNDUP(((((G3*100/107)+$D3)*(1+($A$1*15)))/15)*1.07,0)))</f>
        <v>4855</v>
      </c>
      <c r="M3" s="2">
        <f t="shared" ref="M3:M200" si="10">IF(((G3*$A$1)*18)&lt;$C$1,"-",IF(ROUNDUP((((G3*100/107)*(1+($A$1*18)))/18)*1.07,0)&lt;$B$1,"-",ROUNDUP(((((G3*100/107)+$D3)*(1+($A$1*18)))/18)*1.07,0)))</f>
        <v>4165</v>
      </c>
      <c r="N3" s="2">
        <f t="shared" ref="N3:N200" si="11">IF(((G3*$A$1)*24)&lt;$C$1,"-",IF(ROUNDUP((((G3*100/107)*(1+($A$1*24)))/24)*1.07,0)&lt;$B$1,"-",ROUNDUP(((((G3*100/107)+$D3)*(1+($A$1*24)))/24)*1.07,0)))</f>
        <v>3302</v>
      </c>
      <c r="O3" s="25">
        <f t="shared" ref="O3:O200" si="12">ROUNDUP($B3*20%,0)</f>
        <v>13600</v>
      </c>
      <c r="P3" s="23">
        <f t="shared" ref="P3:P200" si="13">$B3-O3</f>
        <v>54399</v>
      </c>
      <c r="Q3" s="23">
        <f t="shared" ref="Q3:Q200" si="14">P3+$D3</f>
        <v>58424</v>
      </c>
      <c r="R3" s="2">
        <f t="shared" ref="R3:R200" si="15">IF(((P3*$A$1)*6)&lt;$C$1,"-",IF(ROUNDUP((((P3*100/107)*(1+($A$1*6)))/6)*1.07,0)&lt;$B$1,"-",ROUNDUP(((((P3*100/107)+$D3)*(1+($A$1*6)))/6)*1.07,0)))</f>
        <v>10460</v>
      </c>
      <c r="S3" s="2">
        <f t="shared" ref="S3:S200" si="16">IF(((P3*$A$1)*9)&lt;$C$1,"-",IF(ROUNDUP((((P3*100/107)*(1+($A$1*9)))/9)*1.07,0)&lt;$B$1,"-",ROUNDUP(((((P3*100/107)+$D3)*(1+($A$1*9)))/9)*1.07,0)))</f>
        <v>7198</v>
      </c>
      <c r="T3" s="2">
        <f t="shared" ref="T3:T200" si="17">IF(((P3*$A$1)*12)&lt;$C$1,"-",IF(ROUNDUP((((P3*100/107)*(1+($A$1*12)))/12)*1.07,0)&lt;$B$1,"-",ROUNDUP(((((P3*100/107)+$D3)*(1+($A$1*12)))/12)*1.07,0)))</f>
        <v>5568</v>
      </c>
      <c r="U3" s="2">
        <f t="shared" ref="U3:U200" si="18">IF(((P3*$A$1)*15)&lt;$C$1,"-",IF(ROUNDUP((((P3*100/107)*(1+($A$1*15)))/15)*1.07,0)&lt;$B$1,"-",ROUNDUP(((((P3*100/107)+$D3)*(1+($A$1*15)))/15)*1.07,0)))</f>
        <v>4589</v>
      </c>
      <c r="V3" s="2">
        <f t="shared" ref="V3:V200" si="19">IF(((P3*$A$1)*18)&lt;$C$1,"-",IF(ROUNDUP((((P3*100/107)*(1+($A$1*18)))/18)*1.07,0)&lt;$B$1,"-",ROUNDUP(((((P3*100/107)+$D3)*(1+($A$1*18)))/18)*1.07,0)))</f>
        <v>3937</v>
      </c>
      <c r="W3" s="2">
        <f t="shared" ref="W3:W200" si="20">IF(((P3*$A$1)*24)&lt;$C$1,"-",IF(ROUNDUP((((P3*100/107)*(1+($A$1*24)))/24)*1.07,0)&lt;$B$1,"-",ROUNDUP(((((P3*100/107)+$D3)*(1+($A$1*24)))/24)*1.07,0)))</f>
        <v>3122</v>
      </c>
      <c r="X3" s="25">
        <f t="shared" ref="X3:X200" si="21">ROUNDUP($B3*25%,0)</f>
        <v>17000</v>
      </c>
      <c r="Y3" s="23">
        <f t="shared" ref="Y3:Y200" si="22">$B3-X3</f>
        <v>50999</v>
      </c>
      <c r="Z3" s="23">
        <f t="shared" ref="Z3:Z200" si="23">Y3+$D3</f>
        <v>55024</v>
      </c>
      <c r="AA3" s="2">
        <f t="shared" ref="AA3:AA200" si="24">IF(((Y3*$A$1)*6)&lt;$C$1,"-",IF(ROUNDUP((((Y3*100/107)*(1+($A$1*6)))/6)*1.07,0)&lt;$B$1,"-",ROUNDUP(((((Y3*100/107)+$D3)*(1+($A$1*6)))/6)*1.07,0)))</f>
        <v>9854</v>
      </c>
      <c r="AB3" s="2">
        <f t="shared" ref="AB3:AB200" si="25">IF(((Y3*$A$1)*9)&lt;$C$1,"-",IF(ROUNDUP((((Y3*100/107)*(1+($A$1*9)))/9)*1.07,0)&lt;$B$1,"-",ROUNDUP(((((Y3*100/107)+$D3)*(1+($A$1*9)))/9)*1.07,0)))</f>
        <v>6782</v>
      </c>
      <c r="AC3" s="2">
        <f t="shared" ref="AC3:AC200" si="26">IF(((Y3*$A$1)*12)&lt;$C$1,"-",IF(ROUNDUP((((Y3*100/107)*(1+($A$1*12)))/12)*1.07,0)&lt;$B$1,"-",ROUNDUP(((((Y3*100/107)+$D3)*(1+($A$1*12)))/12)*1.07,0)))</f>
        <v>5245</v>
      </c>
      <c r="AD3" s="2">
        <f t="shared" ref="AD3:AD200" si="27">IF(((Y3*$A$1)*15)&lt;$C$1,"-",IF(ROUNDUP((((Y3*100/107)*(1+($A$1*15)))/15)*1.07,0)&lt;$B$1,"-",ROUNDUP(((((Y3*100/107)+$D3)*(1+($A$1*15)))/15)*1.07,0)))</f>
        <v>4324</v>
      </c>
      <c r="AE3" s="2">
        <f t="shared" ref="AE3:AE200" si="28">IF(((Y3*$A$1)*18)&lt;$C$1,"-",IF(ROUNDUP((((Y3*100/107)*(1+($A$1*18)))/18)*1.07,0)&lt;$B$1,"-",ROUNDUP(((((Y3*100/107)+$D3)*(1+($A$1*18)))/18)*1.07,0)))</f>
        <v>3709</v>
      </c>
      <c r="AF3" s="2">
        <f t="shared" ref="AF3:AF200" si="29">IF(((Y3*$A$1)*24)&lt;$C$1,"-",IF(ROUNDUP((((Y3*100/107)*(1+($A$1*24)))/24)*1.07,0)&lt;$B$1,"-",ROUNDUP(((((Y3*100/107)+$D3)*(1+($A$1*24)))/24)*1.07,0)))</f>
        <v>2941</v>
      </c>
      <c r="AG3" s="25">
        <f t="shared" ref="AG3:AG200" si="30">ROUNDUP($B3*35%,0)</f>
        <v>23800</v>
      </c>
      <c r="AH3" s="23">
        <f t="shared" ref="AH3:AH200" si="31">$B3-AG3</f>
        <v>44199</v>
      </c>
      <c r="AI3" s="23">
        <f t="shared" ref="AI3:AI200" si="32">AH3+$D3</f>
        <v>48224</v>
      </c>
      <c r="AJ3" s="2">
        <f t="shared" ref="AJ3:AJ200" si="33">IF(((AH3*$A$1)*6)&lt;$C$1,"-",IF(ROUNDUP((((AH3*100/107)*(1+($A$1*6)))/6)*1.07,0)&lt;$B$1,"-",ROUNDUP(((((AH3*100/107)+$D3)*(1+($A$1*6)))/6)*1.07,0)))</f>
        <v>8643</v>
      </c>
      <c r="AK3" s="2">
        <f t="shared" ref="AK3:AK200" si="34">IF(((AH3*$A$1)*9)&lt;$C$1,"-",IF(ROUNDUP((((AH3*100/107)*(1+($A$1*9)))/9)*1.07,0)&lt;$B$1,"-",ROUNDUP(((((AH3*100/107)+$D3)*(1+($A$1*9)))/9)*1.07,0)))</f>
        <v>5948</v>
      </c>
      <c r="AL3" s="2">
        <f t="shared" ref="AL3:AL200" si="35">IF(((AH3*$A$1)*12)&lt;$C$1,"-",IF(ROUNDUP((((AH3*100/107)*(1+($A$1*12)))/12)*1.07,0)&lt;$B$1,"-",ROUNDUP(((((AH3*100/107)+$D3)*(1+($A$1*12)))/12)*1.07,0)))</f>
        <v>4600</v>
      </c>
      <c r="AM3" s="2">
        <f t="shared" ref="AM3:AM200" si="36">IF(((AH3*$A$1)*15)&lt;$C$1,"-",IF(ROUNDUP((((AH3*100/107)*(1+($A$1*15)))/15)*1.07,0)&lt;$B$1,"-",ROUNDUP(((((AH3*100/107)+$D3)*(1+($A$1*15)))/15)*1.07,0)))</f>
        <v>3792</v>
      </c>
      <c r="AN3" s="2">
        <f t="shared" ref="AN3:AN200" si="37">IF(((AH3*$A$1)*18)&lt;$C$1,"-",IF(ROUNDUP((((AH3*100/107)*(1+($A$1*18)))/18)*1.07,0)&lt;$B$1,"-",ROUNDUP(((((AH3*100/107)+$D3)*(1+($A$1*18)))/18)*1.07,0)))</f>
        <v>3253</v>
      </c>
      <c r="AO3" s="2">
        <f t="shared" ref="AO3:AO200" si="38">IF(((AH3*$A$1)*24)&lt;$C$1,"-",IF(ROUNDUP((((AH3*100/107)*(1+($A$1*24)))/24)*1.07,0)&lt;$B$1,"-",ROUNDUP(((((AH3*100/107)+$D3)*(1+($A$1*24)))/24)*1.07,0)))</f>
        <v>2579</v>
      </c>
      <c r="AP3" s="25">
        <f t="shared" ref="AP3:AP200" si="39">ROUNDUP($B3*40%,0)</f>
        <v>27200</v>
      </c>
      <c r="AQ3" s="23">
        <f t="shared" ref="AQ3:AQ200" si="40">$B3-AP3</f>
        <v>40799</v>
      </c>
      <c r="AR3" s="23">
        <f t="shared" ref="AR3:AR200" si="41">AQ3+$D3</f>
        <v>44824</v>
      </c>
      <c r="AS3" s="2">
        <f t="shared" ref="AS3:AS200" si="42">IF(((AQ3*$A$1)*6)&lt;$C$1,"-",IF(ROUNDUP((((AQ3*100/107)*(1+($A$1*6)))/6)*1.07,0)&lt;$B$1,"-",ROUNDUP(((((AQ3*100/107)+$D3)*(1+($A$1*6)))/6)*1.07,0)))</f>
        <v>8037</v>
      </c>
      <c r="AT3" s="2">
        <f t="shared" ref="AT3:AT200" si="43">IF(((AQ3*$A$1)*9)&lt;$C$1,"-",IF(ROUNDUP((((AQ3*100/107)*(1+($A$1*9)))/9)*1.07,0)&lt;$B$1,"-",ROUNDUP(((((AQ3*100/107)+$D3)*(1+($A$1*9)))/9)*1.07,0)))</f>
        <v>5531</v>
      </c>
      <c r="AU3" s="2">
        <f t="shared" ref="AU3:AU200" si="44">IF(((AQ3*$A$1)*12)&lt;$C$1,"-",IF(ROUNDUP((((AQ3*100/107)*(1+($A$1*12)))/12)*1.07,0)&lt;$B$1,"-",ROUNDUP(((((AQ3*100/107)+$D3)*(1+($A$1*12)))/12)*1.07,0)))</f>
        <v>4278</v>
      </c>
      <c r="AV3" s="2">
        <f t="shared" ref="AV3:AV200" si="45">IF(((AQ3*$A$1)*15)&lt;$C$1,"-",IF(ROUNDUP((((AQ3*100/107)*(1+($A$1*15)))/15)*1.07,0)&lt;$B$1,"-",ROUNDUP(((((AQ3*100/107)+$D3)*(1+($A$1*15)))/15)*1.07,0)))</f>
        <v>3526</v>
      </c>
      <c r="AW3" s="2">
        <f t="shared" ref="AW3:AW200" si="46">IF(((AQ3*$A$1)*18)&lt;$C$1,"-",IF(ROUNDUP((((AQ3*100/107)*(1+($A$1*18)))/18)*1.07,0)&lt;$B$1,"-",ROUNDUP(((((AQ3*100/107)+$D3)*(1+($A$1*18)))/18)*1.07,0)))</f>
        <v>3025</v>
      </c>
      <c r="AX3" s="2">
        <f t="shared" ref="AX3:AX200" si="47">IF(((AQ3*$A$1)*24)&lt;$C$1,"-",IF(ROUNDUP((((AQ3*100/107)*(1+($A$1*24)))/24)*1.07,0)&lt;$B$1,"-",ROUNDUP(((((AQ3*100/107)+$D3)*(1+($A$1*24)))/24)*1.07,0)))</f>
        <v>2399</v>
      </c>
    </row>
    <row r="4" ht="14.25" customHeight="1">
      <c r="A4" s="2" t="str">
        <f t="array" ref="A4">IFERROR(INDEX('Product Price'!A:A,SMALL('Product Price'!$D:$D,2)),"")</f>
        <v>HONOR Magic8 Pro 12/512 GB</v>
      </c>
      <c r="B4" s="23">
        <f t="array" ref="B4">IFERROR(INDEX('Product Price'!B:B,SMALL('Product Price'!$D:$D,2)),"")</f>
        <v>39990</v>
      </c>
      <c r="C4" s="2">
        <f t="array" ref="C4">IFERROR(INDEX('Product Price'!C:C,SMALL('Product Price'!$D:$D,2)),"")</f>
        <v>1</v>
      </c>
      <c r="D4" s="2">
        <f t="shared" si="1"/>
        <v>1900</v>
      </c>
      <c r="E4" s="23">
        <f t="shared" si="2"/>
        <v>41890</v>
      </c>
      <c r="F4" s="25">
        <f t="shared" si="3"/>
        <v>5999</v>
      </c>
      <c r="G4" s="23">
        <f t="shared" si="4"/>
        <v>33991</v>
      </c>
      <c r="H4" s="23">
        <f t="shared" si="5"/>
        <v>35891</v>
      </c>
      <c r="I4" s="2">
        <f t="shared" si="6"/>
        <v>6419</v>
      </c>
      <c r="J4" s="2">
        <f t="shared" si="7"/>
        <v>4417</v>
      </c>
      <c r="K4" s="2">
        <f t="shared" si="8"/>
        <v>3417</v>
      </c>
      <c r="L4" s="2">
        <f t="shared" si="9"/>
        <v>2816</v>
      </c>
      <c r="M4" s="2">
        <f t="shared" si="10"/>
        <v>2416</v>
      </c>
      <c r="N4" s="2">
        <f t="shared" si="11"/>
        <v>1916</v>
      </c>
      <c r="O4" s="25">
        <f t="shared" si="12"/>
        <v>7998</v>
      </c>
      <c r="P4" s="23">
        <f t="shared" si="13"/>
        <v>31992</v>
      </c>
      <c r="Q4" s="23">
        <f t="shared" si="14"/>
        <v>33892</v>
      </c>
      <c r="R4" s="2">
        <f t="shared" si="15"/>
        <v>6063</v>
      </c>
      <c r="S4" s="2">
        <f t="shared" si="16"/>
        <v>4172</v>
      </c>
      <c r="T4" s="2">
        <f t="shared" si="17"/>
        <v>3227</v>
      </c>
      <c r="U4" s="2">
        <f t="shared" si="18"/>
        <v>2660</v>
      </c>
      <c r="V4" s="2">
        <f t="shared" si="19"/>
        <v>2282</v>
      </c>
      <c r="W4" s="2">
        <f t="shared" si="20"/>
        <v>1809</v>
      </c>
      <c r="X4" s="25">
        <f t="shared" si="21"/>
        <v>9998</v>
      </c>
      <c r="Y4" s="23">
        <f t="shared" si="22"/>
        <v>29992</v>
      </c>
      <c r="Z4" s="23">
        <f t="shared" si="23"/>
        <v>31892</v>
      </c>
      <c r="AA4" s="2">
        <f t="shared" si="24"/>
        <v>5706</v>
      </c>
      <c r="AB4" s="2">
        <f t="shared" si="25"/>
        <v>3927</v>
      </c>
      <c r="AC4" s="2">
        <f t="shared" si="26"/>
        <v>3038</v>
      </c>
      <c r="AD4" s="2">
        <f t="shared" si="27"/>
        <v>2504</v>
      </c>
      <c r="AE4" s="2">
        <f t="shared" si="28"/>
        <v>2148</v>
      </c>
      <c r="AF4" s="2">
        <f t="shared" si="29"/>
        <v>1703</v>
      </c>
      <c r="AG4" s="25">
        <f t="shared" si="30"/>
        <v>13997</v>
      </c>
      <c r="AH4" s="23">
        <f t="shared" si="31"/>
        <v>25993</v>
      </c>
      <c r="AI4" s="23">
        <f t="shared" si="32"/>
        <v>27893</v>
      </c>
      <c r="AJ4" s="2">
        <f t="shared" si="33"/>
        <v>4994</v>
      </c>
      <c r="AK4" s="2">
        <f t="shared" si="34"/>
        <v>3437</v>
      </c>
      <c r="AL4" s="2">
        <f t="shared" si="35"/>
        <v>2658</v>
      </c>
      <c r="AM4" s="2">
        <f t="shared" si="36"/>
        <v>2191</v>
      </c>
      <c r="AN4" s="2">
        <f t="shared" si="37"/>
        <v>1880</v>
      </c>
      <c r="AO4" s="2">
        <f t="shared" si="38"/>
        <v>1491</v>
      </c>
      <c r="AP4" s="25">
        <f t="shared" si="39"/>
        <v>15996</v>
      </c>
      <c r="AQ4" s="23">
        <f t="shared" si="40"/>
        <v>23994</v>
      </c>
      <c r="AR4" s="23">
        <f t="shared" si="41"/>
        <v>25894</v>
      </c>
      <c r="AS4" s="2">
        <f t="shared" si="42"/>
        <v>4638</v>
      </c>
      <c r="AT4" s="2">
        <f t="shared" si="43"/>
        <v>3192</v>
      </c>
      <c r="AU4" s="2">
        <f t="shared" si="44"/>
        <v>2469</v>
      </c>
      <c r="AV4" s="2">
        <f t="shared" si="45"/>
        <v>2035</v>
      </c>
      <c r="AW4" s="2">
        <f t="shared" si="46"/>
        <v>1746</v>
      </c>
      <c r="AX4" s="2">
        <f t="shared" si="47"/>
        <v>1384</v>
      </c>
    </row>
    <row r="5" ht="14.25" customHeight="1">
      <c r="A5" s="2" t="str">
        <f t="array" ref="A5">IFERROR(INDEX('Product Price'!A:A,SMALL('Product Price'!$D:$D,3)),"")</f>
        <v>HONOR X6d 4/128 GB</v>
      </c>
      <c r="B5" s="23">
        <f t="array" ref="B5">IFERROR(INDEX('Product Price'!B:B,SMALL('Product Price'!$D:$D,3)),"")</f>
        <v>5999</v>
      </c>
      <c r="C5" s="2">
        <f t="array" ref="C5">IFERROR(INDEX('Product Price'!C:C,SMALL('Product Price'!$D:$D,3)),"")</f>
        <v>2</v>
      </c>
      <c r="D5" s="2">
        <f t="shared" si="1"/>
        <v>795</v>
      </c>
      <c r="E5" s="23">
        <f t="shared" si="2"/>
        <v>6794</v>
      </c>
      <c r="F5" s="25">
        <f t="shared" si="3"/>
        <v>900</v>
      </c>
      <c r="G5" s="23">
        <f t="shared" si="4"/>
        <v>5099</v>
      </c>
      <c r="H5" s="23">
        <f t="shared" si="5"/>
        <v>5894</v>
      </c>
      <c r="I5" s="2">
        <f t="shared" si="6"/>
        <v>1061</v>
      </c>
      <c r="J5" s="2">
        <f t="shared" si="7"/>
        <v>730</v>
      </c>
      <c r="K5" s="2">
        <f t="shared" si="8"/>
        <v>565</v>
      </c>
      <c r="L5" s="2" t="str">
        <f t="shared" si="9"/>
        <v>-</v>
      </c>
      <c r="M5" s="2" t="str">
        <f t="shared" si="10"/>
        <v>-</v>
      </c>
      <c r="N5" s="2" t="str">
        <f t="shared" si="11"/>
        <v>-</v>
      </c>
      <c r="O5" s="25">
        <f t="shared" si="12"/>
        <v>1200</v>
      </c>
      <c r="P5" s="23">
        <f t="shared" si="13"/>
        <v>4799</v>
      </c>
      <c r="Q5" s="23">
        <f t="shared" si="14"/>
        <v>5594</v>
      </c>
      <c r="R5" s="2">
        <f t="shared" si="15"/>
        <v>1007</v>
      </c>
      <c r="S5" s="2">
        <f t="shared" si="16"/>
        <v>693</v>
      </c>
      <c r="T5" s="2">
        <f t="shared" si="17"/>
        <v>536</v>
      </c>
      <c r="U5" s="2" t="str">
        <f t="shared" si="18"/>
        <v>-</v>
      </c>
      <c r="V5" s="2" t="str">
        <f t="shared" si="19"/>
        <v>-</v>
      </c>
      <c r="W5" s="2" t="str">
        <f t="shared" si="20"/>
        <v>-</v>
      </c>
      <c r="X5" s="25">
        <f t="shared" si="21"/>
        <v>1500</v>
      </c>
      <c r="Y5" s="23">
        <f t="shared" si="22"/>
        <v>4499</v>
      </c>
      <c r="Z5" s="23">
        <f t="shared" si="23"/>
        <v>5294</v>
      </c>
      <c r="AA5" s="2">
        <f t="shared" si="24"/>
        <v>954</v>
      </c>
      <c r="AB5" s="2">
        <f t="shared" si="25"/>
        <v>656</v>
      </c>
      <c r="AC5" s="2">
        <f t="shared" si="26"/>
        <v>508</v>
      </c>
      <c r="AD5" s="2" t="str">
        <f t="shared" si="27"/>
        <v>-</v>
      </c>
      <c r="AE5" s="2" t="str">
        <f t="shared" si="28"/>
        <v>-</v>
      </c>
      <c r="AF5" s="2" t="str">
        <f t="shared" si="29"/>
        <v>-</v>
      </c>
      <c r="AG5" s="25">
        <f t="shared" si="30"/>
        <v>2100</v>
      </c>
      <c r="AH5" s="23">
        <f t="shared" si="31"/>
        <v>3899</v>
      </c>
      <c r="AI5" s="23">
        <f t="shared" si="32"/>
        <v>4694</v>
      </c>
      <c r="AJ5" s="2">
        <f t="shared" si="33"/>
        <v>847</v>
      </c>
      <c r="AK5" s="2">
        <f t="shared" si="34"/>
        <v>583</v>
      </c>
      <c r="AL5" s="2" t="str">
        <f t="shared" si="35"/>
        <v>-</v>
      </c>
      <c r="AM5" s="2" t="str">
        <f t="shared" si="36"/>
        <v>-</v>
      </c>
      <c r="AN5" s="2" t="str">
        <f t="shared" si="37"/>
        <v>-</v>
      </c>
      <c r="AO5" s="2" t="str">
        <f t="shared" si="38"/>
        <v>-</v>
      </c>
      <c r="AP5" s="25">
        <f t="shared" si="39"/>
        <v>2400</v>
      </c>
      <c r="AQ5" s="23">
        <f t="shared" si="40"/>
        <v>3599</v>
      </c>
      <c r="AR5" s="23">
        <f t="shared" si="41"/>
        <v>4394</v>
      </c>
      <c r="AS5" s="2">
        <f t="shared" si="42"/>
        <v>793</v>
      </c>
      <c r="AT5" s="2">
        <f t="shared" si="43"/>
        <v>546</v>
      </c>
      <c r="AU5" s="2" t="str">
        <f t="shared" si="44"/>
        <v>-</v>
      </c>
      <c r="AV5" s="2" t="str">
        <f t="shared" si="45"/>
        <v>-</v>
      </c>
      <c r="AW5" s="2" t="str">
        <f t="shared" si="46"/>
        <v>-</v>
      </c>
      <c r="AX5" s="2" t="str">
        <f t="shared" si="47"/>
        <v>-</v>
      </c>
    </row>
    <row r="6" ht="14.25" customHeight="1">
      <c r="A6" s="2" t="str">
        <f t="array" ref="A6">IFERROR(INDEX('Product Price'!A:A,SMALL('Product Price'!$D:$D,4)),"")</f>
        <v>HONOR 600 Lite 5G 8/256 GB</v>
      </c>
      <c r="B6" s="23">
        <f t="array" ref="B6">IFERROR(INDEX('Product Price'!B:B,SMALL('Product Price'!$D:$D,4)),"")</f>
        <v>13999</v>
      </c>
      <c r="C6" s="2">
        <f t="array" ref="C6">IFERROR(INDEX('Product Price'!C:C,SMALL('Product Price'!$D:$D,4)),"")</f>
        <v>3</v>
      </c>
      <c r="D6" s="2">
        <f t="shared" si="1"/>
        <v>1450</v>
      </c>
      <c r="E6" s="23">
        <f t="shared" si="2"/>
        <v>15449</v>
      </c>
      <c r="F6" s="25">
        <f t="shared" si="3"/>
        <v>2100</v>
      </c>
      <c r="G6" s="23">
        <f t="shared" si="4"/>
        <v>11899</v>
      </c>
      <c r="H6" s="23">
        <f t="shared" si="5"/>
        <v>13349</v>
      </c>
      <c r="I6" s="2">
        <f t="shared" si="6"/>
        <v>2397</v>
      </c>
      <c r="J6" s="2">
        <f t="shared" si="7"/>
        <v>1650</v>
      </c>
      <c r="K6" s="2">
        <f t="shared" si="8"/>
        <v>1276</v>
      </c>
      <c r="L6" s="2">
        <f t="shared" si="9"/>
        <v>1052</v>
      </c>
      <c r="M6" s="2">
        <f t="shared" si="10"/>
        <v>902</v>
      </c>
      <c r="N6" s="2">
        <f t="shared" si="11"/>
        <v>716</v>
      </c>
      <c r="O6" s="25">
        <f t="shared" si="12"/>
        <v>2800</v>
      </c>
      <c r="P6" s="23">
        <f t="shared" si="13"/>
        <v>11199</v>
      </c>
      <c r="Q6" s="23">
        <f t="shared" si="14"/>
        <v>12649</v>
      </c>
      <c r="R6" s="2">
        <f t="shared" si="15"/>
        <v>2272</v>
      </c>
      <c r="S6" s="2">
        <f t="shared" si="16"/>
        <v>1564</v>
      </c>
      <c r="T6" s="2">
        <f t="shared" si="17"/>
        <v>1210</v>
      </c>
      <c r="U6" s="2">
        <f t="shared" si="18"/>
        <v>997</v>
      </c>
      <c r="V6" s="2">
        <f t="shared" si="19"/>
        <v>855</v>
      </c>
      <c r="W6" s="2">
        <f t="shared" si="20"/>
        <v>678</v>
      </c>
      <c r="X6" s="25">
        <f t="shared" si="21"/>
        <v>3500</v>
      </c>
      <c r="Y6" s="23">
        <f t="shared" si="22"/>
        <v>10499</v>
      </c>
      <c r="Z6" s="23">
        <f t="shared" si="23"/>
        <v>11949</v>
      </c>
      <c r="AA6" s="2">
        <f t="shared" si="24"/>
        <v>2147</v>
      </c>
      <c r="AB6" s="2">
        <f t="shared" si="25"/>
        <v>1478</v>
      </c>
      <c r="AC6" s="2">
        <f t="shared" si="26"/>
        <v>1143</v>
      </c>
      <c r="AD6" s="2">
        <f t="shared" si="27"/>
        <v>942</v>
      </c>
      <c r="AE6" s="2">
        <f t="shared" si="28"/>
        <v>809</v>
      </c>
      <c r="AF6" s="2">
        <f t="shared" si="29"/>
        <v>641</v>
      </c>
      <c r="AG6" s="25">
        <f t="shared" si="30"/>
        <v>4900</v>
      </c>
      <c r="AH6" s="23">
        <f t="shared" si="31"/>
        <v>9099</v>
      </c>
      <c r="AI6" s="23">
        <f t="shared" si="32"/>
        <v>10549</v>
      </c>
      <c r="AJ6" s="2">
        <f t="shared" si="33"/>
        <v>1898</v>
      </c>
      <c r="AK6" s="2">
        <f t="shared" si="34"/>
        <v>1306</v>
      </c>
      <c r="AL6" s="2">
        <f t="shared" si="35"/>
        <v>1011</v>
      </c>
      <c r="AM6" s="2">
        <f t="shared" si="36"/>
        <v>833</v>
      </c>
      <c r="AN6" s="2">
        <f t="shared" si="37"/>
        <v>715</v>
      </c>
      <c r="AO6" s="2">
        <f t="shared" si="38"/>
        <v>567</v>
      </c>
      <c r="AP6" s="25">
        <f t="shared" si="39"/>
        <v>5600</v>
      </c>
      <c r="AQ6" s="23">
        <f t="shared" si="40"/>
        <v>8399</v>
      </c>
      <c r="AR6" s="23">
        <f t="shared" si="41"/>
        <v>9849</v>
      </c>
      <c r="AS6" s="2">
        <f t="shared" si="42"/>
        <v>1773</v>
      </c>
      <c r="AT6" s="2">
        <f t="shared" si="43"/>
        <v>1221</v>
      </c>
      <c r="AU6" s="2">
        <f t="shared" si="44"/>
        <v>944</v>
      </c>
      <c r="AV6" s="2">
        <f t="shared" si="45"/>
        <v>778</v>
      </c>
      <c r="AW6" s="2">
        <f t="shared" si="46"/>
        <v>668</v>
      </c>
      <c r="AX6" s="2">
        <f t="shared" si="47"/>
        <v>530</v>
      </c>
    </row>
    <row r="7" ht="14.25" customHeight="1">
      <c r="A7" s="2" t="str">
        <f t="array" ref="A7">IFERROR(INDEX('Product Price'!A:A,SMALL('Product Price'!$D:$D,5)),"")</f>
        <v>HONOR 600 5G 12/256 GB</v>
      </c>
      <c r="B7" s="23">
        <f t="array" ref="B7">IFERROR(INDEX('Product Price'!B:B,SMALL('Product Price'!$D:$D,5)),"")</f>
        <v>19999</v>
      </c>
      <c r="C7" s="2">
        <f t="array" ref="C7">IFERROR(INDEX('Product Price'!C:C,SMALL('Product Price'!$D:$D,5)),"")</f>
        <v>4</v>
      </c>
      <c r="D7" s="2">
        <f t="shared" si="1"/>
        <v>1450</v>
      </c>
      <c r="E7" s="23">
        <f t="shared" si="2"/>
        <v>21449</v>
      </c>
      <c r="F7" s="25">
        <f t="shared" ref="F7:F200" si="48">IFERROR(ROUNDUP($B7*15%,0),"")</f>
        <v>3000</v>
      </c>
      <c r="G7" s="23">
        <f t="shared" si="4"/>
        <v>16999</v>
      </c>
      <c r="H7" s="23">
        <f t="shared" si="5"/>
        <v>18449</v>
      </c>
      <c r="I7" s="2">
        <f t="shared" si="6"/>
        <v>3306</v>
      </c>
      <c r="J7" s="2">
        <f t="shared" si="7"/>
        <v>2275</v>
      </c>
      <c r="K7" s="2">
        <f t="shared" si="8"/>
        <v>1760</v>
      </c>
      <c r="L7" s="2">
        <f t="shared" si="9"/>
        <v>1451</v>
      </c>
      <c r="M7" s="2">
        <f t="shared" si="10"/>
        <v>1244</v>
      </c>
      <c r="N7" s="2">
        <f t="shared" si="11"/>
        <v>987</v>
      </c>
      <c r="O7" s="25">
        <f t="shared" si="12"/>
        <v>4000</v>
      </c>
      <c r="P7" s="23">
        <f t="shared" si="13"/>
        <v>15999</v>
      </c>
      <c r="Q7" s="23">
        <f t="shared" si="14"/>
        <v>17449</v>
      </c>
      <c r="R7" s="2">
        <f t="shared" si="15"/>
        <v>3127</v>
      </c>
      <c r="S7" s="2">
        <f t="shared" si="16"/>
        <v>2152</v>
      </c>
      <c r="T7" s="2">
        <f t="shared" si="17"/>
        <v>1665</v>
      </c>
      <c r="U7" s="2">
        <f t="shared" si="18"/>
        <v>1372</v>
      </c>
      <c r="V7" s="2">
        <f t="shared" si="19"/>
        <v>1177</v>
      </c>
      <c r="W7" s="2">
        <f t="shared" si="20"/>
        <v>934</v>
      </c>
      <c r="X7" s="25">
        <f t="shared" si="21"/>
        <v>5000</v>
      </c>
      <c r="Y7" s="23">
        <f t="shared" si="22"/>
        <v>14999</v>
      </c>
      <c r="Z7" s="23">
        <f t="shared" si="23"/>
        <v>16449</v>
      </c>
      <c r="AA7" s="2">
        <f t="shared" si="24"/>
        <v>2949</v>
      </c>
      <c r="AB7" s="2">
        <f t="shared" si="25"/>
        <v>2030</v>
      </c>
      <c r="AC7" s="2">
        <f t="shared" si="26"/>
        <v>1570</v>
      </c>
      <c r="AD7" s="2">
        <f t="shared" si="27"/>
        <v>1294</v>
      </c>
      <c r="AE7" s="2">
        <f t="shared" si="28"/>
        <v>1110</v>
      </c>
      <c r="AF7" s="2">
        <f t="shared" si="29"/>
        <v>880</v>
      </c>
      <c r="AG7" s="25">
        <f t="shared" si="30"/>
        <v>7000</v>
      </c>
      <c r="AH7" s="23">
        <f t="shared" si="31"/>
        <v>12999</v>
      </c>
      <c r="AI7" s="23">
        <f t="shared" si="32"/>
        <v>14449</v>
      </c>
      <c r="AJ7" s="2">
        <f t="shared" si="33"/>
        <v>2593</v>
      </c>
      <c r="AK7" s="2">
        <f t="shared" si="34"/>
        <v>1785</v>
      </c>
      <c r="AL7" s="2">
        <f t="shared" si="35"/>
        <v>1380</v>
      </c>
      <c r="AM7" s="2">
        <f t="shared" si="36"/>
        <v>1138</v>
      </c>
      <c r="AN7" s="2">
        <f t="shared" si="37"/>
        <v>976</v>
      </c>
      <c r="AO7" s="2">
        <f t="shared" si="38"/>
        <v>774</v>
      </c>
      <c r="AP7" s="25">
        <f t="shared" si="39"/>
        <v>8000</v>
      </c>
      <c r="AQ7" s="23">
        <f t="shared" si="40"/>
        <v>11999</v>
      </c>
      <c r="AR7" s="23">
        <f t="shared" si="41"/>
        <v>13449</v>
      </c>
      <c r="AS7" s="2">
        <f t="shared" si="42"/>
        <v>2415</v>
      </c>
      <c r="AT7" s="2">
        <f t="shared" si="43"/>
        <v>1662</v>
      </c>
      <c r="AU7" s="2">
        <f t="shared" si="44"/>
        <v>1286</v>
      </c>
      <c r="AV7" s="2">
        <f t="shared" si="45"/>
        <v>1060</v>
      </c>
      <c r="AW7" s="2">
        <f t="shared" si="46"/>
        <v>909</v>
      </c>
      <c r="AX7" s="2">
        <f t="shared" si="47"/>
        <v>721</v>
      </c>
    </row>
    <row r="8" ht="14.25" customHeight="1">
      <c r="A8" s="2" t="str">
        <f t="array" ref="A8">IFERROR(INDEX('Product Price'!A:A,SMALL('Product Price'!$D:$D,6)),"")</f>
        <v>HONOR 600 Pro 5G 12/512 GB</v>
      </c>
      <c r="B8" s="23">
        <f t="array" ref="B8">IFERROR(INDEX('Product Price'!B:B,SMALL('Product Price'!$D:$D,6)),"")</f>
        <v>29999</v>
      </c>
      <c r="C8" s="2">
        <f t="array" ref="C8">IFERROR(INDEX('Product Price'!C:C,SMALL('Product Price'!$D:$D,6)),"")</f>
        <v>5</v>
      </c>
      <c r="D8" s="2">
        <f t="shared" si="1"/>
        <v>1900</v>
      </c>
      <c r="E8" s="23">
        <f t="shared" si="2"/>
        <v>31899</v>
      </c>
      <c r="F8" s="25">
        <f t="shared" si="48"/>
        <v>4500</v>
      </c>
      <c r="G8" s="23">
        <f t="shared" si="4"/>
        <v>25499</v>
      </c>
      <c r="H8" s="23">
        <f t="shared" si="5"/>
        <v>27399</v>
      </c>
      <c r="I8" s="2">
        <f t="shared" si="6"/>
        <v>4906</v>
      </c>
      <c r="J8" s="2">
        <f t="shared" si="7"/>
        <v>3376</v>
      </c>
      <c r="K8" s="2">
        <f t="shared" si="8"/>
        <v>2611</v>
      </c>
      <c r="L8" s="2">
        <f t="shared" si="9"/>
        <v>2153</v>
      </c>
      <c r="M8" s="2">
        <f t="shared" si="10"/>
        <v>1847</v>
      </c>
      <c r="N8" s="2">
        <f t="shared" si="11"/>
        <v>1464</v>
      </c>
      <c r="O8" s="25">
        <f t="shared" si="12"/>
        <v>6000</v>
      </c>
      <c r="P8" s="23">
        <f t="shared" si="13"/>
        <v>23999</v>
      </c>
      <c r="Q8" s="23">
        <f t="shared" si="14"/>
        <v>25899</v>
      </c>
      <c r="R8" s="2">
        <f t="shared" si="15"/>
        <v>4639</v>
      </c>
      <c r="S8" s="2">
        <f t="shared" si="16"/>
        <v>3192</v>
      </c>
      <c r="T8" s="2">
        <f t="shared" si="17"/>
        <v>2469</v>
      </c>
      <c r="U8" s="2">
        <f t="shared" si="18"/>
        <v>2035</v>
      </c>
      <c r="V8" s="2">
        <f t="shared" si="19"/>
        <v>1746</v>
      </c>
      <c r="W8" s="2">
        <f t="shared" si="20"/>
        <v>1385</v>
      </c>
      <c r="X8" s="25">
        <f t="shared" si="21"/>
        <v>7500</v>
      </c>
      <c r="Y8" s="23">
        <f t="shared" si="22"/>
        <v>22499</v>
      </c>
      <c r="Z8" s="23">
        <f t="shared" si="23"/>
        <v>24399</v>
      </c>
      <c r="AA8" s="2">
        <f t="shared" si="24"/>
        <v>4371</v>
      </c>
      <c r="AB8" s="2">
        <f t="shared" si="25"/>
        <v>3008</v>
      </c>
      <c r="AC8" s="2">
        <f t="shared" si="26"/>
        <v>2327</v>
      </c>
      <c r="AD8" s="2">
        <f t="shared" si="27"/>
        <v>1918</v>
      </c>
      <c r="AE8" s="2">
        <f t="shared" si="28"/>
        <v>1646</v>
      </c>
      <c r="AF8" s="2">
        <f t="shared" si="29"/>
        <v>1305</v>
      </c>
      <c r="AG8" s="25">
        <f t="shared" si="30"/>
        <v>10500</v>
      </c>
      <c r="AH8" s="23">
        <f t="shared" si="31"/>
        <v>19499</v>
      </c>
      <c r="AI8" s="23">
        <f t="shared" si="32"/>
        <v>21399</v>
      </c>
      <c r="AJ8" s="2">
        <f t="shared" si="33"/>
        <v>3837</v>
      </c>
      <c r="AK8" s="2">
        <f t="shared" si="34"/>
        <v>2641</v>
      </c>
      <c r="AL8" s="2">
        <f t="shared" si="35"/>
        <v>2042</v>
      </c>
      <c r="AM8" s="2">
        <f t="shared" si="36"/>
        <v>1684</v>
      </c>
      <c r="AN8" s="2">
        <f t="shared" si="37"/>
        <v>1444</v>
      </c>
      <c r="AO8" s="2">
        <f t="shared" si="38"/>
        <v>1145</v>
      </c>
      <c r="AP8" s="25">
        <f t="shared" si="39"/>
        <v>12000</v>
      </c>
      <c r="AQ8" s="23">
        <f t="shared" si="40"/>
        <v>17999</v>
      </c>
      <c r="AR8" s="23">
        <f t="shared" si="41"/>
        <v>19899</v>
      </c>
      <c r="AS8" s="2">
        <f t="shared" si="42"/>
        <v>3570</v>
      </c>
      <c r="AT8" s="2">
        <f t="shared" si="43"/>
        <v>2457</v>
      </c>
      <c r="AU8" s="2">
        <f t="shared" si="44"/>
        <v>1900</v>
      </c>
      <c r="AV8" s="2">
        <f t="shared" si="45"/>
        <v>1566</v>
      </c>
      <c r="AW8" s="2">
        <f t="shared" si="46"/>
        <v>1344</v>
      </c>
      <c r="AX8" s="2">
        <f t="shared" si="47"/>
        <v>1066</v>
      </c>
    </row>
    <row r="9" ht="14.25" customHeight="1">
      <c r="A9" s="2" t="str">
        <f t="array" ref="A9">IFERROR(INDEX('Product Price'!A:A,SMALL('Product Price'!$D:$D,7)),"")</f>
        <v>HONOR X7e 6/256 GB</v>
      </c>
      <c r="B9" s="23">
        <f t="array" ref="B9">IFERROR(INDEX('Product Price'!B:B,SMALL('Product Price'!$D:$D,7)),"")</f>
        <v>8999</v>
      </c>
      <c r="C9" s="2">
        <f t="array" ref="C9">IFERROR(INDEX('Product Price'!C:C,SMALL('Product Price'!$D:$D,7)),"")</f>
        <v>159</v>
      </c>
      <c r="D9" s="2">
        <f t="shared" si="1"/>
        <v>795</v>
      </c>
      <c r="E9" s="23">
        <f t="shared" si="2"/>
        <v>9794</v>
      </c>
      <c r="F9" s="25">
        <f t="shared" si="48"/>
        <v>1350</v>
      </c>
      <c r="G9" s="23">
        <f t="shared" si="4"/>
        <v>7649</v>
      </c>
      <c r="H9" s="23">
        <f t="shared" si="5"/>
        <v>8444</v>
      </c>
      <c r="I9" s="2">
        <f t="shared" si="6"/>
        <v>1515</v>
      </c>
      <c r="J9" s="2">
        <f t="shared" si="7"/>
        <v>1043</v>
      </c>
      <c r="K9" s="2">
        <f t="shared" si="8"/>
        <v>807</v>
      </c>
      <c r="L9" s="2">
        <f t="shared" si="9"/>
        <v>665</v>
      </c>
      <c r="M9" s="2">
        <f t="shared" si="10"/>
        <v>570</v>
      </c>
      <c r="N9" s="2">
        <f t="shared" si="11"/>
        <v>452</v>
      </c>
      <c r="O9" s="25">
        <f t="shared" si="12"/>
        <v>1800</v>
      </c>
      <c r="P9" s="23">
        <f t="shared" si="13"/>
        <v>7199</v>
      </c>
      <c r="Q9" s="23">
        <f t="shared" si="14"/>
        <v>7994</v>
      </c>
      <c r="R9" s="2">
        <f t="shared" si="15"/>
        <v>1435</v>
      </c>
      <c r="S9" s="2">
        <f t="shared" si="16"/>
        <v>987</v>
      </c>
      <c r="T9" s="2">
        <f t="shared" si="17"/>
        <v>764</v>
      </c>
      <c r="U9" s="2">
        <f t="shared" si="18"/>
        <v>630</v>
      </c>
      <c r="V9" s="2">
        <f t="shared" si="19"/>
        <v>540</v>
      </c>
      <c r="W9" s="2" t="str">
        <f t="shared" si="20"/>
        <v>-</v>
      </c>
      <c r="X9" s="25">
        <f t="shared" si="21"/>
        <v>2250</v>
      </c>
      <c r="Y9" s="23">
        <f t="shared" si="22"/>
        <v>6749</v>
      </c>
      <c r="Z9" s="23">
        <f t="shared" si="23"/>
        <v>7544</v>
      </c>
      <c r="AA9" s="2">
        <f t="shared" si="24"/>
        <v>1355</v>
      </c>
      <c r="AB9" s="2">
        <f t="shared" si="25"/>
        <v>932</v>
      </c>
      <c r="AC9" s="2">
        <f t="shared" si="26"/>
        <v>721</v>
      </c>
      <c r="AD9" s="2">
        <f t="shared" si="27"/>
        <v>595</v>
      </c>
      <c r="AE9" s="2">
        <f t="shared" si="28"/>
        <v>510</v>
      </c>
      <c r="AF9" s="2" t="str">
        <f t="shared" si="29"/>
        <v>-</v>
      </c>
      <c r="AG9" s="25">
        <f t="shared" si="30"/>
        <v>3150</v>
      </c>
      <c r="AH9" s="23">
        <f t="shared" si="31"/>
        <v>5849</v>
      </c>
      <c r="AI9" s="23">
        <f t="shared" si="32"/>
        <v>6644</v>
      </c>
      <c r="AJ9" s="2">
        <f t="shared" si="33"/>
        <v>1194</v>
      </c>
      <c r="AK9" s="2">
        <f t="shared" si="34"/>
        <v>822</v>
      </c>
      <c r="AL9" s="2">
        <f t="shared" si="35"/>
        <v>636</v>
      </c>
      <c r="AM9" s="2">
        <f t="shared" si="36"/>
        <v>524</v>
      </c>
      <c r="AN9" s="2" t="str">
        <f t="shared" si="37"/>
        <v>-</v>
      </c>
      <c r="AO9" s="2" t="str">
        <f t="shared" si="38"/>
        <v>-</v>
      </c>
      <c r="AP9" s="25">
        <f t="shared" si="39"/>
        <v>3600</v>
      </c>
      <c r="AQ9" s="23">
        <f t="shared" si="40"/>
        <v>5399</v>
      </c>
      <c r="AR9" s="23">
        <f t="shared" si="41"/>
        <v>6194</v>
      </c>
      <c r="AS9" s="2">
        <f t="shared" si="42"/>
        <v>1114</v>
      </c>
      <c r="AT9" s="2">
        <f t="shared" si="43"/>
        <v>767</v>
      </c>
      <c r="AU9" s="2">
        <f t="shared" si="44"/>
        <v>593</v>
      </c>
      <c r="AV9" s="2">
        <f t="shared" si="45"/>
        <v>489</v>
      </c>
      <c r="AW9" s="2" t="str">
        <f t="shared" si="46"/>
        <v>-</v>
      </c>
      <c r="AX9" s="2" t="str">
        <f t="shared" si="47"/>
        <v>-</v>
      </c>
    </row>
    <row r="10" ht="14.25" customHeight="1">
      <c r="A10" s="2" t="str">
        <f t="array" ref="A10">IFERROR(INDEX('Product Price'!A:A,SMALL('Product Price'!$D:$D,8)),"")</f>
        <v>HONOR X7e 6/128 GB</v>
      </c>
      <c r="B10" s="23">
        <f t="array" ref="B10">IFERROR(INDEX('Product Price'!B:B,SMALL('Product Price'!$D:$D,8)),"")</f>
        <v>7999</v>
      </c>
      <c r="C10" s="2">
        <f t="array" ref="C10">IFERROR(INDEX('Product Price'!C:C,SMALL('Product Price'!$D:$D,8)),"")</f>
        <v>160</v>
      </c>
      <c r="D10" s="2">
        <f t="shared" si="1"/>
        <v>795</v>
      </c>
      <c r="E10" s="23">
        <f t="shared" si="2"/>
        <v>8794</v>
      </c>
      <c r="F10" s="25">
        <f t="shared" si="48"/>
        <v>1200</v>
      </c>
      <c r="G10" s="23">
        <f t="shared" si="4"/>
        <v>6799</v>
      </c>
      <c r="H10" s="23">
        <f t="shared" si="5"/>
        <v>7594</v>
      </c>
      <c r="I10" s="2">
        <f t="shared" si="6"/>
        <v>1363</v>
      </c>
      <c r="J10" s="2">
        <f t="shared" si="7"/>
        <v>938</v>
      </c>
      <c r="K10" s="2">
        <f t="shared" si="8"/>
        <v>726</v>
      </c>
      <c r="L10" s="2">
        <f t="shared" si="9"/>
        <v>598</v>
      </c>
      <c r="M10" s="2">
        <f t="shared" si="10"/>
        <v>513</v>
      </c>
      <c r="N10" s="2" t="str">
        <f t="shared" si="11"/>
        <v>-</v>
      </c>
      <c r="O10" s="25">
        <f t="shared" si="12"/>
        <v>1600</v>
      </c>
      <c r="P10" s="23">
        <f t="shared" si="13"/>
        <v>6399</v>
      </c>
      <c r="Q10" s="23">
        <f t="shared" si="14"/>
        <v>7194</v>
      </c>
      <c r="R10" s="2">
        <f t="shared" si="15"/>
        <v>1292</v>
      </c>
      <c r="S10" s="2">
        <f t="shared" si="16"/>
        <v>889</v>
      </c>
      <c r="T10" s="2">
        <f t="shared" si="17"/>
        <v>688</v>
      </c>
      <c r="U10" s="2">
        <f t="shared" si="18"/>
        <v>567</v>
      </c>
      <c r="V10" s="2">
        <f t="shared" si="19"/>
        <v>487</v>
      </c>
      <c r="W10" s="2" t="str">
        <f t="shared" si="20"/>
        <v>-</v>
      </c>
      <c r="X10" s="25">
        <f t="shared" si="21"/>
        <v>2000</v>
      </c>
      <c r="Y10" s="23">
        <f t="shared" si="22"/>
        <v>5999</v>
      </c>
      <c r="Z10" s="23">
        <f t="shared" si="23"/>
        <v>6794</v>
      </c>
      <c r="AA10" s="2">
        <f t="shared" si="24"/>
        <v>1221</v>
      </c>
      <c r="AB10" s="2">
        <f t="shared" si="25"/>
        <v>840</v>
      </c>
      <c r="AC10" s="2">
        <f t="shared" si="26"/>
        <v>650</v>
      </c>
      <c r="AD10" s="2">
        <f t="shared" si="27"/>
        <v>536</v>
      </c>
      <c r="AE10" s="2">
        <f t="shared" si="28"/>
        <v>460</v>
      </c>
      <c r="AF10" s="2" t="str">
        <f t="shared" si="29"/>
        <v>-</v>
      </c>
      <c r="AG10" s="25">
        <f t="shared" si="30"/>
        <v>2800</v>
      </c>
      <c r="AH10" s="23">
        <f t="shared" si="31"/>
        <v>5199</v>
      </c>
      <c r="AI10" s="23">
        <f t="shared" si="32"/>
        <v>5994</v>
      </c>
      <c r="AJ10" s="2">
        <f t="shared" si="33"/>
        <v>1078</v>
      </c>
      <c r="AK10" s="2">
        <f t="shared" si="34"/>
        <v>742</v>
      </c>
      <c r="AL10" s="2">
        <f t="shared" si="35"/>
        <v>574</v>
      </c>
      <c r="AM10" s="2">
        <f t="shared" si="36"/>
        <v>473</v>
      </c>
      <c r="AN10" s="2" t="str">
        <f t="shared" si="37"/>
        <v>-</v>
      </c>
      <c r="AO10" s="2" t="str">
        <f t="shared" si="38"/>
        <v>-</v>
      </c>
      <c r="AP10" s="25">
        <f t="shared" si="39"/>
        <v>3200</v>
      </c>
      <c r="AQ10" s="23">
        <f t="shared" si="40"/>
        <v>4799</v>
      </c>
      <c r="AR10" s="23">
        <f t="shared" si="41"/>
        <v>5594</v>
      </c>
      <c r="AS10" s="2">
        <f t="shared" si="42"/>
        <v>1007</v>
      </c>
      <c r="AT10" s="2">
        <f t="shared" si="43"/>
        <v>693</v>
      </c>
      <c r="AU10" s="2">
        <f t="shared" si="44"/>
        <v>536</v>
      </c>
      <c r="AV10" s="2" t="str">
        <f t="shared" si="45"/>
        <v>-</v>
      </c>
      <c r="AW10" s="2" t="str">
        <f t="shared" si="46"/>
        <v>-</v>
      </c>
      <c r="AX10" s="2" t="str">
        <f t="shared" si="47"/>
        <v>-</v>
      </c>
    </row>
    <row r="11" ht="14.25" customHeight="1">
      <c r="A11" s="2" t="str">
        <f t="array" ref="A11">IFERROR(INDEX('Product Price'!A:A,SMALL('Product Price'!$D:$D,9)),"")</f>
        <v>HONOR Pad X8b 6/128 GB</v>
      </c>
      <c r="B11" s="23">
        <f t="array" ref="B11">IFERROR(INDEX('Product Price'!B:B,SMALL('Product Price'!$D:$D,9)),"")</f>
        <v>8999</v>
      </c>
      <c r="C11" s="2">
        <f t="array" ref="C11">IFERROR(INDEX('Product Price'!C:C,SMALL('Product Price'!$D:$D,9)),"")</f>
        <v>6</v>
      </c>
      <c r="D11" s="2">
        <f t="shared" si="1"/>
        <v>795</v>
      </c>
      <c r="E11" s="23">
        <f t="shared" si="2"/>
        <v>9794</v>
      </c>
      <c r="F11" s="25">
        <f t="shared" si="48"/>
        <v>1350</v>
      </c>
      <c r="G11" s="23">
        <f t="shared" si="4"/>
        <v>7649</v>
      </c>
      <c r="H11" s="23">
        <f t="shared" si="5"/>
        <v>8444</v>
      </c>
      <c r="I11" s="2">
        <f t="shared" si="6"/>
        <v>1515</v>
      </c>
      <c r="J11" s="2">
        <f t="shared" si="7"/>
        <v>1043</v>
      </c>
      <c r="K11" s="2">
        <f t="shared" si="8"/>
        <v>807</v>
      </c>
      <c r="L11" s="2">
        <f t="shared" si="9"/>
        <v>665</v>
      </c>
      <c r="M11" s="2">
        <f t="shared" si="10"/>
        <v>570</v>
      </c>
      <c r="N11" s="2">
        <f t="shared" si="11"/>
        <v>452</v>
      </c>
      <c r="O11" s="25">
        <f t="shared" si="12"/>
        <v>1800</v>
      </c>
      <c r="P11" s="23">
        <f t="shared" si="13"/>
        <v>7199</v>
      </c>
      <c r="Q11" s="23">
        <f t="shared" si="14"/>
        <v>7994</v>
      </c>
      <c r="R11" s="2">
        <f t="shared" si="15"/>
        <v>1435</v>
      </c>
      <c r="S11" s="2">
        <f t="shared" si="16"/>
        <v>987</v>
      </c>
      <c r="T11" s="2">
        <f t="shared" si="17"/>
        <v>764</v>
      </c>
      <c r="U11" s="2">
        <f t="shared" si="18"/>
        <v>630</v>
      </c>
      <c r="V11" s="2">
        <f t="shared" si="19"/>
        <v>540</v>
      </c>
      <c r="W11" s="2" t="str">
        <f t="shared" si="20"/>
        <v>-</v>
      </c>
      <c r="X11" s="25">
        <f t="shared" si="21"/>
        <v>2250</v>
      </c>
      <c r="Y11" s="23">
        <f t="shared" si="22"/>
        <v>6749</v>
      </c>
      <c r="Z11" s="23">
        <f t="shared" si="23"/>
        <v>7544</v>
      </c>
      <c r="AA11" s="2">
        <f t="shared" si="24"/>
        <v>1355</v>
      </c>
      <c r="AB11" s="2">
        <f t="shared" si="25"/>
        <v>932</v>
      </c>
      <c r="AC11" s="2">
        <f t="shared" si="26"/>
        <v>721</v>
      </c>
      <c r="AD11" s="2">
        <f t="shared" si="27"/>
        <v>595</v>
      </c>
      <c r="AE11" s="2">
        <f t="shared" si="28"/>
        <v>510</v>
      </c>
      <c r="AF11" s="2" t="str">
        <f t="shared" si="29"/>
        <v>-</v>
      </c>
      <c r="AG11" s="25">
        <f t="shared" si="30"/>
        <v>3150</v>
      </c>
      <c r="AH11" s="23">
        <f t="shared" si="31"/>
        <v>5849</v>
      </c>
      <c r="AI11" s="23">
        <f t="shared" si="32"/>
        <v>6644</v>
      </c>
      <c r="AJ11" s="2">
        <f t="shared" si="33"/>
        <v>1194</v>
      </c>
      <c r="AK11" s="2">
        <f t="shared" si="34"/>
        <v>822</v>
      </c>
      <c r="AL11" s="2">
        <f t="shared" si="35"/>
        <v>636</v>
      </c>
      <c r="AM11" s="2">
        <f t="shared" si="36"/>
        <v>524</v>
      </c>
      <c r="AN11" s="2" t="str">
        <f t="shared" si="37"/>
        <v>-</v>
      </c>
      <c r="AO11" s="2" t="str">
        <f t="shared" si="38"/>
        <v>-</v>
      </c>
      <c r="AP11" s="25">
        <f t="shared" si="39"/>
        <v>3600</v>
      </c>
      <c r="AQ11" s="23">
        <f t="shared" si="40"/>
        <v>5399</v>
      </c>
      <c r="AR11" s="23">
        <f t="shared" si="41"/>
        <v>6194</v>
      </c>
      <c r="AS11" s="2">
        <f t="shared" si="42"/>
        <v>1114</v>
      </c>
      <c r="AT11" s="2">
        <f t="shared" si="43"/>
        <v>767</v>
      </c>
      <c r="AU11" s="2">
        <f t="shared" si="44"/>
        <v>593</v>
      </c>
      <c r="AV11" s="2">
        <f t="shared" si="45"/>
        <v>489</v>
      </c>
      <c r="AW11" s="2" t="str">
        <f t="shared" si="46"/>
        <v>-</v>
      </c>
      <c r="AX11" s="2" t="str">
        <f t="shared" si="47"/>
        <v>-</v>
      </c>
    </row>
    <row r="12" ht="14.25" customHeight="1">
      <c r="A12" s="2" t="str">
        <f t="array" ref="A12">IFERROR(INDEX('Product Price'!A:A,SMALL('Product Price'!$D:$D,10)),"")</f>
        <v>HUAWEI Mate X7 16/512 GB</v>
      </c>
      <c r="B12" s="23">
        <f t="array" ref="B12">IFERROR(INDEX('Product Price'!B:B,SMALL('Product Price'!$D:$D,10)),"")</f>
        <v>59990</v>
      </c>
      <c r="C12" s="2">
        <f t="array" ref="C12">IFERROR(INDEX('Product Price'!C:C,SMALL('Product Price'!$D:$D,10)),"")</f>
        <v>7</v>
      </c>
      <c r="D12" s="2">
        <f t="shared" si="1"/>
        <v>2475</v>
      </c>
      <c r="E12" s="23">
        <f t="shared" si="2"/>
        <v>62465</v>
      </c>
      <c r="F12" s="25">
        <f t="shared" si="48"/>
        <v>8999</v>
      </c>
      <c r="G12" s="23">
        <f t="shared" si="4"/>
        <v>50991</v>
      </c>
      <c r="H12" s="23">
        <f t="shared" si="5"/>
        <v>53466</v>
      </c>
      <c r="I12" s="2">
        <f t="shared" si="6"/>
        <v>9557</v>
      </c>
      <c r="J12" s="2">
        <f t="shared" si="7"/>
        <v>6577</v>
      </c>
      <c r="K12" s="2">
        <f t="shared" si="8"/>
        <v>5087</v>
      </c>
      <c r="L12" s="2">
        <f t="shared" si="9"/>
        <v>4193</v>
      </c>
      <c r="M12" s="2">
        <f t="shared" si="10"/>
        <v>3597</v>
      </c>
      <c r="N12" s="2">
        <f t="shared" si="11"/>
        <v>2852</v>
      </c>
      <c r="O12" s="25">
        <f t="shared" si="12"/>
        <v>11998</v>
      </c>
      <c r="P12" s="23">
        <f t="shared" si="13"/>
        <v>47992</v>
      </c>
      <c r="Q12" s="23">
        <f t="shared" si="14"/>
        <v>50467</v>
      </c>
      <c r="R12" s="2">
        <f t="shared" si="15"/>
        <v>9023</v>
      </c>
      <c r="S12" s="2">
        <f t="shared" si="16"/>
        <v>6210</v>
      </c>
      <c r="T12" s="2">
        <f t="shared" si="17"/>
        <v>4803</v>
      </c>
      <c r="U12" s="2">
        <f t="shared" si="18"/>
        <v>3959</v>
      </c>
      <c r="V12" s="2">
        <f t="shared" si="19"/>
        <v>3396</v>
      </c>
      <c r="W12" s="2">
        <f t="shared" si="20"/>
        <v>2693</v>
      </c>
      <c r="X12" s="25">
        <f t="shared" si="21"/>
        <v>14998</v>
      </c>
      <c r="Y12" s="23">
        <f t="shared" si="22"/>
        <v>44992</v>
      </c>
      <c r="Z12" s="23">
        <f t="shared" si="23"/>
        <v>47467</v>
      </c>
      <c r="AA12" s="2">
        <f t="shared" si="24"/>
        <v>8488</v>
      </c>
      <c r="AB12" s="2">
        <f t="shared" si="25"/>
        <v>5842</v>
      </c>
      <c r="AC12" s="2">
        <f t="shared" si="26"/>
        <v>4518</v>
      </c>
      <c r="AD12" s="2">
        <f t="shared" si="27"/>
        <v>3724</v>
      </c>
      <c r="AE12" s="2">
        <f t="shared" si="28"/>
        <v>3195</v>
      </c>
      <c r="AF12" s="2">
        <f t="shared" si="29"/>
        <v>2533</v>
      </c>
      <c r="AG12" s="25">
        <f t="shared" si="30"/>
        <v>20997</v>
      </c>
      <c r="AH12" s="23">
        <f t="shared" si="31"/>
        <v>38993</v>
      </c>
      <c r="AI12" s="23">
        <f t="shared" si="32"/>
        <v>41468</v>
      </c>
      <c r="AJ12" s="2">
        <f t="shared" si="33"/>
        <v>7420</v>
      </c>
      <c r="AK12" s="2">
        <f t="shared" si="34"/>
        <v>5106</v>
      </c>
      <c r="AL12" s="2">
        <f t="shared" si="35"/>
        <v>3949</v>
      </c>
      <c r="AM12" s="2">
        <f t="shared" si="36"/>
        <v>3255</v>
      </c>
      <c r="AN12" s="2">
        <f t="shared" si="37"/>
        <v>2793</v>
      </c>
      <c r="AO12" s="2">
        <f t="shared" si="38"/>
        <v>2214</v>
      </c>
      <c r="AP12" s="25">
        <f t="shared" si="39"/>
        <v>23996</v>
      </c>
      <c r="AQ12" s="23">
        <f t="shared" si="40"/>
        <v>35994</v>
      </c>
      <c r="AR12" s="23">
        <f t="shared" si="41"/>
        <v>38469</v>
      </c>
      <c r="AS12" s="2">
        <f t="shared" si="42"/>
        <v>6885</v>
      </c>
      <c r="AT12" s="2">
        <f t="shared" si="43"/>
        <v>4738</v>
      </c>
      <c r="AU12" s="2">
        <f t="shared" si="44"/>
        <v>3665</v>
      </c>
      <c r="AV12" s="2">
        <f t="shared" si="45"/>
        <v>3021</v>
      </c>
      <c r="AW12" s="2">
        <f t="shared" si="46"/>
        <v>2592</v>
      </c>
      <c r="AX12" s="2">
        <f t="shared" si="47"/>
        <v>2055</v>
      </c>
    </row>
    <row r="13" ht="14.25" customHeight="1">
      <c r="A13" s="2" t="str">
        <f t="array" ref="A13">IFERROR(INDEX('Product Price'!A:A,SMALL('Product Price'!$D:$D,11)),"")</f>
        <v>HUAWEI Pura 90s ProMax 12/512 GB</v>
      </c>
      <c r="B13" s="23">
        <f t="array" ref="B13">IFERROR(INDEX('Product Price'!B:B,SMALL('Product Price'!$D:$D,11)),"")</f>
        <v>49990</v>
      </c>
      <c r="C13" s="2">
        <f t="array" ref="C13">IFERROR(INDEX('Product Price'!C:C,SMALL('Product Price'!$D:$D,11)),"")</f>
        <v>177</v>
      </c>
      <c r="D13" s="2">
        <f t="shared" si="1"/>
        <v>2475</v>
      </c>
      <c r="E13" s="23">
        <f t="shared" si="2"/>
        <v>52465</v>
      </c>
      <c r="F13" s="25">
        <f t="shared" si="48"/>
        <v>7499</v>
      </c>
      <c r="G13" s="23">
        <f t="shared" si="4"/>
        <v>42491</v>
      </c>
      <c r="H13" s="23">
        <f t="shared" si="5"/>
        <v>44966</v>
      </c>
      <c r="I13" s="2">
        <f t="shared" si="6"/>
        <v>8043</v>
      </c>
      <c r="J13" s="2">
        <f t="shared" si="7"/>
        <v>5535</v>
      </c>
      <c r="K13" s="2">
        <f t="shared" si="8"/>
        <v>4281</v>
      </c>
      <c r="L13" s="2">
        <f t="shared" si="9"/>
        <v>3529</v>
      </c>
      <c r="M13" s="2">
        <f t="shared" si="10"/>
        <v>3027</v>
      </c>
      <c r="N13" s="2">
        <f t="shared" si="11"/>
        <v>2400</v>
      </c>
      <c r="O13" s="25">
        <f t="shared" si="12"/>
        <v>9998</v>
      </c>
      <c r="P13" s="23">
        <f t="shared" si="13"/>
        <v>39992</v>
      </c>
      <c r="Q13" s="23">
        <f t="shared" si="14"/>
        <v>42467</v>
      </c>
      <c r="R13" s="2">
        <f t="shared" si="15"/>
        <v>7598</v>
      </c>
      <c r="S13" s="2">
        <f t="shared" si="16"/>
        <v>5229</v>
      </c>
      <c r="T13" s="2">
        <f t="shared" si="17"/>
        <v>4044</v>
      </c>
      <c r="U13" s="2">
        <f t="shared" si="18"/>
        <v>3334</v>
      </c>
      <c r="V13" s="2">
        <f t="shared" si="19"/>
        <v>2860</v>
      </c>
      <c r="W13" s="2">
        <f t="shared" si="20"/>
        <v>2268</v>
      </c>
      <c r="X13" s="25">
        <f t="shared" si="21"/>
        <v>12498</v>
      </c>
      <c r="Y13" s="23">
        <f t="shared" si="22"/>
        <v>37492</v>
      </c>
      <c r="Z13" s="23">
        <f t="shared" si="23"/>
        <v>39967</v>
      </c>
      <c r="AA13" s="2">
        <f t="shared" si="24"/>
        <v>7152</v>
      </c>
      <c r="AB13" s="2">
        <f t="shared" si="25"/>
        <v>4922</v>
      </c>
      <c r="AC13" s="2">
        <f t="shared" si="26"/>
        <v>3807</v>
      </c>
      <c r="AD13" s="2">
        <f t="shared" si="27"/>
        <v>3138</v>
      </c>
      <c r="AE13" s="2">
        <f t="shared" si="28"/>
        <v>2692</v>
      </c>
      <c r="AF13" s="2">
        <f t="shared" si="29"/>
        <v>2135</v>
      </c>
      <c r="AG13" s="25">
        <f t="shared" si="30"/>
        <v>17497</v>
      </c>
      <c r="AH13" s="23">
        <f t="shared" si="31"/>
        <v>32493</v>
      </c>
      <c r="AI13" s="23">
        <f t="shared" si="32"/>
        <v>34968</v>
      </c>
      <c r="AJ13" s="2">
        <f t="shared" si="33"/>
        <v>6261</v>
      </c>
      <c r="AK13" s="2">
        <f t="shared" si="34"/>
        <v>4309</v>
      </c>
      <c r="AL13" s="2">
        <f t="shared" si="35"/>
        <v>3333</v>
      </c>
      <c r="AM13" s="2">
        <f t="shared" si="36"/>
        <v>2747</v>
      </c>
      <c r="AN13" s="2">
        <f t="shared" si="37"/>
        <v>2357</v>
      </c>
      <c r="AO13" s="2">
        <f t="shared" si="38"/>
        <v>1869</v>
      </c>
      <c r="AP13" s="25">
        <f t="shared" si="39"/>
        <v>19996</v>
      </c>
      <c r="AQ13" s="23">
        <f t="shared" si="40"/>
        <v>29994</v>
      </c>
      <c r="AR13" s="23">
        <f t="shared" si="41"/>
        <v>32469</v>
      </c>
      <c r="AS13" s="2">
        <f t="shared" si="42"/>
        <v>5816</v>
      </c>
      <c r="AT13" s="2">
        <f t="shared" si="43"/>
        <v>4003</v>
      </c>
      <c r="AU13" s="2">
        <f t="shared" si="44"/>
        <v>3096</v>
      </c>
      <c r="AV13" s="2">
        <f t="shared" si="45"/>
        <v>2552</v>
      </c>
      <c r="AW13" s="2">
        <f t="shared" si="46"/>
        <v>2189</v>
      </c>
      <c r="AX13" s="2">
        <f t="shared" si="47"/>
        <v>1736</v>
      </c>
    </row>
    <row r="14" ht="14.25" customHeight="1">
      <c r="A14" s="2" t="str">
        <f t="array" ref="A14">IFERROR(INDEX('Product Price'!A:A,SMALL('Product Price'!$D:$D,12)),"")</f>
        <v>HUAWEI Pura 90s 12/512 GB</v>
      </c>
      <c r="B14" s="23">
        <f t="array" ref="B14">IFERROR(INDEX('Product Price'!B:B,SMALL('Product Price'!$D:$D,12)),"")</f>
        <v>38990</v>
      </c>
      <c r="C14" s="2">
        <f t="array" ref="C14">IFERROR(INDEX('Product Price'!C:C,SMALL('Product Price'!$D:$D,12)),"")</f>
        <v>178</v>
      </c>
      <c r="D14" s="2">
        <f t="shared" si="1"/>
        <v>1900</v>
      </c>
      <c r="E14" s="23">
        <f t="shared" si="2"/>
        <v>40890</v>
      </c>
      <c r="F14" s="25">
        <f t="shared" si="48"/>
        <v>5849</v>
      </c>
      <c r="G14" s="23">
        <f t="shared" si="4"/>
        <v>33141</v>
      </c>
      <c r="H14" s="23">
        <f t="shared" si="5"/>
        <v>35041</v>
      </c>
      <c r="I14" s="2">
        <f t="shared" si="6"/>
        <v>6267</v>
      </c>
      <c r="J14" s="2">
        <f t="shared" si="7"/>
        <v>4313</v>
      </c>
      <c r="K14" s="2">
        <f t="shared" si="8"/>
        <v>3336</v>
      </c>
      <c r="L14" s="2">
        <f t="shared" si="9"/>
        <v>2750</v>
      </c>
      <c r="M14" s="2">
        <f t="shared" si="10"/>
        <v>2359</v>
      </c>
      <c r="N14" s="2">
        <f t="shared" si="11"/>
        <v>1871</v>
      </c>
      <c r="O14" s="25">
        <f t="shared" si="12"/>
        <v>7798</v>
      </c>
      <c r="P14" s="23">
        <f t="shared" si="13"/>
        <v>31192</v>
      </c>
      <c r="Q14" s="23">
        <f t="shared" si="14"/>
        <v>33092</v>
      </c>
      <c r="R14" s="2">
        <f t="shared" si="15"/>
        <v>5920</v>
      </c>
      <c r="S14" s="2">
        <f t="shared" si="16"/>
        <v>4074</v>
      </c>
      <c r="T14" s="2">
        <f t="shared" si="17"/>
        <v>3151</v>
      </c>
      <c r="U14" s="2">
        <f t="shared" si="18"/>
        <v>2598</v>
      </c>
      <c r="V14" s="2">
        <f t="shared" si="19"/>
        <v>2228</v>
      </c>
      <c r="W14" s="2">
        <f t="shared" si="20"/>
        <v>1767</v>
      </c>
      <c r="X14" s="25">
        <f t="shared" si="21"/>
        <v>9748</v>
      </c>
      <c r="Y14" s="23">
        <f t="shared" si="22"/>
        <v>29242</v>
      </c>
      <c r="Z14" s="23">
        <f t="shared" si="23"/>
        <v>31142</v>
      </c>
      <c r="AA14" s="2">
        <f t="shared" si="24"/>
        <v>5573</v>
      </c>
      <c r="AB14" s="2">
        <f t="shared" si="25"/>
        <v>3835</v>
      </c>
      <c r="AC14" s="2">
        <f t="shared" si="26"/>
        <v>2966</v>
      </c>
      <c r="AD14" s="2">
        <f t="shared" si="27"/>
        <v>2445</v>
      </c>
      <c r="AE14" s="2">
        <f t="shared" si="28"/>
        <v>2098</v>
      </c>
      <c r="AF14" s="2">
        <f t="shared" si="29"/>
        <v>1663</v>
      </c>
      <c r="AG14" s="25">
        <f t="shared" si="30"/>
        <v>13647</v>
      </c>
      <c r="AH14" s="23">
        <f t="shared" si="31"/>
        <v>25343</v>
      </c>
      <c r="AI14" s="23">
        <f t="shared" si="32"/>
        <v>27243</v>
      </c>
      <c r="AJ14" s="2">
        <f t="shared" si="33"/>
        <v>4878</v>
      </c>
      <c r="AK14" s="2">
        <f t="shared" si="34"/>
        <v>3357</v>
      </c>
      <c r="AL14" s="2">
        <f t="shared" si="35"/>
        <v>2597</v>
      </c>
      <c r="AM14" s="2">
        <f t="shared" si="36"/>
        <v>2140</v>
      </c>
      <c r="AN14" s="2">
        <f t="shared" si="37"/>
        <v>1836</v>
      </c>
      <c r="AO14" s="2">
        <f t="shared" si="38"/>
        <v>1456</v>
      </c>
      <c r="AP14" s="25">
        <f t="shared" si="39"/>
        <v>15596</v>
      </c>
      <c r="AQ14" s="23">
        <f t="shared" si="40"/>
        <v>23394</v>
      </c>
      <c r="AR14" s="23">
        <f t="shared" si="41"/>
        <v>25294</v>
      </c>
      <c r="AS14" s="2">
        <f t="shared" si="42"/>
        <v>4531</v>
      </c>
      <c r="AT14" s="2">
        <f t="shared" si="43"/>
        <v>3118</v>
      </c>
      <c r="AU14" s="2">
        <f t="shared" si="44"/>
        <v>2412</v>
      </c>
      <c r="AV14" s="2">
        <f t="shared" si="45"/>
        <v>1988</v>
      </c>
      <c r="AW14" s="2">
        <f t="shared" si="46"/>
        <v>1706</v>
      </c>
      <c r="AX14" s="2">
        <f t="shared" si="47"/>
        <v>1352</v>
      </c>
    </row>
    <row r="15" ht="14.25" customHeight="1">
      <c r="A15" s="2" t="str">
        <f t="array" ref="A15">IFERROR(INDEX('Product Price'!A:A,SMALL('Product Price'!$D:$D,13)),"")</f>
        <v>HUAWEI Pura 90s 12/256 GB</v>
      </c>
      <c r="B15" s="23">
        <f t="array" ref="B15">IFERROR(INDEX('Product Price'!B:B,SMALL('Product Price'!$D:$D,13)),"")</f>
        <v>34990</v>
      </c>
      <c r="C15" s="2">
        <f t="array" ref="C15">IFERROR(INDEX('Product Price'!C:C,SMALL('Product Price'!$D:$D,13)),"")</f>
        <v>179</v>
      </c>
      <c r="D15" s="2">
        <f t="shared" si="1"/>
        <v>1900</v>
      </c>
      <c r="E15" s="23">
        <f t="shared" si="2"/>
        <v>36890</v>
      </c>
      <c r="F15" s="25">
        <f t="shared" si="48"/>
        <v>5249</v>
      </c>
      <c r="G15" s="23">
        <f t="shared" si="4"/>
        <v>29741</v>
      </c>
      <c r="H15" s="23">
        <f t="shared" si="5"/>
        <v>31641</v>
      </c>
      <c r="I15" s="2">
        <f t="shared" si="6"/>
        <v>5662</v>
      </c>
      <c r="J15" s="2">
        <f t="shared" si="7"/>
        <v>3896</v>
      </c>
      <c r="K15" s="2">
        <f t="shared" si="8"/>
        <v>3014</v>
      </c>
      <c r="L15" s="2">
        <f t="shared" si="9"/>
        <v>2484</v>
      </c>
      <c r="M15" s="2">
        <f t="shared" si="10"/>
        <v>2131</v>
      </c>
      <c r="N15" s="2">
        <f t="shared" si="11"/>
        <v>1690</v>
      </c>
      <c r="O15" s="25">
        <f t="shared" si="12"/>
        <v>6998</v>
      </c>
      <c r="P15" s="23">
        <f t="shared" si="13"/>
        <v>27992</v>
      </c>
      <c r="Q15" s="23">
        <f t="shared" si="14"/>
        <v>29892</v>
      </c>
      <c r="R15" s="2">
        <f t="shared" si="15"/>
        <v>5350</v>
      </c>
      <c r="S15" s="2">
        <f t="shared" si="16"/>
        <v>3682</v>
      </c>
      <c r="T15" s="2">
        <f t="shared" si="17"/>
        <v>2848</v>
      </c>
      <c r="U15" s="2">
        <f t="shared" si="18"/>
        <v>2347</v>
      </c>
      <c r="V15" s="2">
        <f t="shared" si="19"/>
        <v>2014</v>
      </c>
      <c r="W15" s="2">
        <f t="shared" si="20"/>
        <v>1597</v>
      </c>
      <c r="X15" s="25">
        <f t="shared" si="21"/>
        <v>8748</v>
      </c>
      <c r="Y15" s="23">
        <f t="shared" si="22"/>
        <v>26242</v>
      </c>
      <c r="Z15" s="23">
        <f t="shared" si="23"/>
        <v>28142</v>
      </c>
      <c r="AA15" s="2">
        <f t="shared" si="24"/>
        <v>5038</v>
      </c>
      <c r="AB15" s="2">
        <f t="shared" si="25"/>
        <v>3467</v>
      </c>
      <c r="AC15" s="2">
        <f t="shared" si="26"/>
        <v>2682</v>
      </c>
      <c r="AD15" s="2">
        <f t="shared" si="27"/>
        <v>2211</v>
      </c>
      <c r="AE15" s="2">
        <f t="shared" si="28"/>
        <v>1896</v>
      </c>
      <c r="AF15" s="2">
        <f t="shared" si="29"/>
        <v>1504</v>
      </c>
      <c r="AG15" s="25">
        <f t="shared" si="30"/>
        <v>12247</v>
      </c>
      <c r="AH15" s="23">
        <f t="shared" si="31"/>
        <v>22743</v>
      </c>
      <c r="AI15" s="23">
        <f t="shared" si="32"/>
        <v>24643</v>
      </c>
      <c r="AJ15" s="2">
        <f t="shared" si="33"/>
        <v>4415</v>
      </c>
      <c r="AK15" s="2">
        <f t="shared" si="34"/>
        <v>3038</v>
      </c>
      <c r="AL15" s="2">
        <f t="shared" si="35"/>
        <v>2350</v>
      </c>
      <c r="AM15" s="2">
        <f t="shared" si="36"/>
        <v>1937</v>
      </c>
      <c r="AN15" s="2">
        <f t="shared" si="37"/>
        <v>1662</v>
      </c>
      <c r="AO15" s="2">
        <f t="shared" si="38"/>
        <v>1318</v>
      </c>
      <c r="AP15" s="25">
        <f t="shared" si="39"/>
        <v>13996</v>
      </c>
      <c r="AQ15" s="23">
        <f t="shared" si="40"/>
        <v>20994</v>
      </c>
      <c r="AR15" s="23">
        <f t="shared" si="41"/>
        <v>22894</v>
      </c>
      <c r="AS15" s="2">
        <f t="shared" si="42"/>
        <v>4103</v>
      </c>
      <c r="AT15" s="2">
        <f t="shared" si="43"/>
        <v>2824</v>
      </c>
      <c r="AU15" s="2">
        <f t="shared" si="44"/>
        <v>2184</v>
      </c>
      <c r="AV15" s="2">
        <f t="shared" si="45"/>
        <v>1800</v>
      </c>
      <c r="AW15" s="2">
        <f t="shared" si="46"/>
        <v>1545</v>
      </c>
      <c r="AX15" s="2">
        <f t="shared" si="47"/>
        <v>1225</v>
      </c>
    </row>
    <row r="16" ht="14.25" customHeight="1">
      <c r="A16" s="2" t="str">
        <f t="array" ref="A16">IFERROR(INDEX('Product Price'!A:A,SMALL('Product Price'!$D:$D,14)),"")</f>
        <v>HUAWEI 80 Pro 16/512 GB</v>
      </c>
      <c r="B16" s="23">
        <f t="array" ref="B16">IFERROR(INDEX('Product Price'!B:B,SMALL('Product Price'!$D:$D,14)),"")</f>
        <v>37990</v>
      </c>
      <c r="C16" s="2">
        <f t="array" ref="C16">IFERROR(INDEX('Product Price'!C:C,SMALL('Product Price'!$D:$D,14)),"")</f>
        <v>8</v>
      </c>
      <c r="D16" s="2">
        <f t="shared" si="1"/>
        <v>1900</v>
      </c>
      <c r="E16" s="23">
        <f t="shared" si="2"/>
        <v>39890</v>
      </c>
      <c r="F16" s="25">
        <f t="shared" si="48"/>
        <v>5699</v>
      </c>
      <c r="G16" s="23">
        <f t="shared" si="4"/>
        <v>32291</v>
      </c>
      <c r="H16" s="23">
        <f t="shared" si="5"/>
        <v>34191</v>
      </c>
      <c r="I16" s="2">
        <f t="shared" si="6"/>
        <v>6116</v>
      </c>
      <c r="J16" s="2">
        <f t="shared" si="7"/>
        <v>4209</v>
      </c>
      <c r="K16" s="2">
        <f t="shared" si="8"/>
        <v>3256</v>
      </c>
      <c r="L16" s="2">
        <f t="shared" si="9"/>
        <v>2683</v>
      </c>
      <c r="M16" s="2">
        <f t="shared" si="10"/>
        <v>2302</v>
      </c>
      <c r="N16" s="2">
        <f t="shared" si="11"/>
        <v>1825</v>
      </c>
      <c r="O16" s="25">
        <f t="shared" si="12"/>
        <v>7598</v>
      </c>
      <c r="P16" s="23">
        <f t="shared" si="13"/>
        <v>30392</v>
      </c>
      <c r="Q16" s="23">
        <f t="shared" si="14"/>
        <v>32292</v>
      </c>
      <c r="R16" s="2">
        <f t="shared" si="15"/>
        <v>5778</v>
      </c>
      <c r="S16" s="2">
        <f t="shared" si="16"/>
        <v>3976</v>
      </c>
      <c r="T16" s="2">
        <f t="shared" si="17"/>
        <v>3075</v>
      </c>
      <c r="U16" s="2">
        <f t="shared" si="18"/>
        <v>2535</v>
      </c>
      <c r="V16" s="2">
        <f t="shared" si="19"/>
        <v>2175</v>
      </c>
      <c r="W16" s="2">
        <f t="shared" si="20"/>
        <v>1724</v>
      </c>
      <c r="X16" s="25">
        <f t="shared" si="21"/>
        <v>9498</v>
      </c>
      <c r="Y16" s="23">
        <f t="shared" si="22"/>
        <v>28492</v>
      </c>
      <c r="Z16" s="23">
        <f t="shared" si="23"/>
        <v>30392</v>
      </c>
      <c r="AA16" s="2">
        <f t="shared" si="24"/>
        <v>5439</v>
      </c>
      <c r="AB16" s="2">
        <f t="shared" si="25"/>
        <v>3743</v>
      </c>
      <c r="AC16" s="2">
        <f t="shared" si="26"/>
        <v>2895</v>
      </c>
      <c r="AD16" s="2">
        <f t="shared" si="27"/>
        <v>2387</v>
      </c>
      <c r="AE16" s="2">
        <f t="shared" si="28"/>
        <v>2047</v>
      </c>
      <c r="AF16" s="2">
        <f t="shared" si="29"/>
        <v>1623</v>
      </c>
      <c r="AG16" s="25">
        <f t="shared" si="30"/>
        <v>13297</v>
      </c>
      <c r="AH16" s="23">
        <f t="shared" si="31"/>
        <v>24693</v>
      </c>
      <c r="AI16" s="23">
        <f t="shared" si="32"/>
        <v>26593</v>
      </c>
      <c r="AJ16" s="2">
        <f t="shared" si="33"/>
        <v>4762</v>
      </c>
      <c r="AK16" s="2">
        <f t="shared" si="34"/>
        <v>3277</v>
      </c>
      <c r="AL16" s="2">
        <f t="shared" si="35"/>
        <v>2535</v>
      </c>
      <c r="AM16" s="2">
        <f t="shared" si="36"/>
        <v>2090</v>
      </c>
      <c r="AN16" s="2">
        <f t="shared" si="37"/>
        <v>1793</v>
      </c>
      <c r="AO16" s="2">
        <f t="shared" si="38"/>
        <v>1421</v>
      </c>
      <c r="AP16" s="25">
        <f t="shared" si="39"/>
        <v>15196</v>
      </c>
      <c r="AQ16" s="23">
        <f t="shared" si="40"/>
        <v>22794</v>
      </c>
      <c r="AR16" s="23">
        <f t="shared" si="41"/>
        <v>24694</v>
      </c>
      <c r="AS16" s="2">
        <f t="shared" si="42"/>
        <v>4424</v>
      </c>
      <c r="AT16" s="2">
        <f t="shared" si="43"/>
        <v>3045</v>
      </c>
      <c r="AU16" s="2">
        <f t="shared" si="44"/>
        <v>2355</v>
      </c>
      <c r="AV16" s="2">
        <f t="shared" si="45"/>
        <v>1941</v>
      </c>
      <c r="AW16" s="2">
        <f t="shared" si="46"/>
        <v>1665</v>
      </c>
      <c r="AX16" s="2">
        <f t="shared" si="47"/>
        <v>1320</v>
      </c>
    </row>
    <row r="17" ht="14.25" customHeight="1">
      <c r="A17" s="2" t="str">
        <f t="array" ref="A17">IFERROR(INDEX('Product Price'!A:A,SMALL('Product Price'!$D:$D,15)),"")</f>
        <v>HUAWEI Pura 80 Ultra 16/512 GB</v>
      </c>
      <c r="B17" s="23">
        <f t="array" ref="B17">IFERROR(INDEX('Product Price'!B:B,SMALL('Product Price'!$D:$D,15)),"")</f>
        <v>39990</v>
      </c>
      <c r="C17" s="2">
        <f t="array" ref="C17">IFERROR(INDEX('Product Price'!C:C,SMALL('Product Price'!$D:$D,15)),"")</f>
        <v>9</v>
      </c>
      <c r="D17" s="2">
        <f t="shared" si="1"/>
        <v>1900</v>
      </c>
      <c r="E17" s="23">
        <f t="shared" si="2"/>
        <v>41890</v>
      </c>
      <c r="F17" s="25">
        <f t="shared" si="48"/>
        <v>5999</v>
      </c>
      <c r="G17" s="23">
        <f t="shared" si="4"/>
        <v>33991</v>
      </c>
      <c r="H17" s="23">
        <f t="shared" si="5"/>
        <v>35891</v>
      </c>
      <c r="I17" s="2">
        <f t="shared" si="6"/>
        <v>6419</v>
      </c>
      <c r="J17" s="2">
        <f t="shared" si="7"/>
        <v>4417</v>
      </c>
      <c r="K17" s="2">
        <f t="shared" si="8"/>
        <v>3417</v>
      </c>
      <c r="L17" s="2">
        <f t="shared" si="9"/>
        <v>2816</v>
      </c>
      <c r="M17" s="2">
        <f t="shared" si="10"/>
        <v>2416</v>
      </c>
      <c r="N17" s="2">
        <f t="shared" si="11"/>
        <v>1916</v>
      </c>
      <c r="O17" s="25">
        <f t="shared" si="12"/>
        <v>7998</v>
      </c>
      <c r="P17" s="23">
        <f t="shared" si="13"/>
        <v>31992</v>
      </c>
      <c r="Q17" s="23">
        <f t="shared" si="14"/>
        <v>33892</v>
      </c>
      <c r="R17" s="2">
        <f t="shared" si="15"/>
        <v>6063</v>
      </c>
      <c r="S17" s="2">
        <f t="shared" si="16"/>
        <v>4172</v>
      </c>
      <c r="T17" s="2">
        <f t="shared" si="17"/>
        <v>3227</v>
      </c>
      <c r="U17" s="2">
        <f t="shared" si="18"/>
        <v>2660</v>
      </c>
      <c r="V17" s="2">
        <f t="shared" si="19"/>
        <v>2282</v>
      </c>
      <c r="W17" s="2">
        <f t="shared" si="20"/>
        <v>1809</v>
      </c>
      <c r="X17" s="25">
        <f t="shared" si="21"/>
        <v>9998</v>
      </c>
      <c r="Y17" s="23">
        <f t="shared" si="22"/>
        <v>29992</v>
      </c>
      <c r="Z17" s="23">
        <f t="shared" si="23"/>
        <v>31892</v>
      </c>
      <c r="AA17" s="2">
        <f t="shared" si="24"/>
        <v>5706</v>
      </c>
      <c r="AB17" s="2">
        <f t="shared" si="25"/>
        <v>3927</v>
      </c>
      <c r="AC17" s="2">
        <f t="shared" si="26"/>
        <v>3038</v>
      </c>
      <c r="AD17" s="2">
        <f t="shared" si="27"/>
        <v>2504</v>
      </c>
      <c r="AE17" s="2">
        <f t="shared" si="28"/>
        <v>2148</v>
      </c>
      <c r="AF17" s="2">
        <f t="shared" si="29"/>
        <v>1703</v>
      </c>
      <c r="AG17" s="25">
        <f t="shared" si="30"/>
        <v>13997</v>
      </c>
      <c r="AH17" s="23">
        <f t="shared" si="31"/>
        <v>25993</v>
      </c>
      <c r="AI17" s="23">
        <f t="shared" si="32"/>
        <v>27893</v>
      </c>
      <c r="AJ17" s="2">
        <f t="shared" si="33"/>
        <v>4994</v>
      </c>
      <c r="AK17" s="2">
        <f t="shared" si="34"/>
        <v>3437</v>
      </c>
      <c r="AL17" s="2">
        <f t="shared" si="35"/>
        <v>2658</v>
      </c>
      <c r="AM17" s="2">
        <f t="shared" si="36"/>
        <v>2191</v>
      </c>
      <c r="AN17" s="2">
        <f t="shared" si="37"/>
        <v>1880</v>
      </c>
      <c r="AO17" s="2">
        <f t="shared" si="38"/>
        <v>1491</v>
      </c>
      <c r="AP17" s="25">
        <f t="shared" si="39"/>
        <v>15996</v>
      </c>
      <c r="AQ17" s="23">
        <f t="shared" si="40"/>
        <v>23994</v>
      </c>
      <c r="AR17" s="23">
        <f t="shared" si="41"/>
        <v>25894</v>
      </c>
      <c r="AS17" s="2">
        <f t="shared" si="42"/>
        <v>4638</v>
      </c>
      <c r="AT17" s="2">
        <f t="shared" si="43"/>
        <v>3192</v>
      </c>
      <c r="AU17" s="2">
        <f t="shared" si="44"/>
        <v>2469</v>
      </c>
      <c r="AV17" s="2">
        <f t="shared" si="45"/>
        <v>2035</v>
      </c>
      <c r="AW17" s="2">
        <f t="shared" si="46"/>
        <v>1746</v>
      </c>
      <c r="AX17" s="2">
        <f t="shared" si="47"/>
        <v>1384</v>
      </c>
    </row>
    <row r="18" ht="14.25" customHeight="1">
      <c r="A18" s="2" t="str">
        <f t="array" ref="A18">IFERROR(INDEX('Product Price'!A:A,SMALL('Product Price'!$D:$D,16)),"")</f>
        <v>HUAWEI Pura 80 Pro 12/512 GB</v>
      </c>
      <c r="B18" s="23">
        <f t="array" ref="B18">IFERROR(INDEX('Product Price'!B:B,SMALL('Product Price'!$D:$D,16)),"")</f>
        <v>29990</v>
      </c>
      <c r="C18" s="2">
        <f t="array" ref="C18">IFERROR(INDEX('Product Price'!C:C,SMALL('Product Price'!$D:$D,16)),"")</f>
        <v>10</v>
      </c>
      <c r="D18" s="2">
        <f t="shared" si="1"/>
        <v>1900</v>
      </c>
      <c r="E18" s="23">
        <f t="shared" si="2"/>
        <v>31890</v>
      </c>
      <c r="F18" s="25">
        <f t="shared" si="48"/>
        <v>4499</v>
      </c>
      <c r="G18" s="23">
        <f t="shared" si="4"/>
        <v>25491</v>
      </c>
      <c r="H18" s="23">
        <f t="shared" si="5"/>
        <v>27391</v>
      </c>
      <c r="I18" s="2">
        <f t="shared" si="6"/>
        <v>4904</v>
      </c>
      <c r="J18" s="2">
        <f t="shared" si="7"/>
        <v>3375</v>
      </c>
      <c r="K18" s="2">
        <f t="shared" si="8"/>
        <v>2611</v>
      </c>
      <c r="L18" s="2">
        <f t="shared" si="9"/>
        <v>2152</v>
      </c>
      <c r="M18" s="2">
        <f t="shared" si="10"/>
        <v>1846</v>
      </c>
      <c r="N18" s="2">
        <f t="shared" si="11"/>
        <v>1464</v>
      </c>
      <c r="O18" s="25">
        <f t="shared" si="12"/>
        <v>5998</v>
      </c>
      <c r="P18" s="23">
        <f t="shared" si="13"/>
        <v>23992</v>
      </c>
      <c r="Q18" s="23">
        <f t="shared" si="14"/>
        <v>25892</v>
      </c>
      <c r="R18" s="2">
        <f t="shared" si="15"/>
        <v>4637</v>
      </c>
      <c r="S18" s="2">
        <f t="shared" si="16"/>
        <v>3191</v>
      </c>
      <c r="T18" s="2">
        <f t="shared" si="17"/>
        <v>2469</v>
      </c>
      <c r="U18" s="2">
        <f t="shared" si="18"/>
        <v>2035</v>
      </c>
      <c r="V18" s="2">
        <f t="shared" si="19"/>
        <v>1746</v>
      </c>
      <c r="W18" s="2">
        <f t="shared" si="20"/>
        <v>1384</v>
      </c>
      <c r="X18" s="25">
        <f t="shared" si="21"/>
        <v>7498</v>
      </c>
      <c r="Y18" s="23">
        <f t="shared" si="22"/>
        <v>22492</v>
      </c>
      <c r="Z18" s="23">
        <f t="shared" si="23"/>
        <v>24392</v>
      </c>
      <c r="AA18" s="2">
        <f t="shared" si="24"/>
        <v>4370</v>
      </c>
      <c r="AB18" s="2">
        <f t="shared" si="25"/>
        <v>3008</v>
      </c>
      <c r="AC18" s="2">
        <f t="shared" si="26"/>
        <v>2326</v>
      </c>
      <c r="AD18" s="2">
        <f t="shared" si="27"/>
        <v>1918</v>
      </c>
      <c r="AE18" s="2">
        <f t="shared" si="28"/>
        <v>1645</v>
      </c>
      <c r="AF18" s="2">
        <f t="shared" si="29"/>
        <v>1304</v>
      </c>
      <c r="AG18" s="25">
        <f t="shared" si="30"/>
        <v>10497</v>
      </c>
      <c r="AH18" s="23">
        <f t="shared" si="31"/>
        <v>19493</v>
      </c>
      <c r="AI18" s="23">
        <f t="shared" si="32"/>
        <v>21393</v>
      </c>
      <c r="AJ18" s="2">
        <f t="shared" si="33"/>
        <v>3836</v>
      </c>
      <c r="AK18" s="2">
        <f t="shared" si="34"/>
        <v>2640</v>
      </c>
      <c r="AL18" s="2">
        <f t="shared" si="35"/>
        <v>2042</v>
      </c>
      <c r="AM18" s="2">
        <f t="shared" si="36"/>
        <v>1683</v>
      </c>
      <c r="AN18" s="2">
        <f t="shared" si="37"/>
        <v>1444</v>
      </c>
      <c r="AO18" s="2">
        <f t="shared" si="38"/>
        <v>1145</v>
      </c>
      <c r="AP18" s="25">
        <f t="shared" si="39"/>
        <v>11996</v>
      </c>
      <c r="AQ18" s="23">
        <f t="shared" si="40"/>
        <v>17994</v>
      </c>
      <c r="AR18" s="23">
        <f t="shared" si="41"/>
        <v>19894</v>
      </c>
      <c r="AS18" s="2">
        <f t="shared" si="42"/>
        <v>3569</v>
      </c>
      <c r="AT18" s="2">
        <f t="shared" si="43"/>
        <v>2456</v>
      </c>
      <c r="AU18" s="2">
        <f t="shared" si="44"/>
        <v>1900</v>
      </c>
      <c r="AV18" s="2">
        <f t="shared" si="45"/>
        <v>1566</v>
      </c>
      <c r="AW18" s="2">
        <f t="shared" si="46"/>
        <v>1343</v>
      </c>
      <c r="AX18" s="2">
        <f t="shared" si="47"/>
        <v>1065</v>
      </c>
    </row>
    <row r="19" ht="14.25" customHeight="1">
      <c r="A19" s="2" t="str">
        <f t="array" ref="A19">IFERROR(INDEX('Product Price'!A:A,SMALL('Product Price'!$D:$D,17)),"")</f>
        <v>HUAWEI Pura 80 12/256 GB</v>
      </c>
      <c r="B19" s="23">
        <f t="array" ref="B19">IFERROR(INDEX('Product Price'!B:B,SMALL('Product Price'!$D:$D,17)),"")</f>
        <v>19990</v>
      </c>
      <c r="C19" s="2">
        <f t="array" ref="C19">IFERROR(INDEX('Product Price'!C:C,SMALL('Product Price'!$D:$D,17)),"")</f>
        <v>11</v>
      </c>
      <c r="D19" s="2">
        <f t="shared" si="1"/>
        <v>1450</v>
      </c>
      <c r="E19" s="23">
        <f t="shared" si="2"/>
        <v>21440</v>
      </c>
      <c r="F19" s="25">
        <f t="shared" si="48"/>
        <v>2999</v>
      </c>
      <c r="G19" s="23">
        <f t="shared" si="4"/>
        <v>16991</v>
      </c>
      <c r="H19" s="23">
        <f t="shared" si="5"/>
        <v>18441</v>
      </c>
      <c r="I19" s="2">
        <f t="shared" si="6"/>
        <v>3304</v>
      </c>
      <c r="J19" s="2">
        <f t="shared" si="7"/>
        <v>2274</v>
      </c>
      <c r="K19" s="2">
        <f t="shared" si="8"/>
        <v>1759</v>
      </c>
      <c r="L19" s="2">
        <f t="shared" si="9"/>
        <v>1450</v>
      </c>
      <c r="M19" s="2">
        <f t="shared" si="10"/>
        <v>1244</v>
      </c>
      <c r="N19" s="2">
        <f t="shared" si="11"/>
        <v>986</v>
      </c>
      <c r="O19" s="25">
        <f t="shared" si="12"/>
        <v>3998</v>
      </c>
      <c r="P19" s="23">
        <f t="shared" si="13"/>
        <v>15992</v>
      </c>
      <c r="Q19" s="23">
        <f t="shared" si="14"/>
        <v>17442</v>
      </c>
      <c r="R19" s="2">
        <f t="shared" si="15"/>
        <v>3126</v>
      </c>
      <c r="S19" s="2">
        <f t="shared" si="16"/>
        <v>2152</v>
      </c>
      <c r="T19" s="2">
        <f t="shared" si="17"/>
        <v>1664</v>
      </c>
      <c r="U19" s="2">
        <f t="shared" si="18"/>
        <v>1372</v>
      </c>
      <c r="V19" s="2">
        <f t="shared" si="19"/>
        <v>1177</v>
      </c>
      <c r="W19" s="2">
        <f t="shared" si="20"/>
        <v>933</v>
      </c>
      <c r="X19" s="25">
        <f t="shared" si="21"/>
        <v>4998</v>
      </c>
      <c r="Y19" s="23">
        <f t="shared" si="22"/>
        <v>14992</v>
      </c>
      <c r="Z19" s="23">
        <f t="shared" si="23"/>
        <v>16442</v>
      </c>
      <c r="AA19" s="2">
        <f t="shared" si="24"/>
        <v>2948</v>
      </c>
      <c r="AB19" s="2">
        <f t="shared" si="25"/>
        <v>2029</v>
      </c>
      <c r="AC19" s="2">
        <f t="shared" si="26"/>
        <v>1569</v>
      </c>
      <c r="AD19" s="2">
        <f t="shared" si="27"/>
        <v>1294</v>
      </c>
      <c r="AE19" s="2">
        <f t="shared" si="28"/>
        <v>1110</v>
      </c>
      <c r="AF19" s="2">
        <f t="shared" si="29"/>
        <v>880</v>
      </c>
      <c r="AG19" s="25">
        <f t="shared" si="30"/>
        <v>6997</v>
      </c>
      <c r="AH19" s="23">
        <f t="shared" si="31"/>
        <v>12993</v>
      </c>
      <c r="AI19" s="23">
        <f t="shared" si="32"/>
        <v>14443</v>
      </c>
      <c r="AJ19" s="2">
        <f t="shared" si="33"/>
        <v>2592</v>
      </c>
      <c r="AK19" s="2">
        <f t="shared" si="34"/>
        <v>1784</v>
      </c>
      <c r="AL19" s="2">
        <f t="shared" si="35"/>
        <v>1380</v>
      </c>
      <c r="AM19" s="2">
        <f t="shared" si="36"/>
        <v>1137</v>
      </c>
      <c r="AN19" s="2">
        <f t="shared" si="37"/>
        <v>976</v>
      </c>
      <c r="AO19" s="2">
        <f t="shared" si="38"/>
        <v>774</v>
      </c>
      <c r="AP19" s="25">
        <f t="shared" si="39"/>
        <v>7996</v>
      </c>
      <c r="AQ19" s="23">
        <f t="shared" si="40"/>
        <v>11994</v>
      </c>
      <c r="AR19" s="23">
        <f t="shared" si="41"/>
        <v>13444</v>
      </c>
      <c r="AS19" s="2">
        <f t="shared" si="42"/>
        <v>2414</v>
      </c>
      <c r="AT19" s="2">
        <f t="shared" si="43"/>
        <v>1661</v>
      </c>
      <c r="AU19" s="2">
        <f t="shared" si="44"/>
        <v>1285</v>
      </c>
      <c r="AV19" s="2">
        <f t="shared" si="45"/>
        <v>1059</v>
      </c>
      <c r="AW19" s="2">
        <f t="shared" si="46"/>
        <v>909</v>
      </c>
      <c r="AX19" s="2">
        <f t="shared" si="47"/>
        <v>721</v>
      </c>
    </row>
    <row r="20" ht="14.25" customHeight="1">
      <c r="A20" s="2" t="str">
        <f t="array" ref="A20">IFERROR(INDEX('Product Price'!A:A,SMALL('Product Price'!$D:$D,18)),"")</f>
        <v>HUAWEI Nova 14 Pro 12/512 GB</v>
      </c>
      <c r="B20" s="23">
        <f t="array" ref="B20">IFERROR(INDEX('Product Price'!B:B,SMALL('Product Price'!$D:$D,18)),"")</f>
        <v>15990</v>
      </c>
      <c r="C20" s="2">
        <f t="array" ref="C20">IFERROR(INDEX('Product Price'!C:C,SMALL('Product Price'!$D:$D,18)),"")</f>
        <v>12</v>
      </c>
      <c r="D20" s="2">
        <f t="shared" si="1"/>
        <v>1450</v>
      </c>
      <c r="E20" s="23">
        <f t="shared" si="2"/>
        <v>17440</v>
      </c>
      <c r="F20" s="25">
        <f t="shared" si="48"/>
        <v>2399</v>
      </c>
      <c r="G20" s="23">
        <f t="shared" si="4"/>
        <v>13591</v>
      </c>
      <c r="H20" s="23">
        <f t="shared" si="5"/>
        <v>15041</v>
      </c>
      <c r="I20" s="2">
        <f t="shared" si="6"/>
        <v>2698</v>
      </c>
      <c r="J20" s="2">
        <f t="shared" si="7"/>
        <v>1857</v>
      </c>
      <c r="K20" s="2">
        <f t="shared" si="8"/>
        <v>1437</v>
      </c>
      <c r="L20" s="2">
        <f t="shared" si="9"/>
        <v>1184</v>
      </c>
      <c r="M20" s="2">
        <f t="shared" si="10"/>
        <v>1016</v>
      </c>
      <c r="N20" s="2">
        <f t="shared" si="11"/>
        <v>806</v>
      </c>
      <c r="O20" s="25">
        <f t="shared" si="12"/>
        <v>3198</v>
      </c>
      <c r="P20" s="23">
        <f t="shared" si="13"/>
        <v>12792</v>
      </c>
      <c r="Q20" s="23">
        <f t="shared" si="14"/>
        <v>14242</v>
      </c>
      <c r="R20" s="2">
        <f t="shared" si="15"/>
        <v>2556</v>
      </c>
      <c r="S20" s="2">
        <f t="shared" si="16"/>
        <v>1759</v>
      </c>
      <c r="T20" s="2">
        <f t="shared" si="17"/>
        <v>1361</v>
      </c>
      <c r="U20" s="2">
        <f t="shared" si="18"/>
        <v>1122</v>
      </c>
      <c r="V20" s="2">
        <f t="shared" si="19"/>
        <v>962</v>
      </c>
      <c r="W20" s="2">
        <f t="shared" si="20"/>
        <v>763</v>
      </c>
      <c r="X20" s="25">
        <f t="shared" si="21"/>
        <v>3998</v>
      </c>
      <c r="Y20" s="23">
        <f t="shared" si="22"/>
        <v>11992</v>
      </c>
      <c r="Z20" s="23">
        <f t="shared" si="23"/>
        <v>13442</v>
      </c>
      <c r="AA20" s="2">
        <f t="shared" si="24"/>
        <v>2414</v>
      </c>
      <c r="AB20" s="2">
        <f t="shared" si="25"/>
        <v>1661</v>
      </c>
      <c r="AC20" s="2">
        <f t="shared" si="26"/>
        <v>1285</v>
      </c>
      <c r="AD20" s="2">
        <f t="shared" si="27"/>
        <v>1059</v>
      </c>
      <c r="AE20" s="2">
        <f t="shared" si="28"/>
        <v>909</v>
      </c>
      <c r="AF20" s="2">
        <f t="shared" si="29"/>
        <v>721</v>
      </c>
      <c r="AG20" s="25">
        <f t="shared" si="30"/>
        <v>5597</v>
      </c>
      <c r="AH20" s="23">
        <f t="shared" si="31"/>
        <v>10393</v>
      </c>
      <c r="AI20" s="23">
        <f t="shared" si="32"/>
        <v>11843</v>
      </c>
      <c r="AJ20" s="2">
        <f t="shared" si="33"/>
        <v>2129</v>
      </c>
      <c r="AK20" s="2">
        <f t="shared" si="34"/>
        <v>1465</v>
      </c>
      <c r="AL20" s="2">
        <f t="shared" si="35"/>
        <v>1133</v>
      </c>
      <c r="AM20" s="2">
        <f t="shared" si="36"/>
        <v>934</v>
      </c>
      <c r="AN20" s="2">
        <f t="shared" si="37"/>
        <v>801</v>
      </c>
      <c r="AO20" s="2">
        <f t="shared" si="38"/>
        <v>636</v>
      </c>
      <c r="AP20" s="25">
        <f t="shared" si="39"/>
        <v>6396</v>
      </c>
      <c r="AQ20" s="23">
        <f t="shared" si="40"/>
        <v>9594</v>
      </c>
      <c r="AR20" s="23">
        <f t="shared" si="41"/>
        <v>11044</v>
      </c>
      <c r="AS20" s="2">
        <f t="shared" si="42"/>
        <v>1986</v>
      </c>
      <c r="AT20" s="2">
        <f t="shared" si="43"/>
        <v>1367</v>
      </c>
      <c r="AU20" s="2">
        <f t="shared" si="44"/>
        <v>1057</v>
      </c>
      <c r="AV20" s="2">
        <f t="shared" si="45"/>
        <v>872</v>
      </c>
      <c r="AW20" s="2">
        <f t="shared" si="46"/>
        <v>748</v>
      </c>
      <c r="AX20" s="2">
        <f t="shared" si="47"/>
        <v>593</v>
      </c>
    </row>
    <row r="21" ht="14.25" customHeight="1">
      <c r="A21" s="2" t="str">
        <f t="array" ref="A21">IFERROR(INDEX('Product Price'!A:A,SMALL('Product Price'!$D:$D,19)),"")</f>
        <v>HUAWEI Nova 14 12/256 GB</v>
      </c>
      <c r="B21" s="23">
        <f t="array" ref="B21">IFERROR(INDEX('Product Price'!B:B,SMALL('Product Price'!$D:$D,19)),"")</f>
        <v>11990</v>
      </c>
      <c r="C21" s="2">
        <f t="array" ref="C21">IFERROR(INDEX('Product Price'!C:C,SMALL('Product Price'!$D:$D,19)),"")</f>
        <v>13</v>
      </c>
      <c r="D21" s="2">
        <f t="shared" si="1"/>
        <v>1450</v>
      </c>
      <c r="E21" s="23">
        <f t="shared" si="2"/>
        <v>13440</v>
      </c>
      <c r="F21" s="25">
        <f t="shared" si="48"/>
        <v>1799</v>
      </c>
      <c r="G21" s="23">
        <f t="shared" si="4"/>
        <v>10191</v>
      </c>
      <c r="H21" s="23">
        <f t="shared" si="5"/>
        <v>11641</v>
      </c>
      <c r="I21" s="2">
        <f t="shared" si="6"/>
        <v>2093</v>
      </c>
      <c r="J21" s="2">
        <f t="shared" si="7"/>
        <v>1440</v>
      </c>
      <c r="K21" s="2">
        <f t="shared" si="8"/>
        <v>1114</v>
      </c>
      <c r="L21" s="2">
        <f t="shared" si="9"/>
        <v>918</v>
      </c>
      <c r="M21" s="2">
        <f t="shared" si="10"/>
        <v>788</v>
      </c>
      <c r="N21" s="2">
        <f t="shared" si="11"/>
        <v>625</v>
      </c>
      <c r="O21" s="25">
        <f t="shared" si="12"/>
        <v>2398</v>
      </c>
      <c r="P21" s="23">
        <f t="shared" si="13"/>
        <v>9592</v>
      </c>
      <c r="Q21" s="23">
        <f t="shared" si="14"/>
        <v>11042</v>
      </c>
      <c r="R21" s="2">
        <f t="shared" si="15"/>
        <v>1986</v>
      </c>
      <c r="S21" s="2">
        <f t="shared" si="16"/>
        <v>1367</v>
      </c>
      <c r="T21" s="2">
        <f t="shared" si="17"/>
        <v>1057</v>
      </c>
      <c r="U21" s="2">
        <f t="shared" si="18"/>
        <v>872</v>
      </c>
      <c r="V21" s="2">
        <f t="shared" si="19"/>
        <v>748</v>
      </c>
      <c r="W21" s="2">
        <f t="shared" si="20"/>
        <v>593</v>
      </c>
      <c r="X21" s="25">
        <f t="shared" si="21"/>
        <v>2998</v>
      </c>
      <c r="Y21" s="23">
        <f t="shared" si="22"/>
        <v>8992</v>
      </c>
      <c r="Z21" s="23">
        <f t="shared" si="23"/>
        <v>10442</v>
      </c>
      <c r="AA21" s="2">
        <f t="shared" si="24"/>
        <v>1879</v>
      </c>
      <c r="AB21" s="2">
        <f t="shared" si="25"/>
        <v>1293</v>
      </c>
      <c r="AC21" s="2">
        <f t="shared" si="26"/>
        <v>1000</v>
      </c>
      <c r="AD21" s="2">
        <f t="shared" si="27"/>
        <v>825</v>
      </c>
      <c r="AE21" s="2">
        <f t="shared" si="28"/>
        <v>708</v>
      </c>
      <c r="AF21" s="2">
        <f t="shared" si="29"/>
        <v>561</v>
      </c>
      <c r="AG21" s="25">
        <f t="shared" si="30"/>
        <v>4197</v>
      </c>
      <c r="AH21" s="23">
        <f t="shared" si="31"/>
        <v>7793</v>
      </c>
      <c r="AI21" s="23">
        <f t="shared" si="32"/>
        <v>9243</v>
      </c>
      <c r="AJ21" s="2">
        <f t="shared" si="33"/>
        <v>1665</v>
      </c>
      <c r="AK21" s="2">
        <f t="shared" si="34"/>
        <v>1146</v>
      </c>
      <c r="AL21" s="2">
        <f t="shared" si="35"/>
        <v>887</v>
      </c>
      <c r="AM21" s="2">
        <f t="shared" si="36"/>
        <v>731</v>
      </c>
      <c r="AN21" s="2">
        <f t="shared" si="37"/>
        <v>627</v>
      </c>
      <c r="AO21" s="2">
        <f t="shared" si="38"/>
        <v>497</v>
      </c>
      <c r="AP21" s="25">
        <f t="shared" si="39"/>
        <v>4796</v>
      </c>
      <c r="AQ21" s="23">
        <f t="shared" si="40"/>
        <v>7194</v>
      </c>
      <c r="AR21" s="23">
        <f t="shared" si="41"/>
        <v>8644</v>
      </c>
      <c r="AS21" s="2">
        <f t="shared" si="42"/>
        <v>1559</v>
      </c>
      <c r="AT21" s="2">
        <f t="shared" si="43"/>
        <v>1073</v>
      </c>
      <c r="AU21" s="2">
        <f t="shared" si="44"/>
        <v>830</v>
      </c>
      <c r="AV21" s="2">
        <f t="shared" si="45"/>
        <v>684</v>
      </c>
      <c r="AW21" s="2">
        <f t="shared" si="46"/>
        <v>587</v>
      </c>
      <c r="AX21" s="2" t="str">
        <f t="shared" si="47"/>
        <v>-</v>
      </c>
    </row>
    <row r="22" ht="14.25" customHeight="1">
      <c r="A22" s="2" t="str">
        <f t="array" ref="A22">IFERROR(INDEX('Product Price'!A:A,SMALL('Product Price'!$D:$D,20)),"")</f>
        <v>HUAWEI Nova Y73 8/256 GB</v>
      </c>
      <c r="B22" s="23">
        <f t="array" ref="B22">IFERROR(INDEX('Product Price'!B:B,SMALL('Product Price'!$D:$D,20)),"")</f>
        <v>5990</v>
      </c>
      <c r="C22" s="2">
        <f t="array" ref="C22">IFERROR(INDEX('Product Price'!C:C,SMALL('Product Price'!$D:$D,20)),"")</f>
        <v>14</v>
      </c>
      <c r="D22" s="2">
        <f t="shared" si="1"/>
        <v>795</v>
      </c>
      <c r="E22" s="23">
        <f t="shared" si="2"/>
        <v>6785</v>
      </c>
      <c r="F22" s="25">
        <f t="shared" si="48"/>
        <v>899</v>
      </c>
      <c r="G22" s="23">
        <f t="shared" si="4"/>
        <v>5091</v>
      </c>
      <c r="H22" s="23">
        <f t="shared" si="5"/>
        <v>5886</v>
      </c>
      <c r="I22" s="2">
        <f t="shared" si="6"/>
        <v>1059</v>
      </c>
      <c r="J22" s="2">
        <f t="shared" si="7"/>
        <v>729</v>
      </c>
      <c r="K22" s="2">
        <f t="shared" si="8"/>
        <v>564</v>
      </c>
      <c r="L22" s="2" t="str">
        <f t="shared" si="9"/>
        <v>-</v>
      </c>
      <c r="M22" s="2" t="str">
        <f t="shared" si="10"/>
        <v>-</v>
      </c>
      <c r="N22" s="2" t="str">
        <f t="shared" si="11"/>
        <v>-</v>
      </c>
      <c r="O22" s="25">
        <f t="shared" si="12"/>
        <v>1198</v>
      </c>
      <c r="P22" s="23">
        <f t="shared" si="13"/>
        <v>4792</v>
      </c>
      <c r="Q22" s="23">
        <f t="shared" si="14"/>
        <v>5587</v>
      </c>
      <c r="R22" s="2">
        <f t="shared" si="15"/>
        <v>1006</v>
      </c>
      <c r="S22" s="2">
        <f t="shared" si="16"/>
        <v>692</v>
      </c>
      <c r="T22" s="2">
        <f t="shared" si="17"/>
        <v>536</v>
      </c>
      <c r="U22" s="2" t="str">
        <f t="shared" si="18"/>
        <v>-</v>
      </c>
      <c r="V22" s="2" t="str">
        <f t="shared" si="19"/>
        <v>-</v>
      </c>
      <c r="W22" s="2" t="str">
        <f t="shared" si="20"/>
        <v>-</v>
      </c>
      <c r="X22" s="25">
        <f t="shared" si="21"/>
        <v>1498</v>
      </c>
      <c r="Y22" s="23">
        <f t="shared" si="22"/>
        <v>4492</v>
      </c>
      <c r="Z22" s="23">
        <f t="shared" si="23"/>
        <v>5287</v>
      </c>
      <c r="AA22" s="2">
        <f t="shared" si="24"/>
        <v>952</v>
      </c>
      <c r="AB22" s="2">
        <f t="shared" si="25"/>
        <v>656</v>
      </c>
      <c r="AC22" s="2">
        <f t="shared" si="26"/>
        <v>507</v>
      </c>
      <c r="AD22" s="2" t="str">
        <f t="shared" si="27"/>
        <v>-</v>
      </c>
      <c r="AE22" s="2" t="str">
        <f t="shared" si="28"/>
        <v>-</v>
      </c>
      <c r="AF22" s="2" t="str">
        <f t="shared" si="29"/>
        <v>-</v>
      </c>
      <c r="AG22" s="25">
        <f t="shared" si="30"/>
        <v>2097</v>
      </c>
      <c r="AH22" s="23">
        <f t="shared" si="31"/>
        <v>3893</v>
      </c>
      <c r="AI22" s="23">
        <f t="shared" si="32"/>
        <v>4688</v>
      </c>
      <c r="AJ22" s="2">
        <f t="shared" si="33"/>
        <v>846</v>
      </c>
      <c r="AK22" s="2">
        <f t="shared" si="34"/>
        <v>582</v>
      </c>
      <c r="AL22" s="2" t="str">
        <f t="shared" si="35"/>
        <v>-</v>
      </c>
      <c r="AM22" s="2" t="str">
        <f t="shared" si="36"/>
        <v>-</v>
      </c>
      <c r="AN22" s="2" t="str">
        <f t="shared" si="37"/>
        <v>-</v>
      </c>
      <c r="AO22" s="2" t="str">
        <f t="shared" si="38"/>
        <v>-</v>
      </c>
      <c r="AP22" s="25">
        <f t="shared" si="39"/>
        <v>2396</v>
      </c>
      <c r="AQ22" s="23">
        <f t="shared" si="40"/>
        <v>3594</v>
      </c>
      <c r="AR22" s="23">
        <f t="shared" si="41"/>
        <v>4389</v>
      </c>
      <c r="AS22" s="2">
        <f t="shared" si="42"/>
        <v>792</v>
      </c>
      <c r="AT22" s="2">
        <f t="shared" si="43"/>
        <v>545</v>
      </c>
      <c r="AU22" s="2" t="str">
        <f t="shared" si="44"/>
        <v>-</v>
      </c>
      <c r="AV22" s="2" t="str">
        <f t="shared" si="45"/>
        <v>-</v>
      </c>
      <c r="AW22" s="2" t="str">
        <f t="shared" si="46"/>
        <v>-</v>
      </c>
      <c r="AX22" s="2" t="str">
        <f t="shared" si="47"/>
        <v>-</v>
      </c>
    </row>
    <row r="23" ht="14.25" customHeight="1">
      <c r="A23" s="2" t="str">
        <f t="array" ref="A23">IFERROR(INDEX('Product Price'!A:A,SMALL('Product Price'!$D:$D,21)),"")</f>
        <v>HUAWEI MatePad ProMax 12/512 GB</v>
      </c>
      <c r="B23" s="23">
        <f t="array" ref="B23">IFERROR(INDEX('Product Price'!B:B,SMALL('Product Price'!$D:$D,21)),"")</f>
        <v>52990</v>
      </c>
      <c r="C23" s="2">
        <f t="array" ref="C23">IFERROR(INDEX('Product Price'!C:C,SMALL('Product Price'!$D:$D,21)),"")</f>
        <v>180</v>
      </c>
      <c r="D23" s="2">
        <f t="shared" si="1"/>
        <v>2475</v>
      </c>
      <c r="E23" s="23">
        <f t="shared" si="2"/>
        <v>55465</v>
      </c>
      <c r="F23" s="25">
        <f t="shared" si="48"/>
        <v>7949</v>
      </c>
      <c r="G23" s="23">
        <f t="shared" si="4"/>
        <v>45041</v>
      </c>
      <c r="H23" s="23">
        <f t="shared" si="5"/>
        <v>47516</v>
      </c>
      <c r="I23" s="2">
        <f t="shared" si="6"/>
        <v>8497</v>
      </c>
      <c r="J23" s="2">
        <f t="shared" si="7"/>
        <v>5848</v>
      </c>
      <c r="K23" s="2">
        <f t="shared" si="8"/>
        <v>4523</v>
      </c>
      <c r="L23" s="2">
        <f t="shared" si="9"/>
        <v>3728</v>
      </c>
      <c r="M23" s="2">
        <f t="shared" si="10"/>
        <v>3198</v>
      </c>
      <c r="N23" s="2">
        <f t="shared" si="11"/>
        <v>2536</v>
      </c>
      <c r="O23" s="25">
        <f t="shared" si="12"/>
        <v>10598</v>
      </c>
      <c r="P23" s="23">
        <f t="shared" si="13"/>
        <v>42392</v>
      </c>
      <c r="Q23" s="23">
        <f t="shared" si="14"/>
        <v>44867</v>
      </c>
      <c r="R23" s="2">
        <f t="shared" si="15"/>
        <v>8025</v>
      </c>
      <c r="S23" s="2">
        <f t="shared" si="16"/>
        <v>5523</v>
      </c>
      <c r="T23" s="2">
        <f t="shared" si="17"/>
        <v>4272</v>
      </c>
      <c r="U23" s="2">
        <f t="shared" si="18"/>
        <v>3521</v>
      </c>
      <c r="V23" s="2">
        <f t="shared" si="19"/>
        <v>3021</v>
      </c>
      <c r="W23" s="2">
        <f t="shared" si="20"/>
        <v>2395</v>
      </c>
      <c r="X23" s="25">
        <f t="shared" si="21"/>
        <v>13248</v>
      </c>
      <c r="Y23" s="23">
        <f t="shared" si="22"/>
        <v>39742</v>
      </c>
      <c r="Z23" s="23">
        <f t="shared" si="23"/>
        <v>42217</v>
      </c>
      <c r="AA23" s="2">
        <f t="shared" si="24"/>
        <v>7553</v>
      </c>
      <c r="AB23" s="2">
        <f t="shared" si="25"/>
        <v>5198</v>
      </c>
      <c r="AC23" s="2">
        <f t="shared" si="26"/>
        <v>4021</v>
      </c>
      <c r="AD23" s="2">
        <f t="shared" si="27"/>
        <v>3314</v>
      </c>
      <c r="AE23" s="2">
        <f t="shared" si="28"/>
        <v>2843</v>
      </c>
      <c r="AF23" s="2">
        <f t="shared" si="29"/>
        <v>2254</v>
      </c>
      <c r="AG23" s="25">
        <f t="shared" si="30"/>
        <v>18547</v>
      </c>
      <c r="AH23" s="23">
        <f t="shared" si="31"/>
        <v>34443</v>
      </c>
      <c r="AI23" s="23">
        <f t="shared" si="32"/>
        <v>36918</v>
      </c>
      <c r="AJ23" s="2">
        <f t="shared" si="33"/>
        <v>6609</v>
      </c>
      <c r="AK23" s="2">
        <f t="shared" si="34"/>
        <v>4548</v>
      </c>
      <c r="AL23" s="2">
        <f t="shared" si="35"/>
        <v>3518</v>
      </c>
      <c r="AM23" s="2">
        <f t="shared" si="36"/>
        <v>2900</v>
      </c>
      <c r="AN23" s="2">
        <f t="shared" si="37"/>
        <v>2488</v>
      </c>
      <c r="AO23" s="2">
        <f t="shared" si="38"/>
        <v>1973</v>
      </c>
      <c r="AP23" s="25">
        <f t="shared" si="39"/>
        <v>21196</v>
      </c>
      <c r="AQ23" s="23">
        <f t="shared" si="40"/>
        <v>31794</v>
      </c>
      <c r="AR23" s="23">
        <f t="shared" si="41"/>
        <v>34269</v>
      </c>
      <c r="AS23" s="2">
        <f t="shared" si="42"/>
        <v>6137</v>
      </c>
      <c r="AT23" s="2">
        <f t="shared" si="43"/>
        <v>4224</v>
      </c>
      <c r="AU23" s="2">
        <f t="shared" si="44"/>
        <v>3267</v>
      </c>
      <c r="AV23" s="2">
        <f t="shared" si="45"/>
        <v>2693</v>
      </c>
      <c r="AW23" s="2">
        <f t="shared" si="46"/>
        <v>2310</v>
      </c>
      <c r="AX23" s="2">
        <f t="shared" si="47"/>
        <v>1832</v>
      </c>
    </row>
    <row r="24" ht="14.25" customHeight="1">
      <c r="A24" s="2" t="str">
        <f t="array" ref="A24">IFERROR(INDEX('Product Price'!A:A,SMALL('Product Price'!$D:$D,22)),"")</f>
        <v>HUAWEI MatePad ProMax 12/256 GB</v>
      </c>
      <c r="B24" s="23">
        <f t="array" ref="B24">IFERROR(INDEX('Product Price'!B:B,SMALL('Product Price'!$D:$D,22)),"")</f>
        <v>39990</v>
      </c>
      <c r="C24" s="2">
        <f t="array" ref="C24">IFERROR(INDEX('Product Price'!C:C,SMALL('Product Price'!$D:$D,22)),"")</f>
        <v>181</v>
      </c>
      <c r="D24" s="2">
        <f t="shared" si="1"/>
        <v>1900</v>
      </c>
      <c r="E24" s="23">
        <f t="shared" si="2"/>
        <v>41890</v>
      </c>
      <c r="F24" s="25">
        <f t="shared" si="48"/>
        <v>5999</v>
      </c>
      <c r="G24" s="23">
        <f t="shared" si="4"/>
        <v>33991</v>
      </c>
      <c r="H24" s="23">
        <f t="shared" si="5"/>
        <v>35891</v>
      </c>
      <c r="I24" s="2">
        <f t="shared" si="6"/>
        <v>6419</v>
      </c>
      <c r="J24" s="2">
        <f t="shared" si="7"/>
        <v>4417</v>
      </c>
      <c r="K24" s="2">
        <f t="shared" si="8"/>
        <v>3417</v>
      </c>
      <c r="L24" s="2">
        <f t="shared" si="9"/>
        <v>2816</v>
      </c>
      <c r="M24" s="2">
        <f t="shared" si="10"/>
        <v>2416</v>
      </c>
      <c r="N24" s="2">
        <f t="shared" si="11"/>
        <v>1916</v>
      </c>
      <c r="O24" s="25">
        <f t="shared" si="12"/>
        <v>7998</v>
      </c>
      <c r="P24" s="23">
        <f t="shared" si="13"/>
        <v>31992</v>
      </c>
      <c r="Q24" s="23">
        <f t="shared" si="14"/>
        <v>33892</v>
      </c>
      <c r="R24" s="2">
        <f t="shared" si="15"/>
        <v>6063</v>
      </c>
      <c r="S24" s="2">
        <f t="shared" si="16"/>
        <v>4172</v>
      </c>
      <c r="T24" s="2">
        <f t="shared" si="17"/>
        <v>3227</v>
      </c>
      <c r="U24" s="2">
        <f t="shared" si="18"/>
        <v>2660</v>
      </c>
      <c r="V24" s="2">
        <f t="shared" si="19"/>
        <v>2282</v>
      </c>
      <c r="W24" s="2">
        <f t="shared" si="20"/>
        <v>1809</v>
      </c>
      <c r="X24" s="25">
        <f t="shared" si="21"/>
        <v>9998</v>
      </c>
      <c r="Y24" s="23">
        <f t="shared" si="22"/>
        <v>29992</v>
      </c>
      <c r="Z24" s="23">
        <f t="shared" si="23"/>
        <v>31892</v>
      </c>
      <c r="AA24" s="2">
        <f t="shared" si="24"/>
        <v>5706</v>
      </c>
      <c r="AB24" s="2">
        <f t="shared" si="25"/>
        <v>3927</v>
      </c>
      <c r="AC24" s="2">
        <f t="shared" si="26"/>
        <v>3038</v>
      </c>
      <c r="AD24" s="2">
        <f t="shared" si="27"/>
        <v>2504</v>
      </c>
      <c r="AE24" s="2">
        <f t="shared" si="28"/>
        <v>2148</v>
      </c>
      <c r="AF24" s="2">
        <f t="shared" si="29"/>
        <v>1703</v>
      </c>
      <c r="AG24" s="25">
        <f t="shared" si="30"/>
        <v>13997</v>
      </c>
      <c r="AH24" s="23">
        <f t="shared" si="31"/>
        <v>25993</v>
      </c>
      <c r="AI24" s="23">
        <f t="shared" si="32"/>
        <v>27893</v>
      </c>
      <c r="AJ24" s="2">
        <f t="shared" si="33"/>
        <v>4994</v>
      </c>
      <c r="AK24" s="2">
        <f t="shared" si="34"/>
        <v>3437</v>
      </c>
      <c r="AL24" s="2">
        <f t="shared" si="35"/>
        <v>2658</v>
      </c>
      <c r="AM24" s="2">
        <f t="shared" si="36"/>
        <v>2191</v>
      </c>
      <c r="AN24" s="2">
        <f t="shared" si="37"/>
        <v>1880</v>
      </c>
      <c r="AO24" s="2">
        <f t="shared" si="38"/>
        <v>1491</v>
      </c>
      <c r="AP24" s="25">
        <f t="shared" si="39"/>
        <v>15996</v>
      </c>
      <c r="AQ24" s="23">
        <f t="shared" si="40"/>
        <v>23994</v>
      </c>
      <c r="AR24" s="23">
        <f t="shared" si="41"/>
        <v>25894</v>
      </c>
      <c r="AS24" s="2">
        <f t="shared" si="42"/>
        <v>4638</v>
      </c>
      <c r="AT24" s="2">
        <f t="shared" si="43"/>
        <v>3192</v>
      </c>
      <c r="AU24" s="2">
        <f t="shared" si="44"/>
        <v>2469</v>
      </c>
      <c r="AV24" s="2">
        <f t="shared" si="45"/>
        <v>2035</v>
      </c>
      <c r="AW24" s="2">
        <f t="shared" si="46"/>
        <v>1746</v>
      </c>
      <c r="AX24" s="2">
        <f t="shared" si="47"/>
        <v>1384</v>
      </c>
    </row>
    <row r="25" ht="14.25" customHeight="1">
      <c r="A25" s="2" t="str">
        <f t="array" ref="A25">IFERROR(INDEX('Product Price'!A:A,SMALL('Product Price'!$D:$D,23)),"")</f>
        <v>HUAWEI MatePad Pro 13.2 12/512 GB</v>
      </c>
      <c r="B25" s="23">
        <f t="array" ref="B25">IFERROR(INDEX('Product Price'!B:B,SMALL('Product Price'!$D:$D,23)),"")</f>
        <v>32990</v>
      </c>
      <c r="C25" s="2">
        <f t="array" ref="C25">IFERROR(INDEX('Product Price'!C:C,SMALL('Product Price'!$D:$D,23)),"")</f>
        <v>15</v>
      </c>
      <c r="D25" s="2">
        <f t="shared" si="1"/>
        <v>1900</v>
      </c>
      <c r="E25" s="23">
        <f t="shared" si="2"/>
        <v>34890</v>
      </c>
      <c r="F25" s="25">
        <f t="shared" si="48"/>
        <v>4949</v>
      </c>
      <c r="G25" s="23">
        <f t="shared" si="4"/>
        <v>28041</v>
      </c>
      <c r="H25" s="23">
        <f t="shared" si="5"/>
        <v>29941</v>
      </c>
      <c r="I25" s="2">
        <f t="shared" si="6"/>
        <v>5359</v>
      </c>
      <c r="J25" s="2">
        <f t="shared" si="7"/>
        <v>3688</v>
      </c>
      <c r="K25" s="2">
        <f t="shared" si="8"/>
        <v>2853</v>
      </c>
      <c r="L25" s="2">
        <f t="shared" si="9"/>
        <v>2351</v>
      </c>
      <c r="M25" s="2">
        <f t="shared" si="10"/>
        <v>2017</v>
      </c>
      <c r="N25" s="2">
        <f t="shared" si="11"/>
        <v>1599</v>
      </c>
      <c r="O25" s="25">
        <f t="shared" si="12"/>
        <v>6598</v>
      </c>
      <c r="P25" s="23">
        <f t="shared" si="13"/>
        <v>26392</v>
      </c>
      <c r="Q25" s="23">
        <f t="shared" si="14"/>
        <v>28292</v>
      </c>
      <c r="R25" s="2">
        <f t="shared" si="15"/>
        <v>5065</v>
      </c>
      <c r="S25" s="2">
        <f t="shared" si="16"/>
        <v>3486</v>
      </c>
      <c r="T25" s="2">
        <f t="shared" si="17"/>
        <v>2696</v>
      </c>
      <c r="U25" s="2">
        <f t="shared" si="18"/>
        <v>2222</v>
      </c>
      <c r="V25" s="2">
        <f t="shared" si="19"/>
        <v>1907</v>
      </c>
      <c r="W25" s="2">
        <f t="shared" si="20"/>
        <v>1512</v>
      </c>
      <c r="X25" s="25">
        <f t="shared" si="21"/>
        <v>8248</v>
      </c>
      <c r="Y25" s="23">
        <f t="shared" si="22"/>
        <v>24742</v>
      </c>
      <c r="Z25" s="23">
        <f t="shared" si="23"/>
        <v>26642</v>
      </c>
      <c r="AA25" s="2">
        <f t="shared" si="24"/>
        <v>4771</v>
      </c>
      <c r="AB25" s="2">
        <f t="shared" si="25"/>
        <v>3283</v>
      </c>
      <c r="AC25" s="2">
        <f t="shared" si="26"/>
        <v>2540</v>
      </c>
      <c r="AD25" s="2">
        <f t="shared" si="27"/>
        <v>2093</v>
      </c>
      <c r="AE25" s="2">
        <f t="shared" si="28"/>
        <v>1796</v>
      </c>
      <c r="AF25" s="2">
        <f t="shared" si="29"/>
        <v>1424</v>
      </c>
      <c r="AG25" s="25">
        <f t="shared" si="30"/>
        <v>11547</v>
      </c>
      <c r="AH25" s="23">
        <f t="shared" si="31"/>
        <v>21443</v>
      </c>
      <c r="AI25" s="23">
        <f t="shared" si="32"/>
        <v>23343</v>
      </c>
      <c r="AJ25" s="2">
        <f t="shared" si="33"/>
        <v>4183</v>
      </c>
      <c r="AK25" s="2">
        <f t="shared" si="34"/>
        <v>2879</v>
      </c>
      <c r="AL25" s="2">
        <f t="shared" si="35"/>
        <v>2227</v>
      </c>
      <c r="AM25" s="2">
        <f t="shared" si="36"/>
        <v>1836</v>
      </c>
      <c r="AN25" s="2">
        <f t="shared" si="37"/>
        <v>1575</v>
      </c>
      <c r="AO25" s="2">
        <f t="shared" si="38"/>
        <v>1249</v>
      </c>
      <c r="AP25" s="25">
        <f t="shared" si="39"/>
        <v>13196</v>
      </c>
      <c r="AQ25" s="23">
        <f t="shared" si="40"/>
        <v>19794</v>
      </c>
      <c r="AR25" s="23">
        <f t="shared" si="41"/>
        <v>21694</v>
      </c>
      <c r="AS25" s="2">
        <f t="shared" si="42"/>
        <v>3889</v>
      </c>
      <c r="AT25" s="2">
        <f t="shared" si="43"/>
        <v>2677</v>
      </c>
      <c r="AU25" s="2">
        <f t="shared" si="44"/>
        <v>2070</v>
      </c>
      <c r="AV25" s="2">
        <f t="shared" si="45"/>
        <v>1707</v>
      </c>
      <c r="AW25" s="2">
        <f t="shared" si="46"/>
        <v>1464</v>
      </c>
      <c r="AX25" s="2">
        <f t="shared" si="47"/>
        <v>1161</v>
      </c>
    </row>
    <row r="26" ht="14.25" customHeight="1">
      <c r="A26" s="2" t="str">
        <f t="array" ref="A26">IFERROR(INDEX('Product Price'!A:A,SMALL('Product Price'!$D:$D,24)),"")</f>
        <v>HUAWEI MatePad Pro 12.2 2025 12/512 GB</v>
      </c>
      <c r="B26" s="23">
        <f t="array" ref="B26">IFERROR(INDEX('Product Price'!B:B,SMALL('Product Price'!$D:$D,24)),"")</f>
        <v>27990</v>
      </c>
      <c r="C26" s="2">
        <f t="array" ref="C26">IFERROR(INDEX('Product Price'!C:C,SMALL('Product Price'!$D:$D,24)),"")</f>
        <v>16</v>
      </c>
      <c r="D26" s="2">
        <f t="shared" si="1"/>
        <v>1900</v>
      </c>
      <c r="E26" s="23">
        <f t="shared" si="2"/>
        <v>29890</v>
      </c>
      <c r="F26" s="25">
        <f t="shared" si="48"/>
        <v>4199</v>
      </c>
      <c r="G26" s="23">
        <f t="shared" si="4"/>
        <v>23791</v>
      </c>
      <c r="H26" s="23">
        <f t="shared" si="5"/>
        <v>25691</v>
      </c>
      <c r="I26" s="2">
        <f t="shared" si="6"/>
        <v>4601</v>
      </c>
      <c r="J26" s="2">
        <f t="shared" si="7"/>
        <v>3167</v>
      </c>
      <c r="K26" s="2">
        <f t="shared" si="8"/>
        <v>2449</v>
      </c>
      <c r="L26" s="2">
        <f t="shared" si="9"/>
        <v>2019</v>
      </c>
      <c r="M26" s="2">
        <f t="shared" si="10"/>
        <v>1732</v>
      </c>
      <c r="N26" s="2">
        <f t="shared" si="11"/>
        <v>1373</v>
      </c>
      <c r="O26" s="25">
        <f t="shared" si="12"/>
        <v>5598</v>
      </c>
      <c r="P26" s="23">
        <f t="shared" si="13"/>
        <v>22392</v>
      </c>
      <c r="Q26" s="23">
        <f t="shared" si="14"/>
        <v>24292</v>
      </c>
      <c r="R26" s="2">
        <f t="shared" si="15"/>
        <v>4352</v>
      </c>
      <c r="S26" s="2">
        <f t="shared" si="16"/>
        <v>2995</v>
      </c>
      <c r="T26" s="2">
        <f t="shared" si="17"/>
        <v>2317</v>
      </c>
      <c r="U26" s="2">
        <f t="shared" si="18"/>
        <v>1910</v>
      </c>
      <c r="V26" s="2">
        <f t="shared" si="19"/>
        <v>1638</v>
      </c>
      <c r="W26" s="2">
        <f t="shared" si="20"/>
        <v>1299</v>
      </c>
      <c r="X26" s="25">
        <f t="shared" si="21"/>
        <v>6998</v>
      </c>
      <c r="Y26" s="23">
        <f t="shared" si="22"/>
        <v>20992</v>
      </c>
      <c r="Z26" s="23">
        <f t="shared" si="23"/>
        <v>22892</v>
      </c>
      <c r="AA26" s="2">
        <f t="shared" si="24"/>
        <v>4103</v>
      </c>
      <c r="AB26" s="2">
        <f t="shared" si="25"/>
        <v>2824</v>
      </c>
      <c r="AC26" s="2">
        <f t="shared" si="26"/>
        <v>2184</v>
      </c>
      <c r="AD26" s="2">
        <f t="shared" si="27"/>
        <v>1800</v>
      </c>
      <c r="AE26" s="2">
        <f t="shared" si="28"/>
        <v>1544</v>
      </c>
      <c r="AF26" s="2">
        <f t="shared" si="29"/>
        <v>1225</v>
      </c>
      <c r="AG26" s="25">
        <f t="shared" si="30"/>
        <v>9797</v>
      </c>
      <c r="AH26" s="23">
        <f t="shared" si="31"/>
        <v>18193</v>
      </c>
      <c r="AI26" s="23">
        <f t="shared" si="32"/>
        <v>20093</v>
      </c>
      <c r="AJ26" s="2">
        <f t="shared" si="33"/>
        <v>3604</v>
      </c>
      <c r="AK26" s="2">
        <f t="shared" si="34"/>
        <v>2480</v>
      </c>
      <c r="AL26" s="2">
        <f t="shared" si="35"/>
        <v>1919</v>
      </c>
      <c r="AM26" s="2">
        <f t="shared" si="36"/>
        <v>1581</v>
      </c>
      <c r="AN26" s="2">
        <f t="shared" si="37"/>
        <v>1357</v>
      </c>
      <c r="AO26" s="2">
        <f t="shared" si="38"/>
        <v>1076</v>
      </c>
      <c r="AP26" s="25">
        <f t="shared" si="39"/>
        <v>11196</v>
      </c>
      <c r="AQ26" s="23">
        <f t="shared" si="40"/>
        <v>16794</v>
      </c>
      <c r="AR26" s="23">
        <f t="shared" si="41"/>
        <v>18694</v>
      </c>
      <c r="AS26" s="2">
        <f t="shared" si="42"/>
        <v>3355</v>
      </c>
      <c r="AT26" s="2">
        <f t="shared" si="43"/>
        <v>2309</v>
      </c>
      <c r="AU26" s="2">
        <f t="shared" si="44"/>
        <v>1786</v>
      </c>
      <c r="AV26" s="2">
        <f t="shared" si="45"/>
        <v>1472</v>
      </c>
      <c r="AW26" s="2">
        <f t="shared" si="46"/>
        <v>1263</v>
      </c>
      <c r="AX26" s="2">
        <f t="shared" si="47"/>
        <v>1001</v>
      </c>
    </row>
    <row r="27" ht="14.25" customHeight="1">
      <c r="A27" s="2" t="str">
        <f t="array" ref="A27">IFERROR(INDEX('Product Price'!A:A,SMALL('Product Price'!$D:$D,25)),"")</f>
        <v>HUAWEI MatePad 11.5 2025 8/256 GB</v>
      </c>
      <c r="B27" s="23">
        <f t="array" ref="B27">IFERROR(INDEX('Product Price'!B:B,SMALL('Product Price'!$D:$D,25)),"")</f>
        <v>11990</v>
      </c>
      <c r="C27" s="2">
        <f t="array" ref="C27">IFERROR(INDEX('Product Price'!C:C,SMALL('Product Price'!$D:$D,25)),"")</f>
        <v>17</v>
      </c>
      <c r="D27" s="2">
        <f t="shared" si="1"/>
        <v>1450</v>
      </c>
      <c r="E27" s="23">
        <f t="shared" si="2"/>
        <v>13440</v>
      </c>
      <c r="F27" s="25">
        <f t="shared" si="48"/>
        <v>1799</v>
      </c>
      <c r="G27" s="23">
        <f t="shared" si="4"/>
        <v>10191</v>
      </c>
      <c r="H27" s="23">
        <f t="shared" si="5"/>
        <v>11641</v>
      </c>
      <c r="I27" s="2">
        <f t="shared" si="6"/>
        <v>2093</v>
      </c>
      <c r="J27" s="2">
        <f t="shared" si="7"/>
        <v>1440</v>
      </c>
      <c r="K27" s="2">
        <f t="shared" si="8"/>
        <v>1114</v>
      </c>
      <c r="L27" s="2">
        <f t="shared" si="9"/>
        <v>918</v>
      </c>
      <c r="M27" s="2">
        <f t="shared" si="10"/>
        <v>788</v>
      </c>
      <c r="N27" s="2">
        <f t="shared" si="11"/>
        <v>625</v>
      </c>
      <c r="O27" s="25">
        <f t="shared" si="12"/>
        <v>2398</v>
      </c>
      <c r="P27" s="23">
        <f t="shared" si="13"/>
        <v>9592</v>
      </c>
      <c r="Q27" s="23">
        <f t="shared" si="14"/>
        <v>11042</v>
      </c>
      <c r="R27" s="2">
        <f t="shared" si="15"/>
        <v>1986</v>
      </c>
      <c r="S27" s="2">
        <f t="shared" si="16"/>
        <v>1367</v>
      </c>
      <c r="T27" s="2">
        <f t="shared" si="17"/>
        <v>1057</v>
      </c>
      <c r="U27" s="2">
        <f t="shared" si="18"/>
        <v>872</v>
      </c>
      <c r="V27" s="2">
        <f t="shared" si="19"/>
        <v>748</v>
      </c>
      <c r="W27" s="2">
        <f t="shared" si="20"/>
        <v>593</v>
      </c>
      <c r="X27" s="25">
        <f t="shared" si="21"/>
        <v>2998</v>
      </c>
      <c r="Y27" s="23">
        <f t="shared" si="22"/>
        <v>8992</v>
      </c>
      <c r="Z27" s="23">
        <f t="shared" si="23"/>
        <v>10442</v>
      </c>
      <c r="AA27" s="2">
        <f t="shared" si="24"/>
        <v>1879</v>
      </c>
      <c r="AB27" s="2">
        <f t="shared" si="25"/>
        <v>1293</v>
      </c>
      <c r="AC27" s="2">
        <f t="shared" si="26"/>
        <v>1000</v>
      </c>
      <c r="AD27" s="2">
        <f t="shared" si="27"/>
        <v>825</v>
      </c>
      <c r="AE27" s="2">
        <f t="shared" si="28"/>
        <v>708</v>
      </c>
      <c r="AF27" s="2">
        <f t="shared" si="29"/>
        <v>561</v>
      </c>
      <c r="AG27" s="25">
        <f t="shared" si="30"/>
        <v>4197</v>
      </c>
      <c r="AH27" s="23">
        <f t="shared" si="31"/>
        <v>7793</v>
      </c>
      <c r="AI27" s="23">
        <f t="shared" si="32"/>
        <v>9243</v>
      </c>
      <c r="AJ27" s="2">
        <f t="shared" si="33"/>
        <v>1665</v>
      </c>
      <c r="AK27" s="2">
        <f t="shared" si="34"/>
        <v>1146</v>
      </c>
      <c r="AL27" s="2">
        <f t="shared" si="35"/>
        <v>887</v>
      </c>
      <c r="AM27" s="2">
        <f t="shared" si="36"/>
        <v>731</v>
      </c>
      <c r="AN27" s="2">
        <f t="shared" si="37"/>
        <v>627</v>
      </c>
      <c r="AO27" s="2">
        <f t="shared" si="38"/>
        <v>497</v>
      </c>
      <c r="AP27" s="25">
        <f t="shared" si="39"/>
        <v>4796</v>
      </c>
      <c r="AQ27" s="23">
        <f t="shared" si="40"/>
        <v>7194</v>
      </c>
      <c r="AR27" s="23">
        <f t="shared" si="41"/>
        <v>8644</v>
      </c>
      <c r="AS27" s="2">
        <f t="shared" si="42"/>
        <v>1559</v>
      </c>
      <c r="AT27" s="2">
        <f t="shared" si="43"/>
        <v>1073</v>
      </c>
      <c r="AU27" s="2">
        <f t="shared" si="44"/>
        <v>830</v>
      </c>
      <c r="AV27" s="2">
        <f t="shared" si="45"/>
        <v>684</v>
      </c>
      <c r="AW27" s="2">
        <f t="shared" si="46"/>
        <v>587</v>
      </c>
      <c r="AX27" s="2" t="str">
        <f t="shared" si="47"/>
        <v>-</v>
      </c>
    </row>
    <row r="28" ht="14.25" customHeight="1">
      <c r="A28" s="2" t="str">
        <f t="array" ref="A28">IFERROR(INDEX('Product Price'!A:A,SMALL('Product Price'!$D:$D,26)),"")</f>
        <v>HUAWEI MatePad 11.5 S 12/256 GB</v>
      </c>
      <c r="B28" s="29">
        <f t="array" ref="B28">IFERROR(INDEX('Product Price'!B:B,SMALL('Product Price'!$D:$D,26)),"")</f>
        <v>13990</v>
      </c>
      <c r="C28" s="2">
        <f t="array" ref="C28">IFERROR(INDEX('Product Price'!C:C,SMALL('Product Price'!$D:$D,26)),"")</f>
        <v>18</v>
      </c>
      <c r="D28" s="2">
        <f t="shared" si="1"/>
        <v>1450</v>
      </c>
      <c r="E28" s="29">
        <f t="shared" si="2"/>
        <v>15440</v>
      </c>
      <c r="F28" s="25">
        <f t="shared" si="48"/>
        <v>2099</v>
      </c>
      <c r="G28" s="29">
        <f t="shared" si="4"/>
        <v>11891</v>
      </c>
      <c r="H28" s="29">
        <f t="shared" si="5"/>
        <v>13341</v>
      </c>
      <c r="I28" s="2">
        <f t="shared" si="6"/>
        <v>2396</v>
      </c>
      <c r="J28" s="2">
        <f t="shared" si="7"/>
        <v>1649</v>
      </c>
      <c r="K28" s="2">
        <f t="shared" si="8"/>
        <v>1275</v>
      </c>
      <c r="L28" s="2">
        <f t="shared" si="9"/>
        <v>1051</v>
      </c>
      <c r="M28" s="2">
        <f t="shared" si="10"/>
        <v>902</v>
      </c>
      <c r="N28" s="2">
        <f t="shared" si="11"/>
        <v>715</v>
      </c>
      <c r="O28" s="25">
        <f t="shared" si="12"/>
        <v>2798</v>
      </c>
      <c r="P28" s="29">
        <f t="shared" si="13"/>
        <v>11192</v>
      </c>
      <c r="Q28" s="29">
        <f t="shared" si="14"/>
        <v>12642</v>
      </c>
      <c r="R28" s="2">
        <f t="shared" si="15"/>
        <v>2271</v>
      </c>
      <c r="S28" s="2">
        <f t="shared" si="16"/>
        <v>1563</v>
      </c>
      <c r="T28" s="2">
        <f t="shared" si="17"/>
        <v>1209</v>
      </c>
      <c r="U28" s="2">
        <f t="shared" si="18"/>
        <v>997</v>
      </c>
      <c r="V28" s="2">
        <f t="shared" si="19"/>
        <v>855</v>
      </c>
      <c r="W28" s="2">
        <f t="shared" si="20"/>
        <v>678</v>
      </c>
      <c r="X28" s="25">
        <f t="shared" si="21"/>
        <v>3498</v>
      </c>
      <c r="Y28" s="29">
        <f t="shared" si="22"/>
        <v>10492</v>
      </c>
      <c r="Z28" s="29">
        <f t="shared" si="23"/>
        <v>11942</v>
      </c>
      <c r="AA28" s="2">
        <f t="shared" si="24"/>
        <v>2146</v>
      </c>
      <c r="AB28" s="2">
        <f t="shared" si="25"/>
        <v>1477</v>
      </c>
      <c r="AC28" s="2">
        <f t="shared" si="26"/>
        <v>1143</v>
      </c>
      <c r="AD28" s="2">
        <f t="shared" si="27"/>
        <v>942</v>
      </c>
      <c r="AE28" s="2">
        <f t="shared" si="28"/>
        <v>808</v>
      </c>
      <c r="AF28" s="2">
        <f t="shared" si="29"/>
        <v>641</v>
      </c>
      <c r="AG28" s="25">
        <f t="shared" si="30"/>
        <v>4897</v>
      </c>
      <c r="AH28" s="29">
        <f t="shared" si="31"/>
        <v>9093</v>
      </c>
      <c r="AI28" s="29">
        <f t="shared" si="32"/>
        <v>10543</v>
      </c>
      <c r="AJ28" s="2">
        <f t="shared" si="33"/>
        <v>1897</v>
      </c>
      <c r="AK28" s="2">
        <f t="shared" si="34"/>
        <v>1306</v>
      </c>
      <c r="AL28" s="2">
        <f t="shared" si="35"/>
        <v>1010</v>
      </c>
      <c r="AM28" s="2">
        <f t="shared" si="36"/>
        <v>833</v>
      </c>
      <c r="AN28" s="2">
        <f t="shared" si="37"/>
        <v>714</v>
      </c>
      <c r="AO28" s="2">
        <f t="shared" si="38"/>
        <v>566</v>
      </c>
      <c r="AP28" s="25">
        <f t="shared" si="39"/>
        <v>5596</v>
      </c>
      <c r="AQ28" s="29">
        <f t="shared" si="40"/>
        <v>8394</v>
      </c>
      <c r="AR28" s="29">
        <f t="shared" si="41"/>
        <v>9844</v>
      </c>
      <c r="AS28" s="2">
        <f t="shared" si="42"/>
        <v>1772</v>
      </c>
      <c r="AT28" s="2">
        <f t="shared" si="43"/>
        <v>1220</v>
      </c>
      <c r="AU28" s="2">
        <f t="shared" si="44"/>
        <v>944</v>
      </c>
      <c r="AV28" s="2">
        <f t="shared" si="45"/>
        <v>778</v>
      </c>
      <c r="AW28" s="2">
        <f t="shared" si="46"/>
        <v>667</v>
      </c>
      <c r="AX28" s="2">
        <f t="shared" si="47"/>
        <v>529</v>
      </c>
    </row>
    <row r="29" ht="14.25" customHeight="1">
      <c r="A29" s="2" t="str">
        <f t="array" ref="A29">IFERROR(INDEX('Product Price'!A:A,SMALL('Product Price'!$D:$D,27)),"")</f>
        <v>HUAWEI MatePad Mini 12/256 GB</v>
      </c>
      <c r="B29" s="29">
        <f t="array" ref="B29">IFERROR(INDEX('Product Price'!B:B,SMALL('Product Price'!$D:$D,27)),"")</f>
        <v>18990</v>
      </c>
      <c r="C29" s="2">
        <f t="array" ref="C29">IFERROR(INDEX('Product Price'!C:C,SMALL('Product Price'!$D:$D,27)),"")</f>
        <v>19</v>
      </c>
      <c r="D29" s="2">
        <f t="shared" si="1"/>
        <v>1450</v>
      </c>
      <c r="E29" s="29">
        <f t="shared" si="2"/>
        <v>20440</v>
      </c>
      <c r="F29" s="25">
        <f t="shared" si="48"/>
        <v>2849</v>
      </c>
      <c r="G29" s="29">
        <f t="shared" si="4"/>
        <v>16141</v>
      </c>
      <c r="H29" s="29">
        <f t="shared" si="5"/>
        <v>17591</v>
      </c>
      <c r="I29" s="2">
        <f t="shared" si="6"/>
        <v>3153</v>
      </c>
      <c r="J29" s="2">
        <f t="shared" si="7"/>
        <v>2170</v>
      </c>
      <c r="K29" s="2">
        <f t="shared" si="8"/>
        <v>1678</v>
      </c>
      <c r="L29" s="2">
        <f t="shared" si="9"/>
        <v>1383</v>
      </c>
      <c r="M29" s="2">
        <f t="shared" si="10"/>
        <v>1187</v>
      </c>
      <c r="N29" s="2">
        <f t="shared" si="11"/>
        <v>941</v>
      </c>
      <c r="O29" s="25">
        <f t="shared" si="12"/>
        <v>3798</v>
      </c>
      <c r="P29" s="29">
        <f t="shared" si="13"/>
        <v>15192</v>
      </c>
      <c r="Q29" s="29">
        <f t="shared" si="14"/>
        <v>16642</v>
      </c>
      <c r="R29" s="2">
        <f t="shared" si="15"/>
        <v>2984</v>
      </c>
      <c r="S29" s="2">
        <f t="shared" si="16"/>
        <v>2053</v>
      </c>
      <c r="T29" s="2">
        <f t="shared" si="17"/>
        <v>1588</v>
      </c>
      <c r="U29" s="2">
        <f t="shared" si="18"/>
        <v>1309</v>
      </c>
      <c r="V29" s="2">
        <f t="shared" si="19"/>
        <v>1123</v>
      </c>
      <c r="W29" s="2">
        <f t="shared" si="20"/>
        <v>891</v>
      </c>
      <c r="X29" s="25">
        <f t="shared" si="21"/>
        <v>4748</v>
      </c>
      <c r="Y29" s="29">
        <f t="shared" si="22"/>
        <v>14242</v>
      </c>
      <c r="Z29" s="29">
        <f t="shared" si="23"/>
        <v>15692</v>
      </c>
      <c r="AA29" s="2">
        <f t="shared" si="24"/>
        <v>2814</v>
      </c>
      <c r="AB29" s="2">
        <f t="shared" si="25"/>
        <v>1937</v>
      </c>
      <c r="AC29" s="2">
        <f t="shared" si="26"/>
        <v>1498</v>
      </c>
      <c r="AD29" s="2">
        <f t="shared" si="27"/>
        <v>1235</v>
      </c>
      <c r="AE29" s="2">
        <f t="shared" si="28"/>
        <v>1060</v>
      </c>
      <c r="AF29" s="2">
        <f t="shared" si="29"/>
        <v>840</v>
      </c>
      <c r="AG29" s="25">
        <f t="shared" si="30"/>
        <v>6647</v>
      </c>
      <c r="AH29" s="29">
        <f t="shared" si="31"/>
        <v>12343</v>
      </c>
      <c r="AI29" s="29">
        <f t="shared" si="32"/>
        <v>13793</v>
      </c>
      <c r="AJ29" s="2">
        <f t="shared" si="33"/>
        <v>2476</v>
      </c>
      <c r="AK29" s="2">
        <f t="shared" si="34"/>
        <v>1704</v>
      </c>
      <c r="AL29" s="2">
        <f t="shared" si="35"/>
        <v>1318</v>
      </c>
      <c r="AM29" s="2">
        <f t="shared" si="36"/>
        <v>1087</v>
      </c>
      <c r="AN29" s="2">
        <f t="shared" si="37"/>
        <v>932</v>
      </c>
      <c r="AO29" s="2">
        <f t="shared" si="38"/>
        <v>739</v>
      </c>
      <c r="AP29" s="25">
        <f t="shared" si="39"/>
        <v>7596</v>
      </c>
      <c r="AQ29" s="29">
        <f t="shared" si="40"/>
        <v>11394</v>
      </c>
      <c r="AR29" s="29">
        <f t="shared" si="41"/>
        <v>12844</v>
      </c>
      <c r="AS29" s="2">
        <f t="shared" si="42"/>
        <v>2307</v>
      </c>
      <c r="AT29" s="2">
        <f t="shared" si="43"/>
        <v>1588</v>
      </c>
      <c r="AU29" s="2">
        <f t="shared" si="44"/>
        <v>1228</v>
      </c>
      <c r="AV29" s="2">
        <f t="shared" si="45"/>
        <v>1012</v>
      </c>
      <c r="AW29" s="2">
        <f t="shared" si="46"/>
        <v>869</v>
      </c>
      <c r="AX29" s="2">
        <f t="shared" si="47"/>
        <v>689</v>
      </c>
    </row>
    <row r="30" ht="14.25" customHeight="1">
      <c r="A30" s="2" t="str">
        <f t="array" ref="A30">IFERROR(INDEX('Product Price'!A:A,SMALL('Product Price'!$D:$D,28)),"")</f>
        <v>HUAWEI MatePad 12 X 12/256 GB</v>
      </c>
      <c r="B30" s="29">
        <f t="array" ref="B30">IFERROR(INDEX('Product Price'!B:B,SMALL('Product Price'!$D:$D,28)),"")</f>
        <v>19990</v>
      </c>
      <c r="C30" s="2">
        <f t="array" ref="C30">IFERROR(INDEX('Product Price'!C:C,SMALL('Product Price'!$D:$D,28)),"")</f>
        <v>20</v>
      </c>
      <c r="D30" s="2">
        <f t="shared" si="1"/>
        <v>1450</v>
      </c>
      <c r="E30" s="29">
        <f t="shared" si="2"/>
        <v>21440</v>
      </c>
      <c r="F30" s="25">
        <f t="shared" si="48"/>
        <v>2999</v>
      </c>
      <c r="G30" s="29">
        <f t="shared" si="4"/>
        <v>16991</v>
      </c>
      <c r="H30" s="29">
        <f t="shared" si="5"/>
        <v>18441</v>
      </c>
      <c r="I30" s="2">
        <f t="shared" si="6"/>
        <v>3304</v>
      </c>
      <c r="J30" s="2">
        <f t="shared" si="7"/>
        <v>2274</v>
      </c>
      <c r="K30" s="2">
        <f t="shared" si="8"/>
        <v>1759</v>
      </c>
      <c r="L30" s="2">
        <f t="shared" si="9"/>
        <v>1450</v>
      </c>
      <c r="M30" s="2">
        <f t="shared" si="10"/>
        <v>1244</v>
      </c>
      <c r="N30" s="2">
        <f t="shared" si="11"/>
        <v>986</v>
      </c>
      <c r="O30" s="25">
        <f t="shared" si="12"/>
        <v>3998</v>
      </c>
      <c r="P30" s="29">
        <f t="shared" si="13"/>
        <v>15992</v>
      </c>
      <c r="Q30" s="29">
        <f t="shared" si="14"/>
        <v>17442</v>
      </c>
      <c r="R30" s="2">
        <f t="shared" si="15"/>
        <v>3126</v>
      </c>
      <c r="S30" s="2">
        <f t="shared" si="16"/>
        <v>2152</v>
      </c>
      <c r="T30" s="2">
        <f t="shared" si="17"/>
        <v>1664</v>
      </c>
      <c r="U30" s="2">
        <f t="shared" si="18"/>
        <v>1372</v>
      </c>
      <c r="V30" s="2">
        <f t="shared" si="19"/>
        <v>1177</v>
      </c>
      <c r="W30" s="2">
        <f t="shared" si="20"/>
        <v>933</v>
      </c>
      <c r="X30" s="25">
        <f t="shared" si="21"/>
        <v>4998</v>
      </c>
      <c r="Y30" s="29">
        <f t="shared" si="22"/>
        <v>14992</v>
      </c>
      <c r="Z30" s="29">
        <f t="shared" si="23"/>
        <v>16442</v>
      </c>
      <c r="AA30" s="2">
        <f t="shared" si="24"/>
        <v>2948</v>
      </c>
      <c r="AB30" s="2">
        <f t="shared" si="25"/>
        <v>2029</v>
      </c>
      <c r="AC30" s="2">
        <f t="shared" si="26"/>
        <v>1569</v>
      </c>
      <c r="AD30" s="2">
        <f t="shared" si="27"/>
        <v>1294</v>
      </c>
      <c r="AE30" s="2">
        <f t="shared" si="28"/>
        <v>1110</v>
      </c>
      <c r="AF30" s="2">
        <f t="shared" si="29"/>
        <v>880</v>
      </c>
      <c r="AG30" s="25">
        <f t="shared" si="30"/>
        <v>6997</v>
      </c>
      <c r="AH30" s="29">
        <f t="shared" si="31"/>
        <v>12993</v>
      </c>
      <c r="AI30" s="29">
        <f t="shared" si="32"/>
        <v>14443</v>
      </c>
      <c r="AJ30" s="2">
        <f t="shared" si="33"/>
        <v>2592</v>
      </c>
      <c r="AK30" s="2">
        <f t="shared" si="34"/>
        <v>1784</v>
      </c>
      <c r="AL30" s="2">
        <f t="shared" si="35"/>
        <v>1380</v>
      </c>
      <c r="AM30" s="2">
        <f t="shared" si="36"/>
        <v>1137</v>
      </c>
      <c r="AN30" s="2">
        <f t="shared" si="37"/>
        <v>976</v>
      </c>
      <c r="AO30" s="2">
        <f t="shared" si="38"/>
        <v>774</v>
      </c>
      <c r="AP30" s="25">
        <f t="shared" si="39"/>
        <v>7996</v>
      </c>
      <c r="AQ30" s="29">
        <f t="shared" si="40"/>
        <v>11994</v>
      </c>
      <c r="AR30" s="29">
        <f t="shared" si="41"/>
        <v>13444</v>
      </c>
      <c r="AS30" s="2">
        <f t="shared" si="42"/>
        <v>2414</v>
      </c>
      <c r="AT30" s="2">
        <f t="shared" si="43"/>
        <v>1661</v>
      </c>
      <c r="AU30" s="2">
        <f t="shared" si="44"/>
        <v>1285</v>
      </c>
      <c r="AV30" s="2">
        <f t="shared" si="45"/>
        <v>1059</v>
      </c>
      <c r="AW30" s="2">
        <f t="shared" si="46"/>
        <v>909</v>
      </c>
      <c r="AX30" s="2">
        <f t="shared" si="47"/>
        <v>721</v>
      </c>
    </row>
    <row r="31" ht="14.25" customHeight="1">
      <c r="A31" s="2" t="str">
        <f t="array" ref="A31">IFERROR(INDEX('Product Price'!A:A,SMALL('Product Price'!$D:$D,29)),"")</f>
        <v>HUAWEI MatePad SE 11 8/128 GB</v>
      </c>
      <c r="B31" s="29">
        <f t="array" ref="B31">IFERROR(INDEX('Product Price'!B:B,SMALL('Product Price'!$D:$D,29)),"")</f>
        <v>7990</v>
      </c>
      <c r="C31" s="2">
        <f t="array" ref="C31">IFERROR(INDEX('Product Price'!C:C,SMALL('Product Price'!$D:$D,29)),"")</f>
        <v>21</v>
      </c>
      <c r="D31" s="2">
        <f t="shared" si="1"/>
        <v>795</v>
      </c>
      <c r="E31" s="29">
        <f t="shared" si="2"/>
        <v>8785</v>
      </c>
      <c r="F31" s="25">
        <f t="shared" si="48"/>
        <v>1199</v>
      </c>
      <c r="G31" s="29">
        <f t="shared" si="4"/>
        <v>6791</v>
      </c>
      <c r="H31" s="29">
        <f t="shared" si="5"/>
        <v>7586</v>
      </c>
      <c r="I31" s="2">
        <f t="shared" si="6"/>
        <v>1362</v>
      </c>
      <c r="J31" s="2">
        <f t="shared" si="7"/>
        <v>937</v>
      </c>
      <c r="K31" s="2">
        <f t="shared" si="8"/>
        <v>725</v>
      </c>
      <c r="L31" s="2">
        <f t="shared" si="9"/>
        <v>598</v>
      </c>
      <c r="M31" s="2">
        <f t="shared" si="10"/>
        <v>513</v>
      </c>
      <c r="N31" s="2" t="str">
        <f t="shared" si="11"/>
        <v>-</v>
      </c>
      <c r="O31" s="25">
        <f t="shared" si="12"/>
        <v>1598</v>
      </c>
      <c r="P31" s="29">
        <f t="shared" si="13"/>
        <v>6392</v>
      </c>
      <c r="Q31" s="29">
        <f t="shared" si="14"/>
        <v>7187</v>
      </c>
      <c r="R31" s="2">
        <f t="shared" si="15"/>
        <v>1291</v>
      </c>
      <c r="S31" s="2">
        <f t="shared" si="16"/>
        <v>889</v>
      </c>
      <c r="T31" s="2">
        <f t="shared" si="17"/>
        <v>687</v>
      </c>
      <c r="U31" s="2">
        <f t="shared" si="18"/>
        <v>567</v>
      </c>
      <c r="V31" s="2">
        <f t="shared" si="19"/>
        <v>486</v>
      </c>
      <c r="W31" s="2" t="str">
        <f t="shared" si="20"/>
        <v>-</v>
      </c>
      <c r="X31" s="25">
        <f t="shared" si="21"/>
        <v>1998</v>
      </c>
      <c r="Y31" s="29">
        <f t="shared" si="22"/>
        <v>5992</v>
      </c>
      <c r="Z31" s="29">
        <f t="shared" si="23"/>
        <v>6787</v>
      </c>
      <c r="AA31" s="2">
        <f t="shared" si="24"/>
        <v>1220</v>
      </c>
      <c r="AB31" s="2">
        <f t="shared" si="25"/>
        <v>839</v>
      </c>
      <c r="AC31" s="2">
        <f t="shared" si="26"/>
        <v>649</v>
      </c>
      <c r="AD31" s="2">
        <f t="shared" si="27"/>
        <v>535</v>
      </c>
      <c r="AE31" s="2">
        <f t="shared" si="28"/>
        <v>459</v>
      </c>
      <c r="AF31" s="2" t="str">
        <f t="shared" si="29"/>
        <v>-</v>
      </c>
      <c r="AG31" s="25">
        <f t="shared" si="30"/>
        <v>2797</v>
      </c>
      <c r="AH31" s="29">
        <f t="shared" si="31"/>
        <v>5193</v>
      </c>
      <c r="AI31" s="29">
        <f t="shared" si="32"/>
        <v>5988</v>
      </c>
      <c r="AJ31" s="2">
        <f t="shared" si="33"/>
        <v>1077</v>
      </c>
      <c r="AK31" s="2">
        <f t="shared" si="34"/>
        <v>742</v>
      </c>
      <c r="AL31" s="2">
        <f t="shared" si="35"/>
        <v>574</v>
      </c>
      <c r="AM31" s="2">
        <f t="shared" si="36"/>
        <v>473</v>
      </c>
      <c r="AN31" s="2" t="str">
        <f t="shared" si="37"/>
        <v>-</v>
      </c>
      <c r="AO31" s="2" t="str">
        <f t="shared" si="38"/>
        <v>-</v>
      </c>
      <c r="AP31" s="25">
        <f t="shared" si="39"/>
        <v>3196</v>
      </c>
      <c r="AQ31" s="29">
        <f t="shared" si="40"/>
        <v>4794</v>
      </c>
      <c r="AR31" s="29">
        <f t="shared" si="41"/>
        <v>5589</v>
      </c>
      <c r="AS31" s="2">
        <f t="shared" si="42"/>
        <v>1006</v>
      </c>
      <c r="AT31" s="2">
        <f t="shared" si="43"/>
        <v>693</v>
      </c>
      <c r="AU31" s="2">
        <f t="shared" si="44"/>
        <v>536</v>
      </c>
      <c r="AV31" s="2" t="str">
        <f t="shared" si="45"/>
        <v>-</v>
      </c>
      <c r="AW31" s="2" t="str">
        <f t="shared" si="46"/>
        <v>-</v>
      </c>
      <c r="AX31" s="2" t="str">
        <f t="shared" si="47"/>
        <v>-</v>
      </c>
    </row>
    <row r="32" ht="14.25" customHeight="1">
      <c r="A32" s="2" t="str">
        <f t="array" ref="A32">IFERROR(INDEX('Product Price'!A:A,SMALL('Product Price'!$D:$D,30)),"")</f>
        <v>INFINIX GT 50 Pro 5G 12/512 GB</v>
      </c>
      <c r="B32" s="29">
        <f t="array" ref="B32">IFERROR(INDEX('Product Price'!B:B,SMALL('Product Price'!$D:$D,30)),"")</f>
        <v>19999</v>
      </c>
      <c r="C32" s="2">
        <f t="array" ref="C32">IFERROR(INDEX('Product Price'!C:C,SMALL('Product Price'!$D:$D,30)),"")</f>
        <v>253</v>
      </c>
      <c r="D32" s="2">
        <f t="shared" si="1"/>
        <v>1450</v>
      </c>
      <c r="E32" s="29">
        <f t="shared" si="2"/>
        <v>21449</v>
      </c>
      <c r="F32" s="25">
        <f t="shared" si="48"/>
        <v>3000</v>
      </c>
      <c r="G32" s="29">
        <f t="shared" si="4"/>
        <v>16999</v>
      </c>
      <c r="H32" s="29">
        <f t="shared" si="5"/>
        <v>18449</v>
      </c>
      <c r="I32" s="2">
        <f t="shared" si="6"/>
        <v>3306</v>
      </c>
      <c r="J32" s="2">
        <f t="shared" si="7"/>
        <v>2275</v>
      </c>
      <c r="K32" s="2">
        <f t="shared" si="8"/>
        <v>1760</v>
      </c>
      <c r="L32" s="2">
        <f t="shared" si="9"/>
        <v>1451</v>
      </c>
      <c r="M32" s="2">
        <f t="shared" si="10"/>
        <v>1244</v>
      </c>
      <c r="N32" s="2">
        <f t="shared" si="11"/>
        <v>987</v>
      </c>
      <c r="O32" s="25">
        <f t="shared" si="12"/>
        <v>4000</v>
      </c>
      <c r="P32" s="29">
        <f t="shared" si="13"/>
        <v>15999</v>
      </c>
      <c r="Q32" s="29">
        <f t="shared" si="14"/>
        <v>17449</v>
      </c>
      <c r="R32" s="2">
        <f t="shared" si="15"/>
        <v>3127</v>
      </c>
      <c r="S32" s="2">
        <f t="shared" si="16"/>
        <v>2152</v>
      </c>
      <c r="T32" s="2">
        <f t="shared" si="17"/>
        <v>1665</v>
      </c>
      <c r="U32" s="2">
        <f t="shared" si="18"/>
        <v>1372</v>
      </c>
      <c r="V32" s="2">
        <f t="shared" si="19"/>
        <v>1177</v>
      </c>
      <c r="W32" s="2">
        <f t="shared" si="20"/>
        <v>934</v>
      </c>
      <c r="X32" s="25">
        <f t="shared" si="21"/>
        <v>5000</v>
      </c>
      <c r="Y32" s="29">
        <f t="shared" si="22"/>
        <v>14999</v>
      </c>
      <c r="Z32" s="29">
        <f t="shared" si="23"/>
        <v>16449</v>
      </c>
      <c r="AA32" s="2">
        <f t="shared" si="24"/>
        <v>2949</v>
      </c>
      <c r="AB32" s="2">
        <f t="shared" si="25"/>
        <v>2030</v>
      </c>
      <c r="AC32" s="2">
        <f t="shared" si="26"/>
        <v>1570</v>
      </c>
      <c r="AD32" s="2">
        <f t="shared" si="27"/>
        <v>1294</v>
      </c>
      <c r="AE32" s="2">
        <f t="shared" si="28"/>
        <v>1110</v>
      </c>
      <c r="AF32" s="2">
        <f t="shared" si="29"/>
        <v>880</v>
      </c>
      <c r="AG32" s="25">
        <f t="shared" si="30"/>
        <v>7000</v>
      </c>
      <c r="AH32" s="29">
        <f t="shared" si="31"/>
        <v>12999</v>
      </c>
      <c r="AI32" s="29">
        <f t="shared" si="32"/>
        <v>14449</v>
      </c>
      <c r="AJ32" s="2">
        <f t="shared" si="33"/>
        <v>2593</v>
      </c>
      <c r="AK32" s="2">
        <f t="shared" si="34"/>
        <v>1785</v>
      </c>
      <c r="AL32" s="2">
        <f t="shared" si="35"/>
        <v>1380</v>
      </c>
      <c r="AM32" s="2">
        <f t="shared" si="36"/>
        <v>1138</v>
      </c>
      <c r="AN32" s="2">
        <f t="shared" si="37"/>
        <v>976</v>
      </c>
      <c r="AO32" s="2">
        <f t="shared" si="38"/>
        <v>774</v>
      </c>
      <c r="AP32" s="25">
        <f t="shared" si="39"/>
        <v>8000</v>
      </c>
      <c r="AQ32" s="29">
        <f t="shared" si="40"/>
        <v>11999</v>
      </c>
      <c r="AR32" s="29">
        <f t="shared" si="41"/>
        <v>13449</v>
      </c>
      <c r="AS32" s="2">
        <f t="shared" si="42"/>
        <v>2415</v>
      </c>
      <c r="AT32" s="2">
        <f t="shared" si="43"/>
        <v>1662</v>
      </c>
      <c r="AU32" s="2">
        <f t="shared" si="44"/>
        <v>1286</v>
      </c>
      <c r="AV32" s="2">
        <f t="shared" si="45"/>
        <v>1060</v>
      </c>
      <c r="AW32" s="2">
        <f t="shared" si="46"/>
        <v>909</v>
      </c>
      <c r="AX32" s="2">
        <f t="shared" si="47"/>
        <v>721</v>
      </c>
    </row>
    <row r="33" ht="14.25" customHeight="1">
      <c r="A33" s="2" t="str">
        <f t="array" ref="A33">IFERROR(INDEX('Product Price'!A:A,SMALL('Product Price'!$D:$D,31)),"")</f>
        <v>INFINIX GT 50 Pro 5G 12/256 GB</v>
      </c>
      <c r="B33" s="29">
        <f t="array" ref="B33">IFERROR(INDEX('Product Price'!B:B,SMALL('Product Price'!$D:$D,31)),"")</f>
        <v>15999</v>
      </c>
      <c r="C33" s="2">
        <f t="array" ref="C33">IFERROR(INDEX('Product Price'!C:C,SMALL('Product Price'!$D:$D,31)),"")</f>
        <v>22</v>
      </c>
      <c r="D33" s="2">
        <f t="shared" si="1"/>
        <v>1450</v>
      </c>
      <c r="E33" s="29">
        <f t="shared" si="2"/>
        <v>17449</v>
      </c>
      <c r="F33" s="25">
        <f t="shared" si="48"/>
        <v>2400</v>
      </c>
      <c r="G33" s="29">
        <f t="shared" si="4"/>
        <v>13599</v>
      </c>
      <c r="H33" s="29">
        <f t="shared" si="5"/>
        <v>15049</v>
      </c>
      <c r="I33" s="2">
        <f t="shared" si="6"/>
        <v>2700</v>
      </c>
      <c r="J33" s="2">
        <f t="shared" si="7"/>
        <v>1858</v>
      </c>
      <c r="K33" s="2">
        <f t="shared" si="8"/>
        <v>1437</v>
      </c>
      <c r="L33" s="2">
        <f t="shared" si="9"/>
        <v>1185</v>
      </c>
      <c r="M33" s="2">
        <f t="shared" si="10"/>
        <v>1016</v>
      </c>
      <c r="N33" s="2">
        <f t="shared" si="11"/>
        <v>806</v>
      </c>
      <c r="O33" s="25">
        <f t="shared" si="12"/>
        <v>3200</v>
      </c>
      <c r="P33" s="29">
        <f t="shared" si="13"/>
        <v>12799</v>
      </c>
      <c r="Q33" s="29">
        <f t="shared" si="14"/>
        <v>14249</v>
      </c>
      <c r="R33" s="2">
        <f t="shared" si="15"/>
        <v>2557</v>
      </c>
      <c r="S33" s="2">
        <f t="shared" si="16"/>
        <v>1760</v>
      </c>
      <c r="T33" s="2">
        <f t="shared" si="17"/>
        <v>1361</v>
      </c>
      <c r="U33" s="2">
        <f t="shared" si="18"/>
        <v>1122</v>
      </c>
      <c r="V33" s="2">
        <f t="shared" si="19"/>
        <v>963</v>
      </c>
      <c r="W33" s="2">
        <f t="shared" si="20"/>
        <v>763</v>
      </c>
      <c r="X33" s="25">
        <f t="shared" si="21"/>
        <v>4000</v>
      </c>
      <c r="Y33" s="29">
        <f t="shared" si="22"/>
        <v>11999</v>
      </c>
      <c r="Z33" s="29">
        <f t="shared" si="23"/>
        <v>13449</v>
      </c>
      <c r="AA33" s="2">
        <f t="shared" si="24"/>
        <v>2415</v>
      </c>
      <c r="AB33" s="2">
        <f t="shared" si="25"/>
        <v>1662</v>
      </c>
      <c r="AC33" s="2">
        <f t="shared" si="26"/>
        <v>1286</v>
      </c>
      <c r="AD33" s="2">
        <f t="shared" si="27"/>
        <v>1060</v>
      </c>
      <c r="AE33" s="2">
        <f t="shared" si="28"/>
        <v>909</v>
      </c>
      <c r="AF33" s="2">
        <f t="shared" si="29"/>
        <v>721</v>
      </c>
      <c r="AG33" s="25">
        <f t="shared" si="30"/>
        <v>5600</v>
      </c>
      <c r="AH33" s="29">
        <f t="shared" si="31"/>
        <v>10399</v>
      </c>
      <c r="AI33" s="29">
        <f t="shared" si="32"/>
        <v>11849</v>
      </c>
      <c r="AJ33" s="2">
        <f t="shared" si="33"/>
        <v>2130</v>
      </c>
      <c r="AK33" s="2">
        <f t="shared" si="34"/>
        <v>1466</v>
      </c>
      <c r="AL33" s="2">
        <f t="shared" si="35"/>
        <v>1134</v>
      </c>
      <c r="AM33" s="2">
        <f t="shared" si="36"/>
        <v>935</v>
      </c>
      <c r="AN33" s="2">
        <f t="shared" si="37"/>
        <v>802</v>
      </c>
      <c r="AO33" s="2">
        <f t="shared" si="38"/>
        <v>636</v>
      </c>
      <c r="AP33" s="25">
        <f t="shared" si="39"/>
        <v>6400</v>
      </c>
      <c r="AQ33" s="29">
        <f t="shared" si="40"/>
        <v>9599</v>
      </c>
      <c r="AR33" s="29">
        <f t="shared" si="41"/>
        <v>11049</v>
      </c>
      <c r="AS33" s="2">
        <f t="shared" si="42"/>
        <v>1987</v>
      </c>
      <c r="AT33" s="2">
        <f t="shared" si="43"/>
        <v>1368</v>
      </c>
      <c r="AU33" s="2">
        <f t="shared" si="44"/>
        <v>1058</v>
      </c>
      <c r="AV33" s="2">
        <f t="shared" si="45"/>
        <v>872</v>
      </c>
      <c r="AW33" s="2">
        <f t="shared" si="46"/>
        <v>748</v>
      </c>
      <c r="AX33" s="2">
        <f t="shared" si="47"/>
        <v>593</v>
      </c>
    </row>
    <row r="34" ht="14.25" customHeight="1">
      <c r="A34" s="2" t="str">
        <f t="array" ref="A34">IFERROR(INDEX('Product Price'!A:A,SMALL('Product Price'!$D:$D,32)),"")</f>
        <v>INFINIX NOTE 50 Pro+ 5G 12/256 GB</v>
      </c>
      <c r="B34" s="29">
        <f t="array" ref="B34">IFERROR(INDEX('Product Price'!B:B,SMALL('Product Price'!$D:$D,32)),"")</f>
        <v>13999</v>
      </c>
      <c r="C34" s="2">
        <f t="array" ref="C34">IFERROR(INDEX('Product Price'!C:C,SMALL('Product Price'!$D:$D,32)),"")</f>
        <v>23</v>
      </c>
      <c r="D34" s="2">
        <f t="shared" si="1"/>
        <v>1450</v>
      </c>
      <c r="E34" s="29">
        <f t="shared" si="2"/>
        <v>15449</v>
      </c>
      <c r="F34" s="25">
        <f t="shared" si="48"/>
        <v>2100</v>
      </c>
      <c r="G34" s="29">
        <f t="shared" si="4"/>
        <v>11899</v>
      </c>
      <c r="H34" s="29">
        <f t="shared" si="5"/>
        <v>13349</v>
      </c>
      <c r="I34" s="2">
        <f t="shared" si="6"/>
        <v>2397</v>
      </c>
      <c r="J34" s="2">
        <f t="shared" si="7"/>
        <v>1650</v>
      </c>
      <c r="K34" s="2">
        <f t="shared" si="8"/>
        <v>1276</v>
      </c>
      <c r="L34" s="2">
        <f t="shared" si="9"/>
        <v>1052</v>
      </c>
      <c r="M34" s="2">
        <f t="shared" si="10"/>
        <v>902</v>
      </c>
      <c r="N34" s="2">
        <f t="shared" si="11"/>
        <v>716</v>
      </c>
      <c r="O34" s="25">
        <f t="shared" si="12"/>
        <v>2800</v>
      </c>
      <c r="P34" s="29">
        <f t="shared" si="13"/>
        <v>11199</v>
      </c>
      <c r="Q34" s="29">
        <f t="shared" si="14"/>
        <v>12649</v>
      </c>
      <c r="R34" s="2">
        <f t="shared" si="15"/>
        <v>2272</v>
      </c>
      <c r="S34" s="2">
        <f t="shared" si="16"/>
        <v>1564</v>
      </c>
      <c r="T34" s="2">
        <f t="shared" si="17"/>
        <v>1210</v>
      </c>
      <c r="U34" s="2">
        <f t="shared" si="18"/>
        <v>997</v>
      </c>
      <c r="V34" s="2">
        <f t="shared" si="19"/>
        <v>855</v>
      </c>
      <c r="W34" s="2">
        <f t="shared" si="20"/>
        <v>678</v>
      </c>
      <c r="X34" s="25">
        <f t="shared" si="21"/>
        <v>3500</v>
      </c>
      <c r="Y34" s="29">
        <f t="shared" si="22"/>
        <v>10499</v>
      </c>
      <c r="Z34" s="29">
        <f t="shared" si="23"/>
        <v>11949</v>
      </c>
      <c r="AA34" s="2">
        <f t="shared" si="24"/>
        <v>2147</v>
      </c>
      <c r="AB34" s="2">
        <f t="shared" si="25"/>
        <v>1478</v>
      </c>
      <c r="AC34" s="2">
        <f t="shared" si="26"/>
        <v>1143</v>
      </c>
      <c r="AD34" s="2">
        <f t="shared" si="27"/>
        <v>942</v>
      </c>
      <c r="AE34" s="2">
        <f t="shared" si="28"/>
        <v>809</v>
      </c>
      <c r="AF34" s="2">
        <f t="shared" si="29"/>
        <v>641</v>
      </c>
      <c r="AG34" s="25">
        <f t="shared" si="30"/>
        <v>4900</v>
      </c>
      <c r="AH34" s="29">
        <f t="shared" si="31"/>
        <v>9099</v>
      </c>
      <c r="AI34" s="29">
        <f t="shared" si="32"/>
        <v>10549</v>
      </c>
      <c r="AJ34" s="2">
        <f t="shared" si="33"/>
        <v>1898</v>
      </c>
      <c r="AK34" s="2">
        <f t="shared" si="34"/>
        <v>1306</v>
      </c>
      <c r="AL34" s="2">
        <f t="shared" si="35"/>
        <v>1011</v>
      </c>
      <c r="AM34" s="2">
        <f t="shared" si="36"/>
        <v>833</v>
      </c>
      <c r="AN34" s="2">
        <f t="shared" si="37"/>
        <v>715</v>
      </c>
      <c r="AO34" s="2">
        <f t="shared" si="38"/>
        <v>567</v>
      </c>
      <c r="AP34" s="25">
        <f t="shared" si="39"/>
        <v>5600</v>
      </c>
      <c r="AQ34" s="29">
        <f t="shared" si="40"/>
        <v>8399</v>
      </c>
      <c r="AR34" s="29">
        <f t="shared" si="41"/>
        <v>9849</v>
      </c>
      <c r="AS34" s="2">
        <f t="shared" si="42"/>
        <v>1773</v>
      </c>
      <c r="AT34" s="2">
        <f t="shared" si="43"/>
        <v>1221</v>
      </c>
      <c r="AU34" s="2">
        <f t="shared" si="44"/>
        <v>944</v>
      </c>
      <c r="AV34" s="2">
        <f t="shared" si="45"/>
        <v>778</v>
      </c>
      <c r="AW34" s="2">
        <f t="shared" si="46"/>
        <v>668</v>
      </c>
      <c r="AX34" s="2">
        <f t="shared" si="47"/>
        <v>530</v>
      </c>
    </row>
    <row r="35" ht="14.25" customHeight="1">
      <c r="A35" s="2" t="str">
        <f t="array" ref="A35">IFERROR(INDEX('Product Price'!A:A,SMALL('Product Price'!$D:$D,33)),"")</f>
        <v>INFINIX NOTE 60 Pro 5G 12/256 GB</v>
      </c>
      <c r="B35" s="29">
        <f t="array" ref="B35">IFERROR(INDEX('Product Price'!B:B,SMALL('Product Price'!$D:$D,33)),"")</f>
        <v>12999</v>
      </c>
      <c r="C35" s="2">
        <f t="array" ref="C35">IFERROR(INDEX('Product Price'!C:C,SMALL('Product Price'!$D:$D,33)),"")</f>
        <v>24</v>
      </c>
      <c r="D35" s="2">
        <f t="shared" si="1"/>
        <v>1450</v>
      </c>
      <c r="E35" s="29">
        <f t="shared" si="2"/>
        <v>14449</v>
      </c>
      <c r="F35" s="25">
        <f t="shared" si="48"/>
        <v>1950</v>
      </c>
      <c r="G35" s="29">
        <f t="shared" si="4"/>
        <v>11049</v>
      </c>
      <c r="H35" s="29">
        <f t="shared" si="5"/>
        <v>12499</v>
      </c>
      <c r="I35" s="2">
        <f t="shared" si="6"/>
        <v>2245</v>
      </c>
      <c r="J35" s="2">
        <f t="shared" si="7"/>
        <v>1545</v>
      </c>
      <c r="K35" s="2">
        <f t="shared" si="8"/>
        <v>1195</v>
      </c>
      <c r="L35" s="2">
        <f t="shared" si="9"/>
        <v>985</v>
      </c>
      <c r="M35" s="2">
        <f t="shared" si="10"/>
        <v>845</v>
      </c>
      <c r="N35" s="2">
        <f t="shared" si="11"/>
        <v>670</v>
      </c>
      <c r="O35" s="25">
        <f t="shared" si="12"/>
        <v>2600</v>
      </c>
      <c r="P35" s="29">
        <f t="shared" si="13"/>
        <v>10399</v>
      </c>
      <c r="Q35" s="29">
        <f t="shared" si="14"/>
        <v>11849</v>
      </c>
      <c r="R35" s="2">
        <f t="shared" si="15"/>
        <v>2130</v>
      </c>
      <c r="S35" s="2">
        <f t="shared" si="16"/>
        <v>1466</v>
      </c>
      <c r="T35" s="2">
        <f t="shared" si="17"/>
        <v>1134</v>
      </c>
      <c r="U35" s="2">
        <f t="shared" si="18"/>
        <v>935</v>
      </c>
      <c r="V35" s="2">
        <f t="shared" si="19"/>
        <v>802</v>
      </c>
      <c r="W35" s="2">
        <f t="shared" si="20"/>
        <v>636</v>
      </c>
      <c r="X35" s="25">
        <f t="shared" si="21"/>
        <v>3250</v>
      </c>
      <c r="Y35" s="29">
        <f t="shared" si="22"/>
        <v>9749</v>
      </c>
      <c r="Z35" s="29">
        <f t="shared" si="23"/>
        <v>11199</v>
      </c>
      <c r="AA35" s="2">
        <f t="shared" si="24"/>
        <v>2014</v>
      </c>
      <c r="AB35" s="2">
        <f t="shared" si="25"/>
        <v>1386</v>
      </c>
      <c r="AC35" s="2">
        <f t="shared" si="26"/>
        <v>1072</v>
      </c>
      <c r="AD35" s="2">
        <f t="shared" si="27"/>
        <v>884</v>
      </c>
      <c r="AE35" s="2">
        <f t="shared" si="28"/>
        <v>758</v>
      </c>
      <c r="AF35" s="2">
        <f t="shared" si="29"/>
        <v>601</v>
      </c>
      <c r="AG35" s="25">
        <f t="shared" si="30"/>
        <v>4550</v>
      </c>
      <c r="AH35" s="29">
        <f t="shared" si="31"/>
        <v>8449</v>
      </c>
      <c r="AI35" s="29">
        <f t="shared" si="32"/>
        <v>9899</v>
      </c>
      <c r="AJ35" s="2">
        <f t="shared" si="33"/>
        <v>1782</v>
      </c>
      <c r="AK35" s="2">
        <f t="shared" si="34"/>
        <v>1227</v>
      </c>
      <c r="AL35" s="2">
        <f t="shared" si="35"/>
        <v>949</v>
      </c>
      <c r="AM35" s="2">
        <f t="shared" si="36"/>
        <v>782</v>
      </c>
      <c r="AN35" s="2">
        <f t="shared" si="37"/>
        <v>671</v>
      </c>
      <c r="AO35" s="2">
        <f t="shared" si="38"/>
        <v>532</v>
      </c>
      <c r="AP35" s="25">
        <f t="shared" si="39"/>
        <v>5200</v>
      </c>
      <c r="AQ35" s="29">
        <f t="shared" si="40"/>
        <v>7799</v>
      </c>
      <c r="AR35" s="29">
        <f t="shared" si="41"/>
        <v>9249</v>
      </c>
      <c r="AS35" s="2">
        <f t="shared" si="42"/>
        <v>1666</v>
      </c>
      <c r="AT35" s="2">
        <f t="shared" si="43"/>
        <v>1147</v>
      </c>
      <c r="AU35" s="2">
        <f t="shared" si="44"/>
        <v>887</v>
      </c>
      <c r="AV35" s="2">
        <f t="shared" si="45"/>
        <v>731</v>
      </c>
      <c r="AW35" s="2">
        <f t="shared" si="46"/>
        <v>628</v>
      </c>
      <c r="AX35" s="2">
        <f t="shared" si="47"/>
        <v>498</v>
      </c>
    </row>
    <row r="36" ht="14.25" customHeight="1">
      <c r="A36" s="2" t="str">
        <f t="array" ref="A36">IFERROR(INDEX('Product Price'!A:A,SMALL('Product Price'!$D:$D,34)),"")</f>
        <v>INFINIX GT 30 Pro 5G 12/512 GB</v>
      </c>
      <c r="B36" s="29">
        <f t="array" ref="B36">IFERROR(INDEX('Product Price'!B:B,SMALL('Product Price'!$D:$D,34)),"")</f>
        <v>12999</v>
      </c>
      <c r="C36" s="2">
        <f t="array" ref="C36">IFERROR(INDEX('Product Price'!C:C,SMALL('Product Price'!$D:$D,34)),"")</f>
        <v>25</v>
      </c>
      <c r="D36" s="2">
        <f t="shared" si="1"/>
        <v>1450</v>
      </c>
      <c r="E36" s="29">
        <f t="shared" si="2"/>
        <v>14449</v>
      </c>
      <c r="F36" s="25">
        <f t="shared" si="48"/>
        <v>1950</v>
      </c>
      <c r="G36" s="29">
        <f t="shared" si="4"/>
        <v>11049</v>
      </c>
      <c r="H36" s="29">
        <f t="shared" si="5"/>
        <v>12499</v>
      </c>
      <c r="I36" s="2">
        <f t="shared" si="6"/>
        <v>2245</v>
      </c>
      <c r="J36" s="2">
        <f t="shared" si="7"/>
        <v>1545</v>
      </c>
      <c r="K36" s="2">
        <f t="shared" si="8"/>
        <v>1195</v>
      </c>
      <c r="L36" s="2">
        <f t="shared" si="9"/>
        <v>985</v>
      </c>
      <c r="M36" s="2">
        <f t="shared" si="10"/>
        <v>845</v>
      </c>
      <c r="N36" s="2">
        <f t="shared" si="11"/>
        <v>670</v>
      </c>
      <c r="O36" s="25">
        <f t="shared" si="12"/>
        <v>2600</v>
      </c>
      <c r="P36" s="29">
        <f t="shared" si="13"/>
        <v>10399</v>
      </c>
      <c r="Q36" s="29">
        <f t="shared" si="14"/>
        <v>11849</v>
      </c>
      <c r="R36" s="2">
        <f t="shared" si="15"/>
        <v>2130</v>
      </c>
      <c r="S36" s="2">
        <f t="shared" si="16"/>
        <v>1466</v>
      </c>
      <c r="T36" s="2">
        <f t="shared" si="17"/>
        <v>1134</v>
      </c>
      <c r="U36" s="2">
        <f t="shared" si="18"/>
        <v>935</v>
      </c>
      <c r="V36" s="2">
        <f t="shared" si="19"/>
        <v>802</v>
      </c>
      <c r="W36" s="2">
        <f t="shared" si="20"/>
        <v>636</v>
      </c>
      <c r="X36" s="25">
        <f t="shared" si="21"/>
        <v>3250</v>
      </c>
      <c r="Y36" s="29">
        <f t="shared" si="22"/>
        <v>9749</v>
      </c>
      <c r="Z36" s="29">
        <f t="shared" si="23"/>
        <v>11199</v>
      </c>
      <c r="AA36" s="2">
        <f t="shared" si="24"/>
        <v>2014</v>
      </c>
      <c r="AB36" s="2">
        <f t="shared" si="25"/>
        <v>1386</v>
      </c>
      <c r="AC36" s="2">
        <f t="shared" si="26"/>
        <v>1072</v>
      </c>
      <c r="AD36" s="2">
        <f t="shared" si="27"/>
        <v>884</v>
      </c>
      <c r="AE36" s="2">
        <f t="shared" si="28"/>
        <v>758</v>
      </c>
      <c r="AF36" s="2">
        <f t="shared" si="29"/>
        <v>601</v>
      </c>
      <c r="AG36" s="25">
        <f t="shared" si="30"/>
        <v>4550</v>
      </c>
      <c r="AH36" s="29">
        <f t="shared" si="31"/>
        <v>8449</v>
      </c>
      <c r="AI36" s="29">
        <f t="shared" si="32"/>
        <v>9899</v>
      </c>
      <c r="AJ36" s="2">
        <f t="shared" si="33"/>
        <v>1782</v>
      </c>
      <c r="AK36" s="2">
        <f t="shared" si="34"/>
        <v>1227</v>
      </c>
      <c r="AL36" s="2">
        <f t="shared" si="35"/>
        <v>949</v>
      </c>
      <c r="AM36" s="2">
        <f t="shared" si="36"/>
        <v>782</v>
      </c>
      <c r="AN36" s="2">
        <f t="shared" si="37"/>
        <v>671</v>
      </c>
      <c r="AO36" s="2">
        <f t="shared" si="38"/>
        <v>532</v>
      </c>
      <c r="AP36" s="25">
        <f t="shared" si="39"/>
        <v>5200</v>
      </c>
      <c r="AQ36" s="29">
        <f t="shared" si="40"/>
        <v>7799</v>
      </c>
      <c r="AR36" s="29">
        <f t="shared" si="41"/>
        <v>9249</v>
      </c>
      <c r="AS36" s="2">
        <f t="shared" si="42"/>
        <v>1666</v>
      </c>
      <c r="AT36" s="2">
        <f t="shared" si="43"/>
        <v>1147</v>
      </c>
      <c r="AU36" s="2">
        <f t="shared" si="44"/>
        <v>887</v>
      </c>
      <c r="AV36" s="2">
        <f t="shared" si="45"/>
        <v>731</v>
      </c>
      <c r="AW36" s="2">
        <f t="shared" si="46"/>
        <v>628</v>
      </c>
      <c r="AX36" s="2">
        <f t="shared" si="47"/>
        <v>498</v>
      </c>
    </row>
    <row r="37" ht="14.25" customHeight="1">
      <c r="A37" s="2" t="str">
        <f t="array" ref="A37">IFERROR(INDEX('Product Price'!A:A,SMALL('Product Price'!$D:$D,35)),"")</f>
        <v>INFINIX NOTE 60 Pro 5G 8/256 GB</v>
      </c>
      <c r="B37" s="29">
        <f t="array" ref="B37">IFERROR(INDEX('Product Price'!B:B,SMALL('Product Price'!$D:$D,35)),"")</f>
        <v>11999</v>
      </c>
      <c r="C37" s="2">
        <f t="array" ref="C37">IFERROR(INDEX('Product Price'!C:C,SMALL('Product Price'!$D:$D,35)),"")</f>
        <v>26</v>
      </c>
      <c r="D37" s="2">
        <f t="shared" si="1"/>
        <v>1450</v>
      </c>
      <c r="E37" s="29">
        <f t="shared" si="2"/>
        <v>13449</v>
      </c>
      <c r="F37" s="25">
        <f t="shared" si="48"/>
        <v>1800</v>
      </c>
      <c r="G37" s="29">
        <f t="shared" si="4"/>
        <v>10199</v>
      </c>
      <c r="H37" s="29">
        <f t="shared" si="5"/>
        <v>11649</v>
      </c>
      <c r="I37" s="2">
        <f t="shared" si="6"/>
        <v>2094</v>
      </c>
      <c r="J37" s="2">
        <f t="shared" si="7"/>
        <v>1441</v>
      </c>
      <c r="K37" s="2">
        <f t="shared" si="8"/>
        <v>1115</v>
      </c>
      <c r="L37" s="2">
        <f t="shared" si="9"/>
        <v>919</v>
      </c>
      <c r="M37" s="2">
        <f t="shared" si="10"/>
        <v>788</v>
      </c>
      <c r="N37" s="2">
        <f t="shared" si="11"/>
        <v>625</v>
      </c>
      <c r="O37" s="25">
        <f t="shared" si="12"/>
        <v>2400</v>
      </c>
      <c r="P37" s="29">
        <f t="shared" si="13"/>
        <v>9599</v>
      </c>
      <c r="Q37" s="29">
        <f t="shared" si="14"/>
        <v>11049</v>
      </c>
      <c r="R37" s="2">
        <f t="shared" si="15"/>
        <v>1987</v>
      </c>
      <c r="S37" s="2">
        <f t="shared" si="16"/>
        <v>1368</v>
      </c>
      <c r="T37" s="2">
        <f t="shared" si="17"/>
        <v>1058</v>
      </c>
      <c r="U37" s="2">
        <f t="shared" si="18"/>
        <v>872</v>
      </c>
      <c r="V37" s="2">
        <f t="shared" si="19"/>
        <v>748</v>
      </c>
      <c r="W37" s="2">
        <f t="shared" si="20"/>
        <v>593</v>
      </c>
      <c r="X37" s="25">
        <f t="shared" si="21"/>
        <v>3000</v>
      </c>
      <c r="Y37" s="29">
        <f t="shared" si="22"/>
        <v>8999</v>
      </c>
      <c r="Z37" s="29">
        <f t="shared" si="23"/>
        <v>10449</v>
      </c>
      <c r="AA37" s="2">
        <f t="shared" si="24"/>
        <v>1880</v>
      </c>
      <c r="AB37" s="2">
        <f t="shared" si="25"/>
        <v>1294</v>
      </c>
      <c r="AC37" s="2">
        <f t="shared" si="26"/>
        <v>1001</v>
      </c>
      <c r="AD37" s="2">
        <f t="shared" si="27"/>
        <v>825</v>
      </c>
      <c r="AE37" s="2">
        <f t="shared" si="28"/>
        <v>708</v>
      </c>
      <c r="AF37" s="2">
        <f t="shared" si="29"/>
        <v>561</v>
      </c>
      <c r="AG37" s="25">
        <f t="shared" si="30"/>
        <v>4200</v>
      </c>
      <c r="AH37" s="29">
        <f t="shared" si="31"/>
        <v>7799</v>
      </c>
      <c r="AI37" s="29">
        <f t="shared" si="32"/>
        <v>9249</v>
      </c>
      <c r="AJ37" s="2">
        <f t="shared" si="33"/>
        <v>1666</v>
      </c>
      <c r="AK37" s="2">
        <f t="shared" si="34"/>
        <v>1147</v>
      </c>
      <c r="AL37" s="2">
        <f t="shared" si="35"/>
        <v>887</v>
      </c>
      <c r="AM37" s="2">
        <f t="shared" si="36"/>
        <v>731</v>
      </c>
      <c r="AN37" s="2">
        <f t="shared" si="37"/>
        <v>628</v>
      </c>
      <c r="AO37" s="2">
        <f t="shared" si="38"/>
        <v>498</v>
      </c>
      <c r="AP37" s="25">
        <f t="shared" si="39"/>
        <v>4800</v>
      </c>
      <c r="AQ37" s="29">
        <f t="shared" si="40"/>
        <v>7199</v>
      </c>
      <c r="AR37" s="29">
        <f t="shared" si="41"/>
        <v>8649</v>
      </c>
      <c r="AS37" s="2">
        <f t="shared" si="42"/>
        <v>1560</v>
      </c>
      <c r="AT37" s="2">
        <f t="shared" si="43"/>
        <v>1073</v>
      </c>
      <c r="AU37" s="2">
        <f t="shared" si="44"/>
        <v>830</v>
      </c>
      <c r="AV37" s="2">
        <f t="shared" si="45"/>
        <v>684</v>
      </c>
      <c r="AW37" s="2">
        <f t="shared" si="46"/>
        <v>587</v>
      </c>
      <c r="AX37" s="2" t="str">
        <f t="shared" si="47"/>
        <v>-</v>
      </c>
    </row>
    <row r="38" ht="14.25" customHeight="1">
      <c r="A38" s="2" t="str">
        <f t="array" ref="A38">IFERROR(INDEX('Product Price'!A:A,SMALL('Product Price'!$D:$D,36)),"")</f>
        <v>INFINIX GT 30 Pro 5G 8/256 GB</v>
      </c>
      <c r="B38" s="29">
        <f t="array" ref="B38">IFERROR(INDEX('Product Price'!B:B,SMALL('Product Price'!$D:$D,36)),"")</f>
        <v>9999</v>
      </c>
      <c r="C38" s="2">
        <f t="array" ref="C38">IFERROR(INDEX('Product Price'!C:C,SMALL('Product Price'!$D:$D,36)),"")</f>
        <v>27</v>
      </c>
      <c r="D38" s="2">
        <f t="shared" si="1"/>
        <v>795</v>
      </c>
      <c r="E38" s="29">
        <f t="shared" si="2"/>
        <v>10794</v>
      </c>
      <c r="F38" s="25">
        <f t="shared" si="48"/>
        <v>1500</v>
      </c>
      <c r="G38" s="29">
        <f t="shared" si="4"/>
        <v>8499</v>
      </c>
      <c r="H38" s="29">
        <f t="shared" si="5"/>
        <v>9294</v>
      </c>
      <c r="I38" s="2">
        <f t="shared" si="6"/>
        <v>1666</v>
      </c>
      <c r="J38" s="2">
        <f t="shared" si="7"/>
        <v>1147</v>
      </c>
      <c r="K38" s="2">
        <f t="shared" si="8"/>
        <v>887</v>
      </c>
      <c r="L38" s="2">
        <f t="shared" si="9"/>
        <v>731</v>
      </c>
      <c r="M38" s="2">
        <f t="shared" si="10"/>
        <v>627</v>
      </c>
      <c r="N38" s="2">
        <f t="shared" si="11"/>
        <v>498</v>
      </c>
      <c r="O38" s="25">
        <f t="shared" si="12"/>
        <v>2000</v>
      </c>
      <c r="P38" s="29">
        <f t="shared" si="13"/>
        <v>7999</v>
      </c>
      <c r="Q38" s="29">
        <f t="shared" si="14"/>
        <v>8794</v>
      </c>
      <c r="R38" s="2">
        <f t="shared" si="15"/>
        <v>1577</v>
      </c>
      <c r="S38" s="2">
        <f t="shared" si="16"/>
        <v>1086</v>
      </c>
      <c r="T38" s="2">
        <f t="shared" si="17"/>
        <v>840</v>
      </c>
      <c r="U38" s="2">
        <f t="shared" si="18"/>
        <v>692</v>
      </c>
      <c r="V38" s="2">
        <f t="shared" si="19"/>
        <v>594</v>
      </c>
      <c r="W38" s="2">
        <f t="shared" si="20"/>
        <v>471</v>
      </c>
      <c r="X38" s="25">
        <f t="shared" si="21"/>
        <v>2500</v>
      </c>
      <c r="Y38" s="29">
        <f t="shared" si="22"/>
        <v>7499</v>
      </c>
      <c r="Z38" s="29">
        <f t="shared" si="23"/>
        <v>8294</v>
      </c>
      <c r="AA38" s="2">
        <f t="shared" si="24"/>
        <v>1488</v>
      </c>
      <c r="AB38" s="2">
        <f t="shared" si="25"/>
        <v>1024</v>
      </c>
      <c r="AC38" s="2">
        <f t="shared" si="26"/>
        <v>792</v>
      </c>
      <c r="AD38" s="2">
        <f t="shared" si="27"/>
        <v>653</v>
      </c>
      <c r="AE38" s="2">
        <f t="shared" si="28"/>
        <v>560</v>
      </c>
      <c r="AF38" s="2" t="str">
        <f t="shared" si="29"/>
        <v>-</v>
      </c>
      <c r="AG38" s="25">
        <f t="shared" si="30"/>
        <v>3500</v>
      </c>
      <c r="AH38" s="29">
        <f t="shared" si="31"/>
        <v>6499</v>
      </c>
      <c r="AI38" s="29">
        <f t="shared" si="32"/>
        <v>7294</v>
      </c>
      <c r="AJ38" s="2">
        <f t="shared" si="33"/>
        <v>1310</v>
      </c>
      <c r="AK38" s="2">
        <f t="shared" si="34"/>
        <v>902</v>
      </c>
      <c r="AL38" s="2">
        <f t="shared" si="35"/>
        <v>697</v>
      </c>
      <c r="AM38" s="2">
        <f t="shared" si="36"/>
        <v>575</v>
      </c>
      <c r="AN38" s="2">
        <f t="shared" si="37"/>
        <v>493</v>
      </c>
      <c r="AO38" s="2" t="str">
        <f t="shared" si="38"/>
        <v>-</v>
      </c>
      <c r="AP38" s="25">
        <f t="shared" si="39"/>
        <v>4000</v>
      </c>
      <c r="AQ38" s="29">
        <f t="shared" si="40"/>
        <v>5999</v>
      </c>
      <c r="AR38" s="29">
        <f t="shared" si="41"/>
        <v>6794</v>
      </c>
      <c r="AS38" s="2">
        <f t="shared" si="42"/>
        <v>1221</v>
      </c>
      <c r="AT38" s="2">
        <f t="shared" si="43"/>
        <v>840</v>
      </c>
      <c r="AU38" s="2">
        <f t="shared" si="44"/>
        <v>650</v>
      </c>
      <c r="AV38" s="2">
        <f t="shared" si="45"/>
        <v>536</v>
      </c>
      <c r="AW38" s="2">
        <f t="shared" si="46"/>
        <v>460</v>
      </c>
      <c r="AX38" s="2" t="str">
        <f t="shared" si="47"/>
        <v>-</v>
      </c>
    </row>
    <row r="39" ht="14.25" customHeight="1">
      <c r="A39" s="2" t="str">
        <f t="array" ref="A39">IFERROR(INDEX('Product Price'!A:A,SMALL('Product Price'!$D:$D,37)),"")</f>
        <v>INFINIX NOTE EDGE 8/256 GB</v>
      </c>
      <c r="B39" s="29">
        <f t="array" ref="B39">IFERROR(INDEX('Product Price'!B:B,SMALL('Product Price'!$D:$D,37)),"")</f>
        <v>8499</v>
      </c>
      <c r="C39" s="2">
        <f t="array" ref="C39">IFERROR(INDEX('Product Price'!C:C,SMALL('Product Price'!$D:$D,37)),"")</f>
        <v>28</v>
      </c>
      <c r="D39" s="2">
        <f t="shared" si="1"/>
        <v>795</v>
      </c>
      <c r="E39" s="29">
        <f t="shared" si="2"/>
        <v>9294</v>
      </c>
      <c r="F39" s="25">
        <f t="shared" si="48"/>
        <v>1275</v>
      </c>
      <c r="G39" s="29">
        <f t="shared" si="4"/>
        <v>7224</v>
      </c>
      <c r="H39" s="29">
        <f t="shared" si="5"/>
        <v>8019</v>
      </c>
      <c r="I39" s="2">
        <f t="shared" si="6"/>
        <v>1439</v>
      </c>
      <c r="J39" s="2">
        <f t="shared" si="7"/>
        <v>991</v>
      </c>
      <c r="K39" s="2">
        <f t="shared" si="8"/>
        <v>766</v>
      </c>
      <c r="L39" s="2">
        <f t="shared" si="9"/>
        <v>632</v>
      </c>
      <c r="M39" s="2">
        <f t="shared" si="10"/>
        <v>542</v>
      </c>
      <c r="N39" s="2" t="str">
        <f t="shared" si="11"/>
        <v>-</v>
      </c>
      <c r="O39" s="25">
        <f t="shared" si="12"/>
        <v>1700</v>
      </c>
      <c r="P39" s="29">
        <f t="shared" si="13"/>
        <v>6799</v>
      </c>
      <c r="Q39" s="29">
        <f t="shared" si="14"/>
        <v>7594</v>
      </c>
      <c r="R39" s="2">
        <f t="shared" si="15"/>
        <v>1363</v>
      </c>
      <c r="S39" s="2">
        <f t="shared" si="16"/>
        <v>938</v>
      </c>
      <c r="T39" s="2">
        <f t="shared" si="17"/>
        <v>726</v>
      </c>
      <c r="U39" s="2">
        <f t="shared" si="18"/>
        <v>598</v>
      </c>
      <c r="V39" s="2">
        <f t="shared" si="19"/>
        <v>513</v>
      </c>
      <c r="W39" s="2" t="str">
        <f t="shared" si="20"/>
        <v>-</v>
      </c>
      <c r="X39" s="25">
        <f t="shared" si="21"/>
        <v>2125</v>
      </c>
      <c r="Y39" s="29">
        <f t="shared" si="22"/>
        <v>6374</v>
      </c>
      <c r="Z39" s="29">
        <f t="shared" si="23"/>
        <v>7169</v>
      </c>
      <c r="AA39" s="2">
        <f t="shared" si="24"/>
        <v>1288</v>
      </c>
      <c r="AB39" s="2">
        <f t="shared" si="25"/>
        <v>886</v>
      </c>
      <c r="AC39" s="2">
        <f t="shared" si="26"/>
        <v>686</v>
      </c>
      <c r="AD39" s="2">
        <f t="shared" si="27"/>
        <v>565</v>
      </c>
      <c r="AE39" s="2">
        <f t="shared" si="28"/>
        <v>485</v>
      </c>
      <c r="AF39" s="2" t="str">
        <f t="shared" si="29"/>
        <v>-</v>
      </c>
      <c r="AG39" s="25">
        <f t="shared" si="30"/>
        <v>2975</v>
      </c>
      <c r="AH39" s="29">
        <f t="shared" si="31"/>
        <v>5524</v>
      </c>
      <c r="AI39" s="29">
        <f t="shared" si="32"/>
        <v>6319</v>
      </c>
      <c r="AJ39" s="2">
        <f t="shared" si="33"/>
        <v>1136</v>
      </c>
      <c r="AK39" s="2">
        <f t="shared" si="34"/>
        <v>782</v>
      </c>
      <c r="AL39" s="2">
        <f t="shared" si="35"/>
        <v>605</v>
      </c>
      <c r="AM39" s="2">
        <f t="shared" si="36"/>
        <v>499</v>
      </c>
      <c r="AN39" s="2" t="str">
        <f t="shared" si="37"/>
        <v>-</v>
      </c>
      <c r="AO39" s="2" t="str">
        <f t="shared" si="38"/>
        <v>-</v>
      </c>
      <c r="AP39" s="25">
        <f t="shared" si="39"/>
        <v>3400</v>
      </c>
      <c r="AQ39" s="29">
        <f t="shared" si="40"/>
        <v>5099</v>
      </c>
      <c r="AR39" s="29">
        <f t="shared" si="41"/>
        <v>5894</v>
      </c>
      <c r="AS39" s="2">
        <f t="shared" si="42"/>
        <v>1061</v>
      </c>
      <c r="AT39" s="2">
        <f t="shared" si="43"/>
        <v>730</v>
      </c>
      <c r="AU39" s="2">
        <f t="shared" si="44"/>
        <v>565</v>
      </c>
      <c r="AV39" s="2" t="str">
        <f t="shared" si="45"/>
        <v>-</v>
      </c>
      <c r="AW39" s="2" t="str">
        <f t="shared" si="46"/>
        <v>-</v>
      </c>
      <c r="AX39" s="2" t="str">
        <f t="shared" si="47"/>
        <v>-</v>
      </c>
    </row>
    <row r="40" ht="14.25" customHeight="1">
      <c r="A40" s="2" t="str">
        <f t="array" ref="A40">IFERROR(INDEX('Product Price'!A:A,SMALL('Product Price'!$D:$D,38)),"")</f>
        <v>INFINIX GT 30 5G 8/256 GB</v>
      </c>
      <c r="B40" s="29">
        <f t="array" ref="B40">IFERROR(INDEX('Product Price'!B:B,SMALL('Product Price'!$D:$D,38)),"")</f>
        <v>8499</v>
      </c>
      <c r="C40" s="2">
        <f t="array" ref="C40">IFERROR(INDEX('Product Price'!C:C,SMALL('Product Price'!$D:$D,38)),"")</f>
        <v>29</v>
      </c>
      <c r="D40" s="2">
        <f t="shared" si="1"/>
        <v>795</v>
      </c>
      <c r="E40" s="29">
        <f t="shared" si="2"/>
        <v>9294</v>
      </c>
      <c r="F40" s="25">
        <f t="shared" si="48"/>
        <v>1275</v>
      </c>
      <c r="G40" s="29">
        <f t="shared" si="4"/>
        <v>7224</v>
      </c>
      <c r="H40" s="29">
        <f t="shared" si="5"/>
        <v>8019</v>
      </c>
      <c r="I40" s="2">
        <f t="shared" si="6"/>
        <v>1439</v>
      </c>
      <c r="J40" s="2">
        <f t="shared" si="7"/>
        <v>991</v>
      </c>
      <c r="K40" s="2">
        <f t="shared" si="8"/>
        <v>766</v>
      </c>
      <c r="L40" s="2">
        <f t="shared" si="9"/>
        <v>632</v>
      </c>
      <c r="M40" s="2">
        <f t="shared" si="10"/>
        <v>542</v>
      </c>
      <c r="N40" s="2" t="str">
        <f t="shared" si="11"/>
        <v>-</v>
      </c>
      <c r="O40" s="25">
        <f t="shared" si="12"/>
        <v>1700</v>
      </c>
      <c r="P40" s="29">
        <f t="shared" si="13"/>
        <v>6799</v>
      </c>
      <c r="Q40" s="29">
        <f t="shared" si="14"/>
        <v>7594</v>
      </c>
      <c r="R40" s="2">
        <f t="shared" si="15"/>
        <v>1363</v>
      </c>
      <c r="S40" s="2">
        <f t="shared" si="16"/>
        <v>938</v>
      </c>
      <c r="T40" s="2">
        <f t="shared" si="17"/>
        <v>726</v>
      </c>
      <c r="U40" s="2">
        <f t="shared" si="18"/>
        <v>598</v>
      </c>
      <c r="V40" s="2">
        <f t="shared" si="19"/>
        <v>513</v>
      </c>
      <c r="W40" s="2" t="str">
        <f t="shared" si="20"/>
        <v>-</v>
      </c>
      <c r="X40" s="25">
        <f t="shared" si="21"/>
        <v>2125</v>
      </c>
      <c r="Y40" s="29">
        <f t="shared" si="22"/>
        <v>6374</v>
      </c>
      <c r="Z40" s="29">
        <f t="shared" si="23"/>
        <v>7169</v>
      </c>
      <c r="AA40" s="2">
        <f t="shared" si="24"/>
        <v>1288</v>
      </c>
      <c r="AB40" s="2">
        <f t="shared" si="25"/>
        <v>886</v>
      </c>
      <c r="AC40" s="2">
        <f t="shared" si="26"/>
        <v>686</v>
      </c>
      <c r="AD40" s="2">
        <f t="shared" si="27"/>
        <v>565</v>
      </c>
      <c r="AE40" s="2">
        <f t="shared" si="28"/>
        <v>485</v>
      </c>
      <c r="AF40" s="2" t="str">
        <f t="shared" si="29"/>
        <v>-</v>
      </c>
      <c r="AG40" s="25">
        <f t="shared" si="30"/>
        <v>2975</v>
      </c>
      <c r="AH40" s="29">
        <f t="shared" si="31"/>
        <v>5524</v>
      </c>
      <c r="AI40" s="29">
        <f t="shared" si="32"/>
        <v>6319</v>
      </c>
      <c r="AJ40" s="2">
        <f t="shared" si="33"/>
        <v>1136</v>
      </c>
      <c r="AK40" s="2">
        <f t="shared" si="34"/>
        <v>782</v>
      </c>
      <c r="AL40" s="2">
        <f t="shared" si="35"/>
        <v>605</v>
      </c>
      <c r="AM40" s="2">
        <f t="shared" si="36"/>
        <v>499</v>
      </c>
      <c r="AN40" s="2" t="str">
        <f t="shared" si="37"/>
        <v>-</v>
      </c>
      <c r="AO40" s="2" t="str">
        <f t="shared" si="38"/>
        <v>-</v>
      </c>
      <c r="AP40" s="25">
        <f t="shared" si="39"/>
        <v>3400</v>
      </c>
      <c r="AQ40" s="29">
        <f t="shared" si="40"/>
        <v>5099</v>
      </c>
      <c r="AR40" s="29">
        <f t="shared" si="41"/>
        <v>5894</v>
      </c>
      <c r="AS40" s="2">
        <f t="shared" si="42"/>
        <v>1061</v>
      </c>
      <c r="AT40" s="2">
        <f t="shared" si="43"/>
        <v>730</v>
      </c>
      <c r="AU40" s="2">
        <f t="shared" si="44"/>
        <v>565</v>
      </c>
      <c r="AV40" s="2" t="str">
        <f t="shared" si="45"/>
        <v>-</v>
      </c>
      <c r="AW40" s="2" t="str">
        <f t="shared" si="46"/>
        <v>-</v>
      </c>
      <c r="AX40" s="2" t="str">
        <f t="shared" si="47"/>
        <v>-</v>
      </c>
    </row>
    <row r="41" ht="14.25" customHeight="1">
      <c r="A41" s="2" t="str">
        <f t="array" ref="A41">IFERROR(INDEX('Product Price'!A:A,SMALL('Product Price'!$D:$D,39)),"")</f>
        <v>INFINIX NOTE 50S 5G 8/256 GB</v>
      </c>
      <c r="B41" s="29">
        <f t="array" ref="B41">IFERROR(INDEX('Product Price'!B:B,SMALL('Product Price'!$D:$D,39)),"")</f>
        <v>7999</v>
      </c>
      <c r="C41" s="2">
        <f t="array" ref="C41">IFERROR(INDEX('Product Price'!C:C,SMALL('Product Price'!$D:$D,39)),"")</f>
        <v>30</v>
      </c>
      <c r="D41" s="2">
        <f t="shared" si="1"/>
        <v>795</v>
      </c>
      <c r="E41" s="29">
        <f t="shared" si="2"/>
        <v>8794</v>
      </c>
      <c r="F41" s="25">
        <f t="shared" si="48"/>
        <v>1200</v>
      </c>
      <c r="G41" s="29">
        <f t="shared" si="4"/>
        <v>6799</v>
      </c>
      <c r="H41" s="29">
        <f t="shared" si="5"/>
        <v>7594</v>
      </c>
      <c r="I41" s="2">
        <f t="shared" si="6"/>
        <v>1363</v>
      </c>
      <c r="J41" s="2">
        <f t="shared" si="7"/>
        <v>938</v>
      </c>
      <c r="K41" s="2">
        <f t="shared" si="8"/>
        <v>726</v>
      </c>
      <c r="L41" s="2">
        <f t="shared" si="9"/>
        <v>598</v>
      </c>
      <c r="M41" s="2">
        <f t="shared" si="10"/>
        <v>513</v>
      </c>
      <c r="N41" s="2" t="str">
        <f t="shared" si="11"/>
        <v>-</v>
      </c>
      <c r="O41" s="25">
        <f t="shared" si="12"/>
        <v>1600</v>
      </c>
      <c r="P41" s="29">
        <f t="shared" si="13"/>
        <v>6399</v>
      </c>
      <c r="Q41" s="29">
        <f t="shared" si="14"/>
        <v>7194</v>
      </c>
      <c r="R41" s="2">
        <f t="shared" si="15"/>
        <v>1292</v>
      </c>
      <c r="S41" s="2">
        <f t="shared" si="16"/>
        <v>889</v>
      </c>
      <c r="T41" s="2">
        <f t="shared" si="17"/>
        <v>688</v>
      </c>
      <c r="U41" s="2">
        <f t="shared" si="18"/>
        <v>567</v>
      </c>
      <c r="V41" s="2">
        <f t="shared" si="19"/>
        <v>487</v>
      </c>
      <c r="W41" s="2" t="str">
        <f t="shared" si="20"/>
        <v>-</v>
      </c>
      <c r="X41" s="25">
        <f t="shared" si="21"/>
        <v>2000</v>
      </c>
      <c r="Y41" s="29">
        <f t="shared" si="22"/>
        <v>5999</v>
      </c>
      <c r="Z41" s="29">
        <f t="shared" si="23"/>
        <v>6794</v>
      </c>
      <c r="AA41" s="2">
        <f t="shared" si="24"/>
        <v>1221</v>
      </c>
      <c r="AB41" s="2">
        <f t="shared" si="25"/>
        <v>840</v>
      </c>
      <c r="AC41" s="2">
        <f t="shared" si="26"/>
        <v>650</v>
      </c>
      <c r="AD41" s="2">
        <f t="shared" si="27"/>
        <v>536</v>
      </c>
      <c r="AE41" s="2">
        <f t="shared" si="28"/>
        <v>460</v>
      </c>
      <c r="AF41" s="2" t="str">
        <f t="shared" si="29"/>
        <v>-</v>
      </c>
      <c r="AG41" s="25">
        <f t="shared" si="30"/>
        <v>2800</v>
      </c>
      <c r="AH41" s="29">
        <f t="shared" si="31"/>
        <v>5199</v>
      </c>
      <c r="AI41" s="29">
        <f t="shared" si="32"/>
        <v>5994</v>
      </c>
      <c r="AJ41" s="2">
        <f t="shared" si="33"/>
        <v>1078</v>
      </c>
      <c r="AK41" s="2">
        <f t="shared" si="34"/>
        <v>742</v>
      </c>
      <c r="AL41" s="2">
        <f t="shared" si="35"/>
        <v>574</v>
      </c>
      <c r="AM41" s="2">
        <f t="shared" si="36"/>
        <v>473</v>
      </c>
      <c r="AN41" s="2" t="str">
        <f t="shared" si="37"/>
        <v>-</v>
      </c>
      <c r="AO41" s="2" t="str">
        <f t="shared" si="38"/>
        <v>-</v>
      </c>
      <c r="AP41" s="25">
        <f t="shared" si="39"/>
        <v>3200</v>
      </c>
      <c r="AQ41" s="29">
        <f t="shared" si="40"/>
        <v>4799</v>
      </c>
      <c r="AR41" s="29">
        <f t="shared" si="41"/>
        <v>5594</v>
      </c>
      <c r="AS41" s="2">
        <f t="shared" si="42"/>
        <v>1007</v>
      </c>
      <c r="AT41" s="2">
        <f t="shared" si="43"/>
        <v>693</v>
      </c>
      <c r="AU41" s="2">
        <f t="shared" si="44"/>
        <v>536</v>
      </c>
      <c r="AV41" s="2" t="str">
        <f t="shared" si="45"/>
        <v>-</v>
      </c>
      <c r="AW41" s="2" t="str">
        <f t="shared" si="46"/>
        <v>-</v>
      </c>
      <c r="AX41" s="2" t="str">
        <f t="shared" si="47"/>
        <v>-</v>
      </c>
    </row>
    <row r="42" ht="14.25" customHeight="1">
      <c r="A42" s="2" t="str">
        <f t="array" ref="A42">IFERROR(INDEX('Product Price'!A:A,SMALL('Product Price'!$D:$D,40)),"")</f>
        <v>INFINIX NOTE EDGE 8/128 GB</v>
      </c>
      <c r="B42" s="29">
        <f t="array" ref="B42">IFERROR(INDEX('Product Price'!B:B,SMALL('Product Price'!$D:$D,40)),"")</f>
        <v>7499</v>
      </c>
      <c r="C42" s="2">
        <f t="array" ref="C42">IFERROR(INDEX('Product Price'!C:C,SMALL('Product Price'!$D:$D,40)),"")</f>
        <v>31</v>
      </c>
      <c r="D42" s="2">
        <f t="shared" si="1"/>
        <v>795</v>
      </c>
      <c r="E42" s="29">
        <f t="shared" si="2"/>
        <v>8294</v>
      </c>
      <c r="F42" s="25">
        <f t="shared" si="48"/>
        <v>1125</v>
      </c>
      <c r="G42" s="29">
        <f t="shared" si="4"/>
        <v>6374</v>
      </c>
      <c r="H42" s="29">
        <f t="shared" si="5"/>
        <v>7169</v>
      </c>
      <c r="I42" s="2">
        <f t="shared" si="6"/>
        <v>1288</v>
      </c>
      <c r="J42" s="2">
        <f t="shared" si="7"/>
        <v>886</v>
      </c>
      <c r="K42" s="2">
        <f t="shared" si="8"/>
        <v>686</v>
      </c>
      <c r="L42" s="2">
        <f t="shared" si="9"/>
        <v>565</v>
      </c>
      <c r="M42" s="2">
        <f t="shared" si="10"/>
        <v>485</v>
      </c>
      <c r="N42" s="2" t="str">
        <f t="shared" si="11"/>
        <v>-</v>
      </c>
      <c r="O42" s="25">
        <f t="shared" si="12"/>
        <v>1500</v>
      </c>
      <c r="P42" s="29">
        <f t="shared" si="13"/>
        <v>5999</v>
      </c>
      <c r="Q42" s="29">
        <f t="shared" si="14"/>
        <v>6794</v>
      </c>
      <c r="R42" s="2">
        <f t="shared" si="15"/>
        <v>1221</v>
      </c>
      <c r="S42" s="2">
        <f t="shared" si="16"/>
        <v>840</v>
      </c>
      <c r="T42" s="2">
        <f t="shared" si="17"/>
        <v>650</v>
      </c>
      <c r="U42" s="2">
        <f t="shared" si="18"/>
        <v>536</v>
      </c>
      <c r="V42" s="2">
        <f t="shared" si="19"/>
        <v>460</v>
      </c>
      <c r="W42" s="2" t="str">
        <f t="shared" si="20"/>
        <v>-</v>
      </c>
      <c r="X42" s="25">
        <f t="shared" si="21"/>
        <v>1875</v>
      </c>
      <c r="Y42" s="29">
        <f t="shared" si="22"/>
        <v>5624</v>
      </c>
      <c r="Z42" s="29">
        <f t="shared" si="23"/>
        <v>6419</v>
      </c>
      <c r="AA42" s="2">
        <f t="shared" si="24"/>
        <v>1154</v>
      </c>
      <c r="AB42" s="2">
        <f t="shared" si="25"/>
        <v>794</v>
      </c>
      <c r="AC42" s="2">
        <f t="shared" si="26"/>
        <v>615</v>
      </c>
      <c r="AD42" s="2">
        <f t="shared" si="27"/>
        <v>507</v>
      </c>
      <c r="AE42" s="2" t="str">
        <f t="shared" si="28"/>
        <v>-</v>
      </c>
      <c r="AF42" s="2" t="str">
        <f t="shared" si="29"/>
        <v>-</v>
      </c>
      <c r="AG42" s="25">
        <f t="shared" si="30"/>
        <v>2625</v>
      </c>
      <c r="AH42" s="29">
        <f t="shared" si="31"/>
        <v>4874</v>
      </c>
      <c r="AI42" s="29">
        <f t="shared" si="32"/>
        <v>5669</v>
      </c>
      <c r="AJ42" s="2">
        <f t="shared" si="33"/>
        <v>1020</v>
      </c>
      <c r="AK42" s="2">
        <f t="shared" si="34"/>
        <v>702</v>
      </c>
      <c r="AL42" s="2">
        <f t="shared" si="35"/>
        <v>543</v>
      </c>
      <c r="AM42" s="2" t="str">
        <f t="shared" si="36"/>
        <v>-</v>
      </c>
      <c r="AN42" s="2" t="str">
        <f t="shared" si="37"/>
        <v>-</v>
      </c>
      <c r="AO42" s="2" t="str">
        <f t="shared" si="38"/>
        <v>-</v>
      </c>
      <c r="AP42" s="25">
        <f t="shared" si="39"/>
        <v>3000</v>
      </c>
      <c r="AQ42" s="29">
        <f t="shared" si="40"/>
        <v>4499</v>
      </c>
      <c r="AR42" s="29">
        <f t="shared" si="41"/>
        <v>5294</v>
      </c>
      <c r="AS42" s="2">
        <f t="shared" si="42"/>
        <v>954</v>
      </c>
      <c r="AT42" s="2">
        <f t="shared" si="43"/>
        <v>656</v>
      </c>
      <c r="AU42" s="2">
        <f t="shared" si="44"/>
        <v>508</v>
      </c>
      <c r="AV42" s="2" t="str">
        <f t="shared" si="45"/>
        <v>-</v>
      </c>
      <c r="AW42" s="2" t="str">
        <f t="shared" si="46"/>
        <v>-</v>
      </c>
      <c r="AX42" s="2" t="str">
        <f t="shared" si="47"/>
        <v>-</v>
      </c>
    </row>
    <row r="43" ht="14.25" customHeight="1">
      <c r="A43" s="2" t="str">
        <f t="array" ref="A43">IFERROR(INDEX('Product Price'!A:A,SMALL('Product Price'!$D:$D,41)),"")</f>
        <v>INFINIX HOT 60 Pro+ 8/256 GB</v>
      </c>
      <c r="B43" s="29">
        <f t="array" ref="B43">IFERROR(INDEX('Product Price'!B:B,SMALL('Product Price'!$D:$D,41)),"")</f>
        <v>6499</v>
      </c>
      <c r="C43" s="2">
        <f t="array" ref="C43">IFERROR(INDEX('Product Price'!C:C,SMALL('Product Price'!$D:$D,41)),"")</f>
        <v>32</v>
      </c>
      <c r="D43" s="2">
        <f t="shared" si="1"/>
        <v>795</v>
      </c>
      <c r="E43" s="29">
        <f t="shared" si="2"/>
        <v>7294</v>
      </c>
      <c r="F43" s="25">
        <f t="shared" si="48"/>
        <v>975</v>
      </c>
      <c r="G43" s="29">
        <f t="shared" si="4"/>
        <v>5524</v>
      </c>
      <c r="H43" s="29">
        <f t="shared" si="5"/>
        <v>6319</v>
      </c>
      <c r="I43" s="2">
        <f t="shared" si="6"/>
        <v>1136</v>
      </c>
      <c r="J43" s="2">
        <f t="shared" si="7"/>
        <v>782</v>
      </c>
      <c r="K43" s="2">
        <f t="shared" si="8"/>
        <v>605</v>
      </c>
      <c r="L43" s="2">
        <f t="shared" si="9"/>
        <v>499</v>
      </c>
      <c r="M43" s="2" t="str">
        <f t="shared" si="10"/>
        <v>-</v>
      </c>
      <c r="N43" s="2" t="str">
        <f t="shared" si="11"/>
        <v>-</v>
      </c>
      <c r="O43" s="25">
        <f t="shared" si="12"/>
        <v>1300</v>
      </c>
      <c r="P43" s="29">
        <f t="shared" si="13"/>
        <v>5199</v>
      </c>
      <c r="Q43" s="29">
        <f t="shared" si="14"/>
        <v>5994</v>
      </c>
      <c r="R43" s="2">
        <f t="shared" si="15"/>
        <v>1078</v>
      </c>
      <c r="S43" s="2">
        <f t="shared" si="16"/>
        <v>742</v>
      </c>
      <c r="T43" s="2">
        <f t="shared" si="17"/>
        <v>574</v>
      </c>
      <c r="U43" s="2">
        <f t="shared" si="18"/>
        <v>473</v>
      </c>
      <c r="V43" s="2" t="str">
        <f t="shared" si="19"/>
        <v>-</v>
      </c>
      <c r="W43" s="2" t="str">
        <f t="shared" si="20"/>
        <v>-</v>
      </c>
      <c r="X43" s="25">
        <f t="shared" si="21"/>
        <v>1625</v>
      </c>
      <c r="Y43" s="29">
        <f t="shared" si="22"/>
        <v>4874</v>
      </c>
      <c r="Z43" s="29">
        <f t="shared" si="23"/>
        <v>5669</v>
      </c>
      <c r="AA43" s="2">
        <f t="shared" si="24"/>
        <v>1020</v>
      </c>
      <c r="AB43" s="2">
        <f t="shared" si="25"/>
        <v>702</v>
      </c>
      <c r="AC43" s="2">
        <f t="shared" si="26"/>
        <v>543</v>
      </c>
      <c r="AD43" s="2" t="str">
        <f t="shared" si="27"/>
        <v>-</v>
      </c>
      <c r="AE43" s="2" t="str">
        <f t="shared" si="28"/>
        <v>-</v>
      </c>
      <c r="AF43" s="2" t="str">
        <f t="shared" si="29"/>
        <v>-</v>
      </c>
      <c r="AG43" s="25">
        <f t="shared" si="30"/>
        <v>2275</v>
      </c>
      <c r="AH43" s="29">
        <f t="shared" si="31"/>
        <v>4224</v>
      </c>
      <c r="AI43" s="29">
        <f t="shared" si="32"/>
        <v>5019</v>
      </c>
      <c r="AJ43" s="2">
        <f t="shared" si="33"/>
        <v>905</v>
      </c>
      <c r="AK43" s="2">
        <f t="shared" si="34"/>
        <v>623</v>
      </c>
      <c r="AL43" s="2">
        <f t="shared" si="35"/>
        <v>482</v>
      </c>
      <c r="AM43" s="2" t="str">
        <f t="shared" si="36"/>
        <v>-</v>
      </c>
      <c r="AN43" s="2" t="str">
        <f t="shared" si="37"/>
        <v>-</v>
      </c>
      <c r="AO43" s="2" t="str">
        <f t="shared" si="38"/>
        <v>-</v>
      </c>
      <c r="AP43" s="25">
        <f t="shared" si="39"/>
        <v>2600</v>
      </c>
      <c r="AQ43" s="29">
        <f t="shared" si="40"/>
        <v>3899</v>
      </c>
      <c r="AR43" s="29">
        <f t="shared" si="41"/>
        <v>4694</v>
      </c>
      <c r="AS43" s="2">
        <f t="shared" si="42"/>
        <v>847</v>
      </c>
      <c r="AT43" s="2">
        <f t="shared" si="43"/>
        <v>583</v>
      </c>
      <c r="AU43" s="2" t="str">
        <f t="shared" si="44"/>
        <v>-</v>
      </c>
      <c r="AV43" s="2" t="str">
        <f t="shared" si="45"/>
        <v>-</v>
      </c>
      <c r="AW43" s="2" t="str">
        <f t="shared" si="46"/>
        <v>-</v>
      </c>
      <c r="AX43" s="2" t="str">
        <f t="shared" si="47"/>
        <v>-</v>
      </c>
    </row>
    <row r="44" ht="14.25" customHeight="1">
      <c r="A44" s="2" t="str">
        <f t="array" ref="A44">IFERROR(INDEX('Product Price'!A:A,SMALL('Product Price'!$D:$D,42)),"")</f>
        <v>INFINIX HOT 60 Pro 8/256 GB</v>
      </c>
      <c r="B44" s="29">
        <f t="array" ref="B44">IFERROR(INDEX('Product Price'!B:B,SMALL('Product Price'!$D:$D,42)),"")</f>
        <v>5899</v>
      </c>
      <c r="C44" s="2">
        <f t="array" ref="C44">IFERROR(INDEX('Product Price'!C:C,SMALL('Product Price'!$D:$D,42)),"")</f>
        <v>33</v>
      </c>
      <c r="D44" s="2">
        <f t="shared" si="1"/>
        <v>795</v>
      </c>
      <c r="E44" s="29">
        <f t="shared" si="2"/>
        <v>6694</v>
      </c>
      <c r="F44" s="25">
        <f t="shared" si="48"/>
        <v>885</v>
      </c>
      <c r="G44" s="29">
        <f t="shared" si="4"/>
        <v>5014</v>
      </c>
      <c r="H44" s="29">
        <f t="shared" si="5"/>
        <v>5809</v>
      </c>
      <c r="I44" s="2">
        <f t="shared" si="6"/>
        <v>1045</v>
      </c>
      <c r="J44" s="2">
        <f t="shared" si="7"/>
        <v>720</v>
      </c>
      <c r="K44" s="2">
        <f t="shared" si="8"/>
        <v>557</v>
      </c>
      <c r="L44" s="2" t="str">
        <f t="shared" si="9"/>
        <v>-</v>
      </c>
      <c r="M44" s="2" t="str">
        <f t="shared" si="10"/>
        <v>-</v>
      </c>
      <c r="N44" s="2" t="str">
        <f t="shared" si="11"/>
        <v>-</v>
      </c>
      <c r="O44" s="25">
        <f t="shared" si="12"/>
        <v>1180</v>
      </c>
      <c r="P44" s="29">
        <f t="shared" si="13"/>
        <v>4719</v>
      </c>
      <c r="Q44" s="29">
        <f t="shared" si="14"/>
        <v>5514</v>
      </c>
      <c r="R44" s="2">
        <f t="shared" si="15"/>
        <v>993</v>
      </c>
      <c r="S44" s="2">
        <f t="shared" si="16"/>
        <v>683</v>
      </c>
      <c r="T44" s="2">
        <f t="shared" si="17"/>
        <v>529</v>
      </c>
      <c r="U44" s="2" t="str">
        <f t="shared" si="18"/>
        <v>-</v>
      </c>
      <c r="V44" s="2" t="str">
        <f t="shared" si="19"/>
        <v>-</v>
      </c>
      <c r="W44" s="2" t="str">
        <f t="shared" si="20"/>
        <v>-</v>
      </c>
      <c r="X44" s="25">
        <f t="shared" si="21"/>
        <v>1475</v>
      </c>
      <c r="Y44" s="29">
        <f t="shared" si="22"/>
        <v>4424</v>
      </c>
      <c r="Z44" s="29">
        <f t="shared" si="23"/>
        <v>5219</v>
      </c>
      <c r="AA44" s="2">
        <f t="shared" si="24"/>
        <v>940</v>
      </c>
      <c r="AB44" s="2">
        <f t="shared" si="25"/>
        <v>647</v>
      </c>
      <c r="AC44" s="2">
        <f t="shared" si="26"/>
        <v>501</v>
      </c>
      <c r="AD44" s="2" t="str">
        <f t="shared" si="27"/>
        <v>-</v>
      </c>
      <c r="AE44" s="2" t="str">
        <f t="shared" si="28"/>
        <v>-</v>
      </c>
      <c r="AF44" s="2" t="str">
        <f t="shared" si="29"/>
        <v>-</v>
      </c>
      <c r="AG44" s="25">
        <f t="shared" si="30"/>
        <v>2065</v>
      </c>
      <c r="AH44" s="29">
        <f t="shared" si="31"/>
        <v>3834</v>
      </c>
      <c r="AI44" s="29">
        <f t="shared" si="32"/>
        <v>4629</v>
      </c>
      <c r="AJ44" s="2">
        <f t="shared" si="33"/>
        <v>835</v>
      </c>
      <c r="AK44" s="2">
        <f t="shared" si="34"/>
        <v>575</v>
      </c>
      <c r="AL44" s="2" t="str">
        <f t="shared" si="35"/>
        <v>-</v>
      </c>
      <c r="AM44" s="2" t="str">
        <f t="shared" si="36"/>
        <v>-</v>
      </c>
      <c r="AN44" s="2" t="str">
        <f t="shared" si="37"/>
        <v>-</v>
      </c>
      <c r="AO44" s="2" t="str">
        <f t="shared" si="38"/>
        <v>-</v>
      </c>
      <c r="AP44" s="25">
        <f t="shared" si="39"/>
        <v>2360</v>
      </c>
      <c r="AQ44" s="29">
        <f t="shared" si="40"/>
        <v>3539</v>
      </c>
      <c r="AR44" s="29">
        <f t="shared" si="41"/>
        <v>4334</v>
      </c>
      <c r="AS44" s="2">
        <f t="shared" si="42"/>
        <v>783</v>
      </c>
      <c r="AT44" s="2">
        <f t="shared" si="43"/>
        <v>539</v>
      </c>
      <c r="AU44" s="2" t="str">
        <f t="shared" si="44"/>
        <v>-</v>
      </c>
      <c r="AV44" s="2" t="str">
        <f t="shared" si="45"/>
        <v>-</v>
      </c>
      <c r="AW44" s="2" t="str">
        <f t="shared" si="46"/>
        <v>-</v>
      </c>
      <c r="AX44" s="2" t="str">
        <f t="shared" si="47"/>
        <v>-</v>
      </c>
    </row>
    <row r="45" ht="14.25" customHeight="1">
      <c r="A45" s="2" t="str">
        <f t="array" ref="A45">IFERROR(INDEX('Product Price'!A:A,SMALL('Product Price'!$D:$D,43)),"")</f>
        <v>INFINIX HOT 70 6/128 GB</v>
      </c>
      <c r="B45" s="29">
        <f t="array" ref="B45">IFERROR(INDEX('Product Price'!B:B,SMALL('Product Price'!$D:$D,43)),"")</f>
        <v>6499</v>
      </c>
      <c r="C45" s="2">
        <f t="array" ref="C45">IFERROR(INDEX('Product Price'!C:C,SMALL('Product Price'!$D:$D,43)),"")</f>
        <v>34</v>
      </c>
      <c r="D45" s="2">
        <f t="shared" si="1"/>
        <v>795</v>
      </c>
      <c r="E45" s="29">
        <f t="shared" si="2"/>
        <v>7294</v>
      </c>
      <c r="F45" s="25">
        <f t="shared" si="48"/>
        <v>975</v>
      </c>
      <c r="G45" s="29">
        <f t="shared" si="4"/>
        <v>5524</v>
      </c>
      <c r="H45" s="29">
        <f t="shared" si="5"/>
        <v>6319</v>
      </c>
      <c r="I45" s="2">
        <f t="shared" si="6"/>
        <v>1136</v>
      </c>
      <c r="J45" s="2">
        <f t="shared" si="7"/>
        <v>782</v>
      </c>
      <c r="K45" s="2">
        <f t="shared" si="8"/>
        <v>605</v>
      </c>
      <c r="L45" s="2">
        <f t="shared" si="9"/>
        <v>499</v>
      </c>
      <c r="M45" s="2" t="str">
        <f t="shared" si="10"/>
        <v>-</v>
      </c>
      <c r="N45" s="2" t="str">
        <f t="shared" si="11"/>
        <v>-</v>
      </c>
      <c r="O45" s="25">
        <f t="shared" si="12"/>
        <v>1300</v>
      </c>
      <c r="P45" s="29">
        <f t="shared" si="13"/>
        <v>5199</v>
      </c>
      <c r="Q45" s="29">
        <f t="shared" si="14"/>
        <v>5994</v>
      </c>
      <c r="R45" s="2">
        <f t="shared" si="15"/>
        <v>1078</v>
      </c>
      <c r="S45" s="2">
        <f t="shared" si="16"/>
        <v>742</v>
      </c>
      <c r="T45" s="2">
        <f t="shared" si="17"/>
        <v>574</v>
      </c>
      <c r="U45" s="2">
        <f t="shared" si="18"/>
        <v>473</v>
      </c>
      <c r="V45" s="2" t="str">
        <f t="shared" si="19"/>
        <v>-</v>
      </c>
      <c r="W45" s="2" t="str">
        <f t="shared" si="20"/>
        <v>-</v>
      </c>
      <c r="X45" s="25">
        <f t="shared" si="21"/>
        <v>1625</v>
      </c>
      <c r="Y45" s="29">
        <f t="shared" si="22"/>
        <v>4874</v>
      </c>
      <c r="Z45" s="29">
        <f t="shared" si="23"/>
        <v>5669</v>
      </c>
      <c r="AA45" s="2">
        <f t="shared" si="24"/>
        <v>1020</v>
      </c>
      <c r="AB45" s="2">
        <f t="shared" si="25"/>
        <v>702</v>
      </c>
      <c r="AC45" s="2">
        <f t="shared" si="26"/>
        <v>543</v>
      </c>
      <c r="AD45" s="2" t="str">
        <f t="shared" si="27"/>
        <v>-</v>
      </c>
      <c r="AE45" s="2" t="str">
        <f t="shared" si="28"/>
        <v>-</v>
      </c>
      <c r="AF45" s="2" t="str">
        <f t="shared" si="29"/>
        <v>-</v>
      </c>
      <c r="AG45" s="25">
        <f t="shared" si="30"/>
        <v>2275</v>
      </c>
      <c r="AH45" s="29">
        <f t="shared" si="31"/>
        <v>4224</v>
      </c>
      <c r="AI45" s="29">
        <f t="shared" si="32"/>
        <v>5019</v>
      </c>
      <c r="AJ45" s="2">
        <f t="shared" si="33"/>
        <v>905</v>
      </c>
      <c r="AK45" s="2">
        <f t="shared" si="34"/>
        <v>623</v>
      </c>
      <c r="AL45" s="2">
        <f t="shared" si="35"/>
        <v>482</v>
      </c>
      <c r="AM45" s="2" t="str">
        <f t="shared" si="36"/>
        <v>-</v>
      </c>
      <c r="AN45" s="2" t="str">
        <f t="shared" si="37"/>
        <v>-</v>
      </c>
      <c r="AO45" s="2" t="str">
        <f t="shared" si="38"/>
        <v>-</v>
      </c>
      <c r="AP45" s="25">
        <f t="shared" si="39"/>
        <v>2600</v>
      </c>
      <c r="AQ45" s="29">
        <f t="shared" si="40"/>
        <v>3899</v>
      </c>
      <c r="AR45" s="29">
        <f t="shared" si="41"/>
        <v>4694</v>
      </c>
      <c r="AS45" s="2">
        <f t="shared" si="42"/>
        <v>847</v>
      </c>
      <c r="AT45" s="2">
        <f t="shared" si="43"/>
        <v>583</v>
      </c>
      <c r="AU45" s="2" t="str">
        <f t="shared" si="44"/>
        <v>-</v>
      </c>
      <c r="AV45" s="2" t="str">
        <f t="shared" si="45"/>
        <v>-</v>
      </c>
      <c r="AW45" s="2" t="str">
        <f t="shared" si="46"/>
        <v>-</v>
      </c>
      <c r="AX45" s="2" t="str">
        <f t="shared" si="47"/>
        <v>-</v>
      </c>
    </row>
    <row r="46" ht="14.25" customHeight="1">
      <c r="A46" s="2" t="str">
        <f t="array" ref="A46">IFERROR(INDEX('Product Price'!A:A,SMALL('Product Price'!$D:$D,44)),"")</f>
        <v>INFINIX XPAD 20 Pro 8/256 GB</v>
      </c>
      <c r="B46" s="29">
        <f t="array" ref="B46">IFERROR(INDEX('Product Price'!B:B,SMALL('Product Price'!$D:$D,44)),"")</f>
        <v>7999</v>
      </c>
      <c r="C46" s="2">
        <f t="array" ref="C46">IFERROR(INDEX('Product Price'!C:C,SMALL('Product Price'!$D:$D,44)),"")</f>
        <v>35</v>
      </c>
      <c r="D46" s="2">
        <f t="shared" si="1"/>
        <v>795</v>
      </c>
      <c r="E46" s="29">
        <f t="shared" si="2"/>
        <v>8794</v>
      </c>
      <c r="F46" s="25">
        <f t="shared" si="48"/>
        <v>1200</v>
      </c>
      <c r="G46" s="29">
        <f t="shared" si="4"/>
        <v>6799</v>
      </c>
      <c r="H46" s="29">
        <f t="shared" si="5"/>
        <v>7594</v>
      </c>
      <c r="I46" s="2">
        <f t="shared" si="6"/>
        <v>1363</v>
      </c>
      <c r="J46" s="2">
        <f t="shared" si="7"/>
        <v>938</v>
      </c>
      <c r="K46" s="2">
        <f t="shared" si="8"/>
        <v>726</v>
      </c>
      <c r="L46" s="2">
        <f t="shared" si="9"/>
        <v>598</v>
      </c>
      <c r="M46" s="2">
        <f t="shared" si="10"/>
        <v>513</v>
      </c>
      <c r="N46" s="2" t="str">
        <f t="shared" si="11"/>
        <v>-</v>
      </c>
      <c r="O46" s="25">
        <f t="shared" si="12"/>
        <v>1600</v>
      </c>
      <c r="P46" s="29">
        <f t="shared" si="13"/>
        <v>6399</v>
      </c>
      <c r="Q46" s="29">
        <f t="shared" si="14"/>
        <v>7194</v>
      </c>
      <c r="R46" s="2">
        <f t="shared" si="15"/>
        <v>1292</v>
      </c>
      <c r="S46" s="2">
        <f t="shared" si="16"/>
        <v>889</v>
      </c>
      <c r="T46" s="2">
        <f t="shared" si="17"/>
        <v>688</v>
      </c>
      <c r="U46" s="2">
        <f t="shared" si="18"/>
        <v>567</v>
      </c>
      <c r="V46" s="2">
        <f t="shared" si="19"/>
        <v>487</v>
      </c>
      <c r="W46" s="2" t="str">
        <f t="shared" si="20"/>
        <v>-</v>
      </c>
      <c r="X46" s="25">
        <f t="shared" si="21"/>
        <v>2000</v>
      </c>
      <c r="Y46" s="29">
        <f t="shared" si="22"/>
        <v>5999</v>
      </c>
      <c r="Z46" s="29">
        <f t="shared" si="23"/>
        <v>6794</v>
      </c>
      <c r="AA46" s="2">
        <f t="shared" si="24"/>
        <v>1221</v>
      </c>
      <c r="AB46" s="2">
        <f t="shared" si="25"/>
        <v>840</v>
      </c>
      <c r="AC46" s="2">
        <f t="shared" si="26"/>
        <v>650</v>
      </c>
      <c r="AD46" s="2">
        <f t="shared" si="27"/>
        <v>536</v>
      </c>
      <c r="AE46" s="2">
        <f t="shared" si="28"/>
        <v>460</v>
      </c>
      <c r="AF46" s="2" t="str">
        <f t="shared" si="29"/>
        <v>-</v>
      </c>
      <c r="AG46" s="25">
        <f t="shared" si="30"/>
        <v>2800</v>
      </c>
      <c r="AH46" s="29">
        <f t="shared" si="31"/>
        <v>5199</v>
      </c>
      <c r="AI46" s="29">
        <f t="shared" si="32"/>
        <v>5994</v>
      </c>
      <c r="AJ46" s="2">
        <f t="shared" si="33"/>
        <v>1078</v>
      </c>
      <c r="AK46" s="2">
        <f t="shared" si="34"/>
        <v>742</v>
      </c>
      <c r="AL46" s="2">
        <f t="shared" si="35"/>
        <v>574</v>
      </c>
      <c r="AM46" s="2">
        <f t="shared" si="36"/>
        <v>473</v>
      </c>
      <c r="AN46" s="2" t="str">
        <f t="shared" si="37"/>
        <v>-</v>
      </c>
      <c r="AO46" s="2" t="str">
        <f t="shared" si="38"/>
        <v>-</v>
      </c>
      <c r="AP46" s="25">
        <f t="shared" si="39"/>
        <v>3200</v>
      </c>
      <c r="AQ46" s="29">
        <f t="shared" si="40"/>
        <v>4799</v>
      </c>
      <c r="AR46" s="29">
        <f t="shared" si="41"/>
        <v>5594</v>
      </c>
      <c r="AS46" s="2">
        <f t="shared" si="42"/>
        <v>1007</v>
      </c>
      <c r="AT46" s="2">
        <f t="shared" si="43"/>
        <v>693</v>
      </c>
      <c r="AU46" s="2">
        <f t="shared" si="44"/>
        <v>536</v>
      </c>
      <c r="AV46" s="2" t="str">
        <f t="shared" si="45"/>
        <v>-</v>
      </c>
      <c r="AW46" s="2" t="str">
        <f t="shared" si="46"/>
        <v>-</v>
      </c>
      <c r="AX46" s="2" t="str">
        <f t="shared" si="47"/>
        <v>-</v>
      </c>
    </row>
    <row r="47" ht="14.25" customHeight="1">
      <c r="A47" s="2" t="str">
        <f t="array" ref="A47">IFERROR(INDEX('Product Price'!A:A,SMALL('Product Price'!$D:$D,45)),"")</f>
        <v>INFINIX XPAD 30E 4/128 GB</v>
      </c>
      <c r="B47" s="29">
        <f t="array" ref="B47">IFERROR(INDEX('Product Price'!B:B,SMALL('Product Price'!$D:$D,45)),"")</f>
        <v>5499</v>
      </c>
      <c r="C47" s="2">
        <f t="array" ref="C47">IFERROR(INDEX('Product Price'!C:C,SMALL('Product Price'!$D:$D,45)),"")</f>
        <v>36</v>
      </c>
      <c r="D47" s="2">
        <f t="shared" si="1"/>
        <v>795</v>
      </c>
      <c r="E47" s="29">
        <f t="shared" si="2"/>
        <v>6294</v>
      </c>
      <c r="F47" s="25">
        <f t="shared" si="48"/>
        <v>825</v>
      </c>
      <c r="G47" s="29">
        <f t="shared" si="4"/>
        <v>4674</v>
      </c>
      <c r="H47" s="29">
        <f t="shared" si="5"/>
        <v>5469</v>
      </c>
      <c r="I47" s="2">
        <f t="shared" si="6"/>
        <v>985</v>
      </c>
      <c r="J47" s="2">
        <f t="shared" si="7"/>
        <v>678</v>
      </c>
      <c r="K47" s="2">
        <f t="shared" si="8"/>
        <v>524</v>
      </c>
      <c r="L47" s="2" t="str">
        <f t="shared" si="9"/>
        <v>-</v>
      </c>
      <c r="M47" s="2" t="str">
        <f t="shared" si="10"/>
        <v>-</v>
      </c>
      <c r="N47" s="2" t="str">
        <f t="shared" si="11"/>
        <v>-</v>
      </c>
      <c r="O47" s="25">
        <f t="shared" si="12"/>
        <v>1100</v>
      </c>
      <c r="P47" s="29">
        <f t="shared" si="13"/>
        <v>4399</v>
      </c>
      <c r="Q47" s="29">
        <f t="shared" si="14"/>
        <v>5194</v>
      </c>
      <c r="R47" s="2">
        <f t="shared" si="15"/>
        <v>936</v>
      </c>
      <c r="S47" s="2">
        <f t="shared" si="16"/>
        <v>644</v>
      </c>
      <c r="T47" s="2">
        <f t="shared" si="17"/>
        <v>498</v>
      </c>
      <c r="U47" s="2" t="str">
        <f t="shared" si="18"/>
        <v>-</v>
      </c>
      <c r="V47" s="2" t="str">
        <f t="shared" si="19"/>
        <v>-</v>
      </c>
      <c r="W47" s="2" t="str">
        <f t="shared" si="20"/>
        <v>-</v>
      </c>
      <c r="X47" s="25">
        <f t="shared" si="21"/>
        <v>1375</v>
      </c>
      <c r="Y47" s="29">
        <f t="shared" si="22"/>
        <v>4124</v>
      </c>
      <c r="Z47" s="29">
        <f t="shared" si="23"/>
        <v>4919</v>
      </c>
      <c r="AA47" s="2">
        <f t="shared" si="24"/>
        <v>887</v>
      </c>
      <c r="AB47" s="2">
        <f t="shared" si="25"/>
        <v>610</v>
      </c>
      <c r="AC47" s="2" t="str">
        <f t="shared" si="26"/>
        <v>-</v>
      </c>
      <c r="AD47" s="2" t="str">
        <f t="shared" si="27"/>
        <v>-</v>
      </c>
      <c r="AE47" s="2" t="str">
        <f t="shared" si="28"/>
        <v>-</v>
      </c>
      <c r="AF47" s="2" t="str">
        <f t="shared" si="29"/>
        <v>-</v>
      </c>
      <c r="AG47" s="25">
        <f t="shared" si="30"/>
        <v>1925</v>
      </c>
      <c r="AH47" s="29">
        <f t="shared" si="31"/>
        <v>3574</v>
      </c>
      <c r="AI47" s="29">
        <f t="shared" si="32"/>
        <v>4369</v>
      </c>
      <c r="AJ47" s="2">
        <f t="shared" si="33"/>
        <v>789</v>
      </c>
      <c r="AK47" s="2">
        <f t="shared" si="34"/>
        <v>543</v>
      </c>
      <c r="AL47" s="2" t="str">
        <f t="shared" si="35"/>
        <v>-</v>
      </c>
      <c r="AM47" s="2" t="str">
        <f t="shared" si="36"/>
        <v>-</v>
      </c>
      <c r="AN47" s="2" t="str">
        <f t="shared" si="37"/>
        <v>-</v>
      </c>
      <c r="AO47" s="2" t="str">
        <f t="shared" si="38"/>
        <v>-</v>
      </c>
      <c r="AP47" s="25">
        <f t="shared" si="39"/>
        <v>2200</v>
      </c>
      <c r="AQ47" s="29">
        <f t="shared" si="40"/>
        <v>3299</v>
      </c>
      <c r="AR47" s="29">
        <f t="shared" si="41"/>
        <v>4094</v>
      </c>
      <c r="AS47" s="2">
        <f t="shared" si="42"/>
        <v>740</v>
      </c>
      <c r="AT47" s="2">
        <f t="shared" si="43"/>
        <v>509</v>
      </c>
      <c r="AU47" s="2" t="str">
        <f t="shared" si="44"/>
        <v>-</v>
      </c>
      <c r="AV47" s="2" t="str">
        <f t="shared" si="45"/>
        <v>-</v>
      </c>
      <c r="AW47" s="2" t="str">
        <f t="shared" si="46"/>
        <v>-</v>
      </c>
      <c r="AX47" s="2" t="str">
        <f t="shared" si="47"/>
        <v>-</v>
      </c>
    </row>
    <row r="48" ht="14.25" customHeight="1">
      <c r="A48" s="2" t="str">
        <f t="array" ref="A48">IFERROR(INDEX('Product Price'!A:A,SMALL('Product Price'!$D:$D,46)),"")</f>
        <v>Nubia NEO 5 GT 12/512 GB</v>
      </c>
      <c r="B48" s="29">
        <f t="array" ref="B48">IFERROR(INDEX('Product Price'!B:B,SMALL('Product Price'!$D:$D,46)),"")</f>
        <v>14999</v>
      </c>
      <c r="C48" s="2">
        <f t="array" ref="C48">IFERROR(INDEX('Product Price'!C:C,SMALL('Product Price'!$D:$D,46)),"")</f>
        <v>37</v>
      </c>
      <c r="D48" s="2">
        <f t="shared" si="1"/>
        <v>1450</v>
      </c>
      <c r="E48" s="29">
        <f t="shared" si="2"/>
        <v>16449</v>
      </c>
      <c r="F48" s="25">
        <f t="shared" si="48"/>
        <v>2250</v>
      </c>
      <c r="G48" s="29">
        <f t="shared" si="4"/>
        <v>12749</v>
      </c>
      <c r="H48" s="29">
        <f t="shared" si="5"/>
        <v>14199</v>
      </c>
      <c r="I48" s="2">
        <f t="shared" si="6"/>
        <v>2548</v>
      </c>
      <c r="J48" s="2">
        <f t="shared" si="7"/>
        <v>1754</v>
      </c>
      <c r="K48" s="2">
        <f t="shared" si="8"/>
        <v>1357</v>
      </c>
      <c r="L48" s="2">
        <f t="shared" si="9"/>
        <v>1118</v>
      </c>
      <c r="M48" s="2">
        <f t="shared" si="10"/>
        <v>959</v>
      </c>
      <c r="N48" s="2">
        <f t="shared" si="11"/>
        <v>761</v>
      </c>
      <c r="O48" s="25">
        <f t="shared" si="12"/>
        <v>3000</v>
      </c>
      <c r="P48" s="29">
        <f t="shared" si="13"/>
        <v>11999</v>
      </c>
      <c r="Q48" s="29">
        <f t="shared" si="14"/>
        <v>13449</v>
      </c>
      <c r="R48" s="2">
        <f t="shared" si="15"/>
        <v>2415</v>
      </c>
      <c r="S48" s="2">
        <f t="shared" si="16"/>
        <v>1662</v>
      </c>
      <c r="T48" s="2">
        <f t="shared" si="17"/>
        <v>1286</v>
      </c>
      <c r="U48" s="2">
        <f t="shared" si="18"/>
        <v>1060</v>
      </c>
      <c r="V48" s="2">
        <f t="shared" si="19"/>
        <v>909</v>
      </c>
      <c r="W48" s="2">
        <f t="shared" si="20"/>
        <v>721</v>
      </c>
      <c r="X48" s="25">
        <f t="shared" si="21"/>
        <v>3750</v>
      </c>
      <c r="Y48" s="29">
        <f t="shared" si="22"/>
        <v>11249</v>
      </c>
      <c r="Z48" s="29">
        <f t="shared" si="23"/>
        <v>12699</v>
      </c>
      <c r="AA48" s="2">
        <f t="shared" si="24"/>
        <v>2281</v>
      </c>
      <c r="AB48" s="2">
        <f t="shared" si="25"/>
        <v>1570</v>
      </c>
      <c r="AC48" s="2">
        <f t="shared" si="26"/>
        <v>1214</v>
      </c>
      <c r="AD48" s="2">
        <f t="shared" si="27"/>
        <v>1001</v>
      </c>
      <c r="AE48" s="2">
        <f t="shared" si="28"/>
        <v>859</v>
      </c>
      <c r="AF48" s="2">
        <f t="shared" si="29"/>
        <v>681</v>
      </c>
      <c r="AG48" s="25">
        <f t="shared" si="30"/>
        <v>5250</v>
      </c>
      <c r="AH48" s="29">
        <f t="shared" si="31"/>
        <v>9749</v>
      </c>
      <c r="AI48" s="29">
        <f t="shared" si="32"/>
        <v>11199</v>
      </c>
      <c r="AJ48" s="2">
        <f t="shared" si="33"/>
        <v>2014</v>
      </c>
      <c r="AK48" s="2">
        <f t="shared" si="34"/>
        <v>1386</v>
      </c>
      <c r="AL48" s="2">
        <f t="shared" si="35"/>
        <v>1072</v>
      </c>
      <c r="AM48" s="2">
        <f t="shared" si="36"/>
        <v>884</v>
      </c>
      <c r="AN48" s="2">
        <f t="shared" si="37"/>
        <v>758</v>
      </c>
      <c r="AO48" s="2">
        <f t="shared" si="38"/>
        <v>601</v>
      </c>
      <c r="AP48" s="25">
        <f t="shared" si="39"/>
        <v>6000</v>
      </c>
      <c r="AQ48" s="29">
        <f t="shared" si="40"/>
        <v>8999</v>
      </c>
      <c r="AR48" s="29">
        <f t="shared" si="41"/>
        <v>10449</v>
      </c>
      <c r="AS48" s="2">
        <f t="shared" si="42"/>
        <v>1880</v>
      </c>
      <c r="AT48" s="2">
        <f t="shared" si="43"/>
        <v>1294</v>
      </c>
      <c r="AU48" s="2">
        <f t="shared" si="44"/>
        <v>1001</v>
      </c>
      <c r="AV48" s="2">
        <f t="shared" si="45"/>
        <v>825</v>
      </c>
      <c r="AW48" s="2">
        <f t="shared" si="46"/>
        <v>708</v>
      </c>
      <c r="AX48" s="2">
        <f t="shared" si="47"/>
        <v>561</v>
      </c>
    </row>
    <row r="49" ht="14.25" customHeight="1">
      <c r="A49" s="2" t="str">
        <f t="array" ref="A49">IFERROR(INDEX('Product Price'!A:A,SMALL('Product Price'!$D:$D,47)),"")</f>
        <v>Nubia NEO 5 GT 8/258 GB</v>
      </c>
      <c r="B49" s="29">
        <f t="array" ref="B49">IFERROR(INDEX('Product Price'!B:B,SMALL('Product Price'!$D:$D,47)),"")</f>
        <v>11999</v>
      </c>
      <c r="C49" s="2">
        <f t="array" ref="C49">IFERROR(INDEX('Product Price'!C:C,SMALL('Product Price'!$D:$D,47)),"")</f>
        <v>38</v>
      </c>
      <c r="D49" s="2">
        <f t="shared" si="1"/>
        <v>1450</v>
      </c>
      <c r="E49" s="29">
        <f t="shared" si="2"/>
        <v>13449</v>
      </c>
      <c r="F49" s="25">
        <f t="shared" si="48"/>
        <v>1800</v>
      </c>
      <c r="G49" s="29">
        <f t="shared" si="4"/>
        <v>10199</v>
      </c>
      <c r="H49" s="29">
        <f t="shared" si="5"/>
        <v>11649</v>
      </c>
      <c r="I49" s="2">
        <f t="shared" si="6"/>
        <v>2094</v>
      </c>
      <c r="J49" s="2">
        <f t="shared" si="7"/>
        <v>1441</v>
      </c>
      <c r="K49" s="2">
        <f t="shared" si="8"/>
        <v>1115</v>
      </c>
      <c r="L49" s="2">
        <f t="shared" si="9"/>
        <v>919</v>
      </c>
      <c r="M49" s="2">
        <f t="shared" si="10"/>
        <v>788</v>
      </c>
      <c r="N49" s="2">
        <f t="shared" si="11"/>
        <v>625</v>
      </c>
      <c r="O49" s="25">
        <f t="shared" si="12"/>
        <v>2400</v>
      </c>
      <c r="P49" s="29">
        <f t="shared" si="13"/>
        <v>9599</v>
      </c>
      <c r="Q49" s="29">
        <f t="shared" si="14"/>
        <v>11049</v>
      </c>
      <c r="R49" s="2">
        <f t="shared" si="15"/>
        <v>1987</v>
      </c>
      <c r="S49" s="2">
        <f t="shared" si="16"/>
        <v>1368</v>
      </c>
      <c r="T49" s="2">
        <f t="shared" si="17"/>
        <v>1058</v>
      </c>
      <c r="U49" s="2">
        <f t="shared" si="18"/>
        <v>872</v>
      </c>
      <c r="V49" s="2">
        <f t="shared" si="19"/>
        <v>748</v>
      </c>
      <c r="W49" s="2">
        <f t="shared" si="20"/>
        <v>593</v>
      </c>
      <c r="X49" s="25">
        <f t="shared" si="21"/>
        <v>3000</v>
      </c>
      <c r="Y49" s="29">
        <f t="shared" si="22"/>
        <v>8999</v>
      </c>
      <c r="Z49" s="29">
        <f t="shared" si="23"/>
        <v>10449</v>
      </c>
      <c r="AA49" s="2">
        <f t="shared" si="24"/>
        <v>1880</v>
      </c>
      <c r="AB49" s="2">
        <f t="shared" si="25"/>
        <v>1294</v>
      </c>
      <c r="AC49" s="2">
        <f t="shared" si="26"/>
        <v>1001</v>
      </c>
      <c r="AD49" s="2">
        <f t="shared" si="27"/>
        <v>825</v>
      </c>
      <c r="AE49" s="2">
        <f t="shared" si="28"/>
        <v>708</v>
      </c>
      <c r="AF49" s="2">
        <f t="shared" si="29"/>
        <v>561</v>
      </c>
      <c r="AG49" s="25">
        <f t="shared" si="30"/>
        <v>4200</v>
      </c>
      <c r="AH49" s="29">
        <f t="shared" si="31"/>
        <v>7799</v>
      </c>
      <c r="AI49" s="29">
        <f t="shared" si="32"/>
        <v>9249</v>
      </c>
      <c r="AJ49" s="2">
        <f t="shared" si="33"/>
        <v>1666</v>
      </c>
      <c r="AK49" s="2">
        <f t="shared" si="34"/>
        <v>1147</v>
      </c>
      <c r="AL49" s="2">
        <f t="shared" si="35"/>
        <v>887</v>
      </c>
      <c r="AM49" s="2">
        <f t="shared" si="36"/>
        <v>731</v>
      </c>
      <c r="AN49" s="2">
        <f t="shared" si="37"/>
        <v>628</v>
      </c>
      <c r="AO49" s="2">
        <f t="shared" si="38"/>
        <v>498</v>
      </c>
      <c r="AP49" s="25">
        <f t="shared" si="39"/>
        <v>4800</v>
      </c>
      <c r="AQ49" s="29">
        <f t="shared" si="40"/>
        <v>7199</v>
      </c>
      <c r="AR49" s="29">
        <f t="shared" si="41"/>
        <v>8649</v>
      </c>
      <c r="AS49" s="2">
        <f t="shared" si="42"/>
        <v>1560</v>
      </c>
      <c r="AT49" s="2">
        <f t="shared" si="43"/>
        <v>1073</v>
      </c>
      <c r="AU49" s="2">
        <f t="shared" si="44"/>
        <v>830</v>
      </c>
      <c r="AV49" s="2">
        <f t="shared" si="45"/>
        <v>684</v>
      </c>
      <c r="AW49" s="2">
        <f t="shared" si="46"/>
        <v>587</v>
      </c>
      <c r="AX49" s="2" t="str">
        <f t="shared" si="47"/>
        <v>-</v>
      </c>
    </row>
    <row r="50" ht="14.25" customHeight="1">
      <c r="A50" s="2" t="str">
        <f t="array" ref="A50">IFERROR(INDEX('Product Price'!A:A,SMALL('Product Price'!$D:$D,48)),"")</f>
        <v>Nubia NEO 5 Pro 5G 12/258 GB</v>
      </c>
      <c r="B50" s="29">
        <f t="array" ref="B50">IFERROR(INDEX('Product Price'!B:B,SMALL('Product Price'!$D:$D,48)),"")</f>
        <v>8999</v>
      </c>
      <c r="C50" s="2">
        <f t="array" ref="C50">IFERROR(INDEX('Product Price'!C:C,SMALL('Product Price'!$D:$D,48)),"")</f>
        <v>39</v>
      </c>
      <c r="D50" s="2">
        <f t="shared" si="1"/>
        <v>795</v>
      </c>
      <c r="E50" s="29">
        <f t="shared" si="2"/>
        <v>9794</v>
      </c>
      <c r="F50" s="25">
        <f t="shared" si="48"/>
        <v>1350</v>
      </c>
      <c r="G50" s="29">
        <f t="shared" si="4"/>
        <v>7649</v>
      </c>
      <c r="H50" s="29">
        <f t="shared" si="5"/>
        <v>8444</v>
      </c>
      <c r="I50" s="2">
        <f t="shared" si="6"/>
        <v>1515</v>
      </c>
      <c r="J50" s="2">
        <f t="shared" si="7"/>
        <v>1043</v>
      </c>
      <c r="K50" s="2">
        <f t="shared" si="8"/>
        <v>807</v>
      </c>
      <c r="L50" s="2">
        <f t="shared" si="9"/>
        <v>665</v>
      </c>
      <c r="M50" s="2">
        <f t="shared" si="10"/>
        <v>570</v>
      </c>
      <c r="N50" s="2">
        <f t="shared" si="11"/>
        <v>452</v>
      </c>
      <c r="O50" s="25">
        <f t="shared" si="12"/>
        <v>1800</v>
      </c>
      <c r="P50" s="29">
        <f t="shared" si="13"/>
        <v>7199</v>
      </c>
      <c r="Q50" s="29">
        <f t="shared" si="14"/>
        <v>7994</v>
      </c>
      <c r="R50" s="2">
        <f t="shared" si="15"/>
        <v>1435</v>
      </c>
      <c r="S50" s="2">
        <f t="shared" si="16"/>
        <v>987</v>
      </c>
      <c r="T50" s="2">
        <f t="shared" si="17"/>
        <v>764</v>
      </c>
      <c r="U50" s="2">
        <f t="shared" si="18"/>
        <v>630</v>
      </c>
      <c r="V50" s="2">
        <f t="shared" si="19"/>
        <v>540</v>
      </c>
      <c r="W50" s="2" t="str">
        <f t="shared" si="20"/>
        <v>-</v>
      </c>
      <c r="X50" s="25">
        <f t="shared" si="21"/>
        <v>2250</v>
      </c>
      <c r="Y50" s="29">
        <f t="shared" si="22"/>
        <v>6749</v>
      </c>
      <c r="Z50" s="29">
        <f t="shared" si="23"/>
        <v>7544</v>
      </c>
      <c r="AA50" s="2">
        <f t="shared" si="24"/>
        <v>1355</v>
      </c>
      <c r="AB50" s="2">
        <f t="shared" si="25"/>
        <v>932</v>
      </c>
      <c r="AC50" s="2">
        <f t="shared" si="26"/>
        <v>721</v>
      </c>
      <c r="AD50" s="2">
        <f t="shared" si="27"/>
        <v>595</v>
      </c>
      <c r="AE50" s="2">
        <f t="shared" si="28"/>
        <v>510</v>
      </c>
      <c r="AF50" s="2" t="str">
        <f t="shared" si="29"/>
        <v>-</v>
      </c>
      <c r="AG50" s="25">
        <f t="shared" si="30"/>
        <v>3150</v>
      </c>
      <c r="AH50" s="29">
        <f t="shared" si="31"/>
        <v>5849</v>
      </c>
      <c r="AI50" s="29">
        <f t="shared" si="32"/>
        <v>6644</v>
      </c>
      <c r="AJ50" s="2">
        <f t="shared" si="33"/>
        <v>1194</v>
      </c>
      <c r="AK50" s="2">
        <f t="shared" si="34"/>
        <v>822</v>
      </c>
      <c r="AL50" s="2">
        <f t="shared" si="35"/>
        <v>636</v>
      </c>
      <c r="AM50" s="2">
        <f t="shared" si="36"/>
        <v>524</v>
      </c>
      <c r="AN50" s="2" t="str">
        <f t="shared" si="37"/>
        <v>-</v>
      </c>
      <c r="AO50" s="2" t="str">
        <f t="shared" si="38"/>
        <v>-</v>
      </c>
      <c r="AP50" s="25">
        <f t="shared" si="39"/>
        <v>3600</v>
      </c>
      <c r="AQ50" s="29">
        <f t="shared" si="40"/>
        <v>5399</v>
      </c>
      <c r="AR50" s="29">
        <f t="shared" si="41"/>
        <v>6194</v>
      </c>
      <c r="AS50" s="2">
        <f t="shared" si="42"/>
        <v>1114</v>
      </c>
      <c r="AT50" s="2">
        <f t="shared" si="43"/>
        <v>767</v>
      </c>
      <c r="AU50" s="2">
        <f t="shared" si="44"/>
        <v>593</v>
      </c>
      <c r="AV50" s="2">
        <f t="shared" si="45"/>
        <v>489</v>
      </c>
      <c r="AW50" s="2" t="str">
        <f t="shared" si="46"/>
        <v>-</v>
      </c>
      <c r="AX50" s="2" t="str">
        <f t="shared" si="47"/>
        <v>-</v>
      </c>
    </row>
    <row r="51" ht="14.25" customHeight="1">
      <c r="A51" s="2" t="str">
        <f t="array" ref="A51">IFERROR(INDEX('Product Price'!A:A,SMALL('Product Price'!$D:$D,49)),"")</f>
        <v>Nubia NEO 5 5G 8/128 GB</v>
      </c>
      <c r="B51" s="29">
        <f t="array" ref="B51">IFERROR(INDEX('Product Price'!B:B,SMALL('Product Price'!$D:$D,49)),"")</f>
        <v>7999</v>
      </c>
      <c r="C51" s="2">
        <f t="array" ref="C51">IFERROR(INDEX('Product Price'!C:C,SMALL('Product Price'!$D:$D,49)),"")</f>
        <v>40</v>
      </c>
      <c r="D51" s="2">
        <f t="shared" si="1"/>
        <v>795</v>
      </c>
      <c r="E51" s="29">
        <f t="shared" si="2"/>
        <v>8794</v>
      </c>
      <c r="F51" s="25">
        <f t="shared" si="48"/>
        <v>1200</v>
      </c>
      <c r="G51" s="29">
        <f t="shared" si="4"/>
        <v>6799</v>
      </c>
      <c r="H51" s="29">
        <f t="shared" si="5"/>
        <v>7594</v>
      </c>
      <c r="I51" s="2">
        <f t="shared" si="6"/>
        <v>1363</v>
      </c>
      <c r="J51" s="2">
        <f t="shared" si="7"/>
        <v>938</v>
      </c>
      <c r="K51" s="2">
        <f t="shared" si="8"/>
        <v>726</v>
      </c>
      <c r="L51" s="2">
        <f t="shared" si="9"/>
        <v>598</v>
      </c>
      <c r="M51" s="2">
        <f t="shared" si="10"/>
        <v>513</v>
      </c>
      <c r="N51" s="2" t="str">
        <f t="shared" si="11"/>
        <v>-</v>
      </c>
      <c r="O51" s="25">
        <f t="shared" si="12"/>
        <v>1600</v>
      </c>
      <c r="P51" s="29">
        <f t="shared" si="13"/>
        <v>6399</v>
      </c>
      <c r="Q51" s="29">
        <f t="shared" si="14"/>
        <v>7194</v>
      </c>
      <c r="R51" s="2">
        <f t="shared" si="15"/>
        <v>1292</v>
      </c>
      <c r="S51" s="2">
        <f t="shared" si="16"/>
        <v>889</v>
      </c>
      <c r="T51" s="2">
        <f t="shared" si="17"/>
        <v>688</v>
      </c>
      <c r="U51" s="2">
        <f t="shared" si="18"/>
        <v>567</v>
      </c>
      <c r="V51" s="2">
        <f t="shared" si="19"/>
        <v>487</v>
      </c>
      <c r="W51" s="2" t="str">
        <f t="shared" si="20"/>
        <v>-</v>
      </c>
      <c r="X51" s="25">
        <f t="shared" si="21"/>
        <v>2000</v>
      </c>
      <c r="Y51" s="29">
        <f t="shared" si="22"/>
        <v>5999</v>
      </c>
      <c r="Z51" s="29">
        <f t="shared" si="23"/>
        <v>6794</v>
      </c>
      <c r="AA51" s="2">
        <f t="shared" si="24"/>
        <v>1221</v>
      </c>
      <c r="AB51" s="2">
        <f t="shared" si="25"/>
        <v>840</v>
      </c>
      <c r="AC51" s="2">
        <f t="shared" si="26"/>
        <v>650</v>
      </c>
      <c r="AD51" s="2">
        <f t="shared" si="27"/>
        <v>536</v>
      </c>
      <c r="AE51" s="2">
        <f t="shared" si="28"/>
        <v>460</v>
      </c>
      <c r="AF51" s="2" t="str">
        <f t="shared" si="29"/>
        <v>-</v>
      </c>
      <c r="AG51" s="25">
        <f t="shared" si="30"/>
        <v>2800</v>
      </c>
      <c r="AH51" s="29">
        <f t="shared" si="31"/>
        <v>5199</v>
      </c>
      <c r="AI51" s="29">
        <f t="shared" si="32"/>
        <v>5994</v>
      </c>
      <c r="AJ51" s="2">
        <f t="shared" si="33"/>
        <v>1078</v>
      </c>
      <c r="AK51" s="2">
        <f t="shared" si="34"/>
        <v>742</v>
      </c>
      <c r="AL51" s="2">
        <f t="shared" si="35"/>
        <v>574</v>
      </c>
      <c r="AM51" s="2">
        <f t="shared" si="36"/>
        <v>473</v>
      </c>
      <c r="AN51" s="2" t="str">
        <f t="shared" si="37"/>
        <v>-</v>
      </c>
      <c r="AO51" s="2" t="str">
        <f t="shared" si="38"/>
        <v>-</v>
      </c>
      <c r="AP51" s="25">
        <f t="shared" si="39"/>
        <v>3200</v>
      </c>
      <c r="AQ51" s="29">
        <f t="shared" si="40"/>
        <v>4799</v>
      </c>
      <c r="AR51" s="29">
        <f t="shared" si="41"/>
        <v>5594</v>
      </c>
      <c r="AS51" s="2">
        <f t="shared" si="42"/>
        <v>1007</v>
      </c>
      <c r="AT51" s="2">
        <f t="shared" si="43"/>
        <v>693</v>
      </c>
      <c r="AU51" s="2">
        <f t="shared" si="44"/>
        <v>536</v>
      </c>
      <c r="AV51" s="2" t="str">
        <f t="shared" si="45"/>
        <v>-</v>
      </c>
      <c r="AW51" s="2" t="str">
        <f t="shared" si="46"/>
        <v>-</v>
      </c>
      <c r="AX51" s="2" t="str">
        <f t="shared" si="47"/>
        <v>-</v>
      </c>
    </row>
    <row r="52" ht="14.25" customHeight="1">
      <c r="A52" s="2" t="str">
        <f t="array" ref="A52">IFERROR(INDEX('Product Price'!A:A,SMALL('Product Price'!$D:$D,50)),"")</f>
        <v>Nubia NEO 3 GT 5G 12/256 GB</v>
      </c>
      <c r="B52" s="29">
        <f t="array" ref="B52">IFERROR(INDEX('Product Price'!B:B,SMALL('Product Price'!$D:$D,50)),"")</f>
        <v>8499</v>
      </c>
      <c r="C52" s="2">
        <f t="array" ref="C52">IFERROR(INDEX('Product Price'!C:C,SMALL('Product Price'!$D:$D,50)),"")</f>
        <v>41</v>
      </c>
      <c r="D52" s="2">
        <f t="shared" si="1"/>
        <v>795</v>
      </c>
      <c r="E52" s="29">
        <f t="shared" si="2"/>
        <v>9294</v>
      </c>
      <c r="F52" s="25">
        <f t="shared" si="48"/>
        <v>1275</v>
      </c>
      <c r="G52" s="29">
        <f t="shared" si="4"/>
        <v>7224</v>
      </c>
      <c r="H52" s="29">
        <f t="shared" si="5"/>
        <v>8019</v>
      </c>
      <c r="I52" s="2">
        <f t="shared" si="6"/>
        <v>1439</v>
      </c>
      <c r="J52" s="2">
        <f t="shared" si="7"/>
        <v>991</v>
      </c>
      <c r="K52" s="2">
        <f t="shared" si="8"/>
        <v>766</v>
      </c>
      <c r="L52" s="2">
        <f t="shared" si="9"/>
        <v>632</v>
      </c>
      <c r="M52" s="2">
        <f t="shared" si="10"/>
        <v>542</v>
      </c>
      <c r="N52" s="2" t="str">
        <f t="shared" si="11"/>
        <v>-</v>
      </c>
      <c r="O52" s="25">
        <f t="shared" si="12"/>
        <v>1700</v>
      </c>
      <c r="P52" s="29">
        <f t="shared" si="13"/>
        <v>6799</v>
      </c>
      <c r="Q52" s="29">
        <f t="shared" si="14"/>
        <v>7594</v>
      </c>
      <c r="R52" s="2">
        <f t="shared" si="15"/>
        <v>1363</v>
      </c>
      <c r="S52" s="2">
        <f t="shared" si="16"/>
        <v>938</v>
      </c>
      <c r="T52" s="2">
        <f t="shared" si="17"/>
        <v>726</v>
      </c>
      <c r="U52" s="2">
        <f t="shared" si="18"/>
        <v>598</v>
      </c>
      <c r="V52" s="2">
        <f t="shared" si="19"/>
        <v>513</v>
      </c>
      <c r="W52" s="2" t="str">
        <f t="shared" si="20"/>
        <v>-</v>
      </c>
      <c r="X52" s="25">
        <f t="shared" si="21"/>
        <v>2125</v>
      </c>
      <c r="Y52" s="29">
        <f t="shared" si="22"/>
        <v>6374</v>
      </c>
      <c r="Z52" s="29">
        <f t="shared" si="23"/>
        <v>7169</v>
      </c>
      <c r="AA52" s="2">
        <f t="shared" si="24"/>
        <v>1288</v>
      </c>
      <c r="AB52" s="2">
        <f t="shared" si="25"/>
        <v>886</v>
      </c>
      <c r="AC52" s="2">
        <f t="shared" si="26"/>
        <v>686</v>
      </c>
      <c r="AD52" s="2">
        <f t="shared" si="27"/>
        <v>565</v>
      </c>
      <c r="AE52" s="2">
        <f t="shared" si="28"/>
        <v>485</v>
      </c>
      <c r="AF52" s="2" t="str">
        <f t="shared" si="29"/>
        <v>-</v>
      </c>
      <c r="AG52" s="25">
        <f t="shared" si="30"/>
        <v>2975</v>
      </c>
      <c r="AH52" s="29">
        <f t="shared" si="31"/>
        <v>5524</v>
      </c>
      <c r="AI52" s="29">
        <f t="shared" si="32"/>
        <v>6319</v>
      </c>
      <c r="AJ52" s="2">
        <f t="shared" si="33"/>
        <v>1136</v>
      </c>
      <c r="AK52" s="2">
        <f t="shared" si="34"/>
        <v>782</v>
      </c>
      <c r="AL52" s="2">
        <f t="shared" si="35"/>
        <v>605</v>
      </c>
      <c r="AM52" s="2">
        <f t="shared" si="36"/>
        <v>499</v>
      </c>
      <c r="AN52" s="2" t="str">
        <f t="shared" si="37"/>
        <v>-</v>
      </c>
      <c r="AO52" s="2" t="str">
        <f t="shared" si="38"/>
        <v>-</v>
      </c>
      <c r="AP52" s="25">
        <f t="shared" si="39"/>
        <v>3400</v>
      </c>
      <c r="AQ52" s="29">
        <f t="shared" si="40"/>
        <v>5099</v>
      </c>
      <c r="AR52" s="29">
        <f t="shared" si="41"/>
        <v>5894</v>
      </c>
      <c r="AS52" s="2">
        <f t="shared" si="42"/>
        <v>1061</v>
      </c>
      <c r="AT52" s="2">
        <f t="shared" si="43"/>
        <v>730</v>
      </c>
      <c r="AU52" s="2">
        <f t="shared" si="44"/>
        <v>565</v>
      </c>
      <c r="AV52" s="2" t="str">
        <f t="shared" si="45"/>
        <v>-</v>
      </c>
      <c r="AW52" s="2" t="str">
        <f t="shared" si="46"/>
        <v>-</v>
      </c>
      <c r="AX52" s="2" t="str">
        <f t="shared" si="47"/>
        <v>-</v>
      </c>
    </row>
    <row r="53" ht="14.25" customHeight="1">
      <c r="A53" s="2" t="str">
        <f t="array" ref="A53">IFERROR(INDEX('Product Price'!A:A,SMALL('Product Price'!$D:$D,51)),"")</f>
        <v>Nubia Air 5G 8/256 GB</v>
      </c>
      <c r="B53" s="29">
        <f t="array" ref="B53">IFERROR(INDEX('Product Price'!B:B,SMALL('Product Price'!$D:$D,51)),"")</f>
        <v>7499</v>
      </c>
      <c r="C53" s="2">
        <f t="array" ref="C53">IFERROR(INDEX('Product Price'!C:C,SMALL('Product Price'!$D:$D,51)),"")</f>
        <v>42</v>
      </c>
      <c r="D53" s="2">
        <f t="shared" si="1"/>
        <v>795</v>
      </c>
      <c r="E53" s="29">
        <f t="shared" si="2"/>
        <v>8294</v>
      </c>
      <c r="F53" s="25">
        <f t="shared" si="48"/>
        <v>1125</v>
      </c>
      <c r="G53" s="29">
        <f t="shared" si="4"/>
        <v>6374</v>
      </c>
      <c r="H53" s="29">
        <f t="shared" si="5"/>
        <v>7169</v>
      </c>
      <c r="I53" s="2">
        <f t="shared" si="6"/>
        <v>1288</v>
      </c>
      <c r="J53" s="2">
        <f t="shared" si="7"/>
        <v>886</v>
      </c>
      <c r="K53" s="2">
        <f t="shared" si="8"/>
        <v>686</v>
      </c>
      <c r="L53" s="2">
        <f t="shared" si="9"/>
        <v>565</v>
      </c>
      <c r="M53" s="2">
        <f t="shared" si="10"/>
        <v>485</v>
      </c>
      <c r="N53" s="2" t="str">
        <f t="shared" si="11"/>
        <v>-</v>
      </c>
      <c r="O53" s="25">
        <f t="shared" si="12"/>
        <v>1500</v>
      </c>
      <c r="P53" s="29">
        <f t="shared" si="13"/>
        <v>5999</v>
      </c>
      <c r="Q53" s="29">
        <f t="shared" si="14"/>
        <v>6794</v>
      </c>
      <c r="R53" s="2">
        <f t="shared" si="15"/>
        <v>1221</v>
      </c>
      <c r="S53" s="2">
        <f t="shared" si="16"/>
        <v>840</v>
      </c>
      <c r="T53" s="2">
        <f t="shared" si="17"/>
        <v>650</v>
      </c>
      <c r="U53" s="2">
        <f t="shared" si="18"/>
        <v>536</v>
      </c>
      <c r="V53" s="2">
        <f t="shared" si="19"/>
        <v>460</v>
      </c>
      <c r="W53" s="2" t="str">
        <f t="shared" si="20"/>
        <v>-</v>
      </c>
      <c r="X53" s="25">
        <f t="shared" si="21"/>
        <v>1875</v>
      </c>
      <c r="Y53" s="29">
        <f t="shared" si="22"/>
        <v>5624</v>
      </c>
      <c r="Z53" s="29">
        <f t="shared" si="23"/>
        <v>6419</v>
      </c>
      <c r="AA53" s="2">
        <f t="shared" si="24"/>
        <v>1154</v>
      </c>
      <c r="AB53" s="2">
        <f t="shared" si="25"/>
        <v>794</v>
      </c>
      <c r="AC53" s="2">
        <f t="shared" si="26"/>
        <v>615</v>
      </c>
      <c r="AD53" s="2">
        <f t="shared" si="27"/>
        <v>507</v>
      </c>
      <c r="AE53" s="2" t="str">
        <f t="shared" si="28"/>
        <v>-</v>
      </c>
      <c r="AF53" s="2" t="str">
        <f t="shared" si="29"/>
        <v>-</v>
      </c>
      <c r="AG53" s="25">
        <f t="shared" si="30"/>
        <v>2625</v>
      </c>
      <c r="AH53" s="29">
        <f t="shared" si="31"/>
        <v>4874</v>
      </c>
      <c r="AI53" s="29">
        <f t="shared" si="32"/>
        <v>5669</v>
      </c>
      <c r="AJ53" s="2">
        <f t="shared" si="33"/>
        <v>1020</v>
      </c>
      <c r="AK53" s="2">
        <f t="shared" si="34"/>
        <v>702</v>
      </c>
      <c r="AL53" s="2">
        <f t="shared" si="35"/>
        <v>543</v>
      </c>
      <c r="AM53" s="2" t="str">
        <f t="shared" si="36"/>
        <v>-</v>
      </c>
      <c r="AN53" s="2" t="str">
        <f t="shared" si="37"/>
        <v>-</v>
      </c>
      <c r="AO53" s="2" t="str">
        <f t="shared" si="38"/>
        <v>-</v>
      </c>
      <c r="AP53" s="25">
        <f t="shared" si="39"/>
        <v>3000</v>
      </c>
      <c r="AQ53" s="29">
        <f t="shared" si="40"/>
        <v>4499</v>
      </c>
      <c r="AR53" s="29">
        <f t="shared" si="41"/>
        <v>5294</v>
      </c>
      <c r="AS53" s="2">
        <f t="shared" si="42"/>
        <v>954</v>
      </c>
      <c r="AT53" s="2">
        <f t="shared" si="43"/>
        <v>656</v>
      </c>
      <c r="AU53" s="2">
        <f t="shared" si="44"/>
        <v>508</v>
      </c>
      <c r="AV53" s="2" t="str">
        <f t="shared" si="45"/>
        <v>-</v>
      </c>
      <c r="AW53" s="2" t="str">
        <f t="shared" si="46"/>
        <v>-</v>
      </c>
      <c r="AX53" s="2" t="str">
        <f t="shared" si="47"/>
        <v>-</v>
      </c>
    </row>
    <row r="54" ht="14.25" customHeight="1">
      <c r="A54" s="2" t="str">
        <f t="array" ref="A54">IFERROR(INDEX('Product Price'!A:A,SMALL('Product Price'!$D:$D,52)),"")</f>
        <v>Nubia NEO 3 5G 8/256 GB</v>
      </c>
      <c r="B54" s="29">
        <f t="array" ref="B54">IFERROR(INDEX('Product Price'!B:B,SMALL('Product Price'!$D:$D,52)),"")</f>
        <v>6499</v>
      </c>
      <c r="C54" s="2">
        <f t="array" ref="C54">IFERROR(INDEX('Product Price'!C:C,SMALL('Product Price'!$D:$D,52)),"")</f>
        <v>43</v>
      </c>
      <c r="D54" s="2">
        <f t="shared" si="1"/>
        <v>795</v>
      </c>
      <c r="E54" s="29">
        <f t="shared" si="2"/>
        <v>7294</v>
      </c>
      <c r="F54" s="25">
        <f t="shared" si="48"/>
        <v>975</v>
      </c>
      <c r="G54" s="29">
        <f t="shared" si="4"/>
        <v>5524</v>
      </c>
      <c r="H54" s="29">
        <f t="shared" si="5"/>
        <v>6319</v>
      </c>
      <c r="I54" s="2">
        <f t="shared" si="6"/>
        <v>1136</v>
      </c>
      <c r="J54" s="2">
        <f t="shared" si="7"/>
        <v>782</v>
      </c>
      <c r="K54" s="2">
        <f t="shared" si="8"/>
        <v>605</v>
      </c>
      <c r="L54" s="2">
        <f t="shared" si="9"/>
        <v>499</v>
      </c>
      <c r="M54" s="2" t="str">
        <f t="shared" si="10"/>
        <v>-</v>
      </c>
      <c r="N54" s="2" t="str">
        <f t="shared" si="11"/>
        <v>-</v>
      </c>
      <c r="O54" s="25">
        <f t="shared" si="12"/>
        <v>1300</v>
      </c>
      <c r="P54" s="29">
        <f t="shared" si="13"/>
        <v>5199</v>
      </c>
      <c r="Q54" s="29">
        <f t="shared" si="14"/>
        <v>5994</v>
      </c>
      <c r="R54" s="2">
        <f t="shared" si="15"/>
        <v>1078</v>
      </c>
      <c r="S54" s="2">
        <f t="shared" si="16"/>
        <v>742</v>
      </c>
      <c r="T54" s="2">
        <f t="shared" si="17"/>
        <v>574</v>
      </c>
      <c r="U54" s="2">
        <f t="shared" si="18"/>
        <v>473</v>
      </c>
      <c r="V54" s="2" t="str">
        <f t="shared" si="19"/>
        <v>-</v>
      </c>
      <c r="W54" s="2" t="str">
        <f t="shared" si="20"/>
        <v>-</v>
      </c>
      <c r="X54" s="25">
        <f t="shared" si="21"/>
        <v>1625</v>
      </c>
      <c r="Y54" s="29">
        <f t="shared" si="22"/>
        <v>4874</v>
      </c>
      <c r="Z54" s="29">
        <f t="shared" si="23"/>
        <v>5669</v>
      </c>
      <c r="AA54" s="2">
        <f t="shared" si="24"/>
        <v>1020</v>
      </c>
      <c r="AB54" s="2">
        <f t="shared" si="25"/>
        <v>702</v>
      </c>
      <c r="AC54" s="2">
        <f t="shared" si="26"/>
        <v>543</v>
      </c>
      <c r="AD54" s="2" t="str">
        <f t="shared" si="27"/>
        <v>-</v>
      </c>
      <c r="AE54" s="2" t="str">
        <f t="shared" si="28"/>
        <v>-</v>
      </c>
      <c r="AF54" s="2" t="str">
        <f t="shared" si="29"/>
        <v>-</v>
      </c>
      <c r="AG54" s="25">
        <f t="shared" si="30"/>
        <v>2275</v>
      </c>
      <c r="AH54" s="29">
        <f t="shared" si="31"/>
        <v>4224</v>
      </c>
      <c r="AI54" s="29">
        <f t="shared" si="32"/>
        <v>5019</v>
      </c>
      <c r="AJ54" s="2">
        <f t="shared" si="33"/>
        <v>905</v>
      </c>
      <c r="AK54" s="2">
        <f t="shared" si="34"/>
        <v>623</v>
      </c>
      <c r="AL54" s="2">
        <f t="shared" si="35"/>
        <v>482</v>
      </c>
      <c r="AM54" s="2" t="str">
        <f t="shared" si="36"/>
        <v>-</v>
      </c>
      <c r="AN54" s="2" t="str">
        <f t="shared" si="37"/>
        <v>-</v>
      </c>
      <c r="AO54" s="2" t="str">
        <f t="shared" si="38"/>
        <v>-</v>
      </c>
      <c r="AP54" s="25">
        <f t="shared" si="39"/>
        <v>2600</v>
      </c>
      <c r="AQ54" s="29">
        <f t="shared" si="40"/>
        <v>3899</v>
      </c>
      <c r="AR54" s="29">
        <f t="shared" si="41"/>
        <v>4694</v>
      </c>
      <c r="AS54" s="2">
        <f t="shared" si="42"/>
        <v>847</v>
      </c>
      <c r="AT54" s="2">
        <f t="shared" si="43"/>
        <v>583</v>
      </c>
      <c r="AU54" s="2" t="str">
        <f t="shared" si="44"/>
        <v>-</v>
      </c>
      <c r="AV54" s="2" t="str">
        <f t="shared" si="45"/>
        <v>-</v>
      </c>
      <c r="AW54" s="2" t="str">
        <f t="shared" si="46"/>
        <v>-</v>
      </c>
      <c r="AX54" s="2" t="str">
        <f t="shared" si="47"/>
        <v>-</v>
      </c>
    </row>
    <row r="55" ht="14.25" customHeight="1">
      <c r="A55" s="2" t="str">
        <f t="array" ref="A55">IFERROR(INDEX('Product Price'!A:A,SMALL('Product Price'!$D:$D,53)),"")</f>
        <v>realme 16 Pro+ 5G 12/512 GB</v>
      </c>
      <c r="B55" s="29">
        <f t="array" ref="B55">IFERROR(INDEX('Product Price'!B:B,SMALL('Product Price'!$D:$D,53)),"")</f>
        <v>23999</v>
      </c>
      <c r="C55" s="2">
        <f t="array" ref="C55">IFERROR(INDEX('Product Price'!C:C,SMALL('Product Price'!$D:$D,53)),"")</f>
        <v>44</v>
      </c>
      <c r="D55" s="2">
        <f t="shared" si="1"/>
        <v>1900</v>
      </c>
      <c r="E55" s="29">
        <f t="shared" si="2"/>
        <v>25899</v>
      </c>
      <c r="F55" s="25">
        <f t="shared" si="48"/>
        <v>3600</v>
      </c>
      <c r="G55" s="29">
        <f t="shared" si="4"/>
        <v>20399</v>
      </c>
      <c r="H55" s="29">
        <f t="shared" si="5"/>
        <v>22299</v>
      </c>
      <c r="I55" s="2">
        <f t="shared" si="6"/>
        <v>3997</v>
      </c>
      <c r="J55" s="2">
        <f t="shared" si="7"/>
        <v>2751</v>
      </c>
      <c r="K55" s="2">
        <f t="shared" si="8"/>
        <v>2128</v>
      </c>
      <c r="L55" s="2">
        <f t="shared" si="9"/>
        <v>1754</v>
      </c>
      <c r="M55" s="2">
        <f t="shared" si="10"/>
        <v>1505</v>
      </c>
      <c r="N55" s="2">
        <f t="shared" si="11"/>
        <v>1193</v>
      </c>
      <c r="O55" s="25">
        <f t="shared" si="12"/>
        <v>4800</v>
      </c>
      <c r="P55" s="29">
        <f t="shared" si="13"/>
        <v>19199</v>
      </c>
      <c r="Q55" s="29">
        <f t="shared" si="14"/>
        <v>21099</v>
      </c>
      <c r="R55" s="2">
        <f t="shared" si="15"/>
        <v>3783</v>
      </c>
      <c r="S55" s="2">
        <f t="shared" si="16"/>
        <v>2604</v>
      </c>
      <c r="T55" s="2">
        <f t="shared" si="17"/>
        <v>2014</v>
      </c>
      <c r="U55" s="2">
        <f t="shared" si="18"/>
        <v>1660</v>
      </c>
      <c r="V55" s="2">
        <f t="shared" si="19"/>
        <v>1424</v>
      </c>
      <c r="W55" s="2">
        <f t="shared" si="20"/>
        <v>1129</v>
      </c>
      <c r="X55" s="25">
        <f t="shared" si="21"/>
        <v>6000</v>
      </c>
      <c r="Y55" s="29">
        <f t="shared" si="22"/>
        <v>17999</v>
      </c>
      <c r="Z55" s="29">
        <f t="shared" si="23"/>
        <v>19899</v>
      </c>
      <c r="AA55" s="2">
        <f t="shared" si="24"/>
        <v>3570</v>
      </c>
      <c r="AB55" s="2">
        <f t="shared" si="25"/>
        <v>2457</v>
      </c>
      <c r="AC55" s="2">
        <f t="shared" si="26"/>
        <v>1900</v>
      </c>
      <c r="AD55" s="2">
        <f t="shared" si="27"/>
        <v>1566</v>
      </c>
      <c r="AE55" s="2">
        <f t="shared" si="28"/>
        <v>1344</v>
      </c>
      <c r="AF55" s="2">
        <f t="shared" si="29"/>
        <v>1066</v>
      </c>
      <c r="AG55" s="25">
        <f t="shared" si="30"/>
        <v>8400</v>
      </c>
      <c r="AH55" s="29">
        <f t="shared" si="31"/>
        <v>15599</v>
      </c>
      <c r="AI55" s="29">
        <f t="shared" si="32"/>
        <v>17499</v>
      </c>
      <c r="AJ55" s="2">
        <f t="shared" si="33"/>
        <v>3142</v>
      </c>
      <c r="AK55" s="2">
        <f t="shared" si="34"/>
        <v>2162</v>
      </c>
      <c r="AL55" s="2">
        <f t="shared" si="35"/>
        <v>1673</v>
      </c>
      <c r="AM55" s="2">
        <f t="shared" si="36"/>
        <v>1379</v>
      </c>
      <c r="AN55" s="2">
        <f t="shared" si="37"/>
        <v>1183</v>
      </c>
      <c r="AO55" s="2">
        <f t="shared" si="38"/>
        <v>938</v>
      </c>
      <c r="AP55" s="25">
        <f t="shared" si="39"/>
        <v>9600</v>
      </c>
      <c r="AQ55" s="29">
        <f t="shared" si="40"/>
        <v>14399</v>
      </c>
      <c r="AR55" s="29">
        <f t="shared" si="41"/>
        <v>16299</v>
      </c>
      <c r="AS55" s="2">
        <f t="shared" si="42"/>
        <v>2928</v>
      </c>
      <c r="AT55" s="2">
        <f t="shared" si="43"/>
        <v>2015</v>
      </c>
      <c r="AU55" s="2">
        <f t="shared" si="44"/>
        <v>1559</v>
      </c>
      <c r="AV55" s="2">
        <f t="shared" si="45"/>
        <v>1285</v>
      </c>
      <c r="AW55" s="2">
        <f t="shared" si="46"/>
        <v>1102</v>
      </c>
      <c r="AX55" s="2">
        <f t="shared" si="47"/>
        <v>874</v>
      </c>
    </row>
    <row r="56" ht="14.25" customHeight="1">
      <c r="A56" s="2" t="str">
        <f t="array" ref="A56">IFERROR(INDEX('Product Price'!A:A,SMALL('Product Price'!$D:$D,54)),"")</f>
        <v>realme 16 Pro+ 5G 12/256 GB</v>
      </c>
      <c r="B56" s="29">
        <f t="array" ref="B56">IFERROR(INDEX('Product Price'!B:B,SMALL('Product Price'!$D:$D,54)),"")</f>
        <v>17499</v>
      </c>
      <c r="C56" s="2">
        <f t="array" ref="C56">IFERROR(INDEX('Product Price'!C:C,SMALL('Product Price'!$D:$D,54)),"")</f>
        <v>45</v>
      </c>
      <c r="D56" s="2">
        <f t="shared" si="1"/>
        <v>1450</v>
      </c>
      <c r="E56" s="29">
        <f t="shared" si="2"/>
        <v>18949</v>
      </c>
      <c r="F56" s="25">
        <f t="shared" si="48"/>
        <v>2625</v>
      </c>
      <c r="G56" s="29">
        <f t="shared" si="4"/>
        <v>14874</v>
      </c>
      <c r="H56" s="29">
        <f t="shared" si="5"/>
        <v>16324</v>
      </c>
      <c r="I56" s="2">
        <f t="shared" si="6"/>
        <v>2927</v>
      </c>
      <c r="J56" s="2">
        <f t="shared" si="7"/>
        <v>2014</v>
      </c>
      <c r="K56" s="2">
        <f t="shared" si="8"/>
        <v>1558</v>
      </c>
      <c r="L56" s="2">
        <f t="shared" si="9"/>
        <v>1284</v>
      </c>
      <c r="M56" s="2">
        <f t="shared" si="10"/>
        <v>1102</v>
      </c>
      <c r="N56" s="2">
        <f t="shared" si="11"/>
        <v>874</v>
      </c>
      <c r="O56" s="25">
        <f t="shared" si="12"/>
        <v>3500</v>
      </c>
      <c r="P56" s="29">
        <f t="shared" si="13"/>
        <v>13999</v>
      </c>
      <c r="Q56" s="29">
        <f t="shared" si="14"/>
        <v>15449</v>
      </c>
      <c r="R56" s="2">
        <f t="shared" si="15"/>
        <v>2771</v>
      </c>
      <c r="S56" s="2">
        <f t="shared" si="16"/>
        <v>1907</v>
      </c>
      <c r="T56" s="2">
        <f t="shared" si="17"/>
        <v>1475</v>
      </c>
      <c r="U56" s="2">
        <f t="shared" si="18"/>
        <v>1216</v>
      </c>
      <c r="V56" s="2">
        <f t="shared" si="19"/>
        <v>1043</v>
      </c>
      <c r="W56" s="2">
        <f t="shared" si="20"/>
        <v>827</v>
      </c>
      <c r="X56" s="25">
        <f t="shared" si="21"/>
        <v>4375</v>
      </c>
      <c r="Y56" s="29">
        <f t="shared" si="22"/>
        <v>13124</v>
      </c>
      <c r="Z56" s="29">
        <f t="shared" si="23"/>
        <v>14574</v>
      </c>
      <c r="AA56" s="2">
        <f t="shared" si="24"/>
        <v>2615</v>
      </c>
      <c r="AB56" s="2">
        <f t="shared" si="25"/>
        <v>1800</v>
      </c>
      <c r="AC56" s="2">
        <f t="shared" si="26"/>
        <v>1392</v>
      </c>
      <c r="AD56" s="2">
        <f t="shared" si="27"/>
        <v>1148</v>
      </c>
      <c r="AE56" s="2">
        <f t="shared" si="28"/>
        <v>985</v>
      </c>
      <c r="AF56" s="2">
        <f t="shared" si="29"/>
        <v>781</v>
      </c>
      <c r="AG56" s="25">
        <f t="shared" si="30"/>
        <v>6125</v>
      </c>
      <c r="AH56" s="29">
        <f t="shared" si="31"/>
        <v>11374</v>
      </c>
      <c r="AI56" s="29">
        <f t="shared" si="32"/>
        <v>12824</v>
      </c>
      <c r="AJ56" s="2">
        <f t="shared" si="33"/>
        <v>2303</v>
      </c>
      <c r="AK56" s="2">
        <f t="shared" si="34"/>
        <v>1585</v>
      </c>
      <c r="AL56" s="2">
        <f t="shared" si="35"/>
        <v>1226</v>
      </c>
      <c r="AM56" s="2">
        <f t="shared" si="36"/>
        <v>1011</v>
      </c>
      <c r="AN56" s="2">
        <f t="shared" si="37"/>
        <v>867</v>
      </c>
      <c r="AO56" s="2">
        <f t="shared" si="38"/>
        <v>688</v>
      </c>
      <c r="AP56" s="25">
        <f t="shared" si="39"/>
        <v>7000</v>
      </c>
      <c r="AQ56" s="29">
        <f t="shared" si="40"/>
        <v>10499</v>
      </c>
      <c r="AR56" s="29">
        <f t="shared" si="41"/>
        <v>11949</v>
      </c>
      <c r="AS56" s="2">
        <f t="shared" si="42"/>
        <v>2147</v>
      </c>
      <c r="AT56" s="2">
        <f t="shared" si="43"/>
        <v>1478</v>
      </c>
      <c r="AU56" s="2">
        <f t="shared" si="44"/>
        <v>1143</v>
      </c>
      <c r="AV56" s="2">
        <f t="shared" si="45"/>
        <v>942</v>
      </c>
      <c r="AW56" s="2">
        <f t="shared" si="46"/>
        <v>809</v>
      </c>
      <c r="AX56" s="2">
        <f t="shared" si="47"/>
        <v>641</v>
      </c>
    </row>
    <row r="57" ht="14.25" customHeight="1">
      <c r="A57" s="2" t="str">
        <f t="array" ref="A57">IFERROR(INDEX('Product Price'!A:A,SMALL('Product Price'!$D:$D,55)),"")</f>
        <v>realme 16 Pro 5G 12/512 GB</v>
      </c>
      <c r="B57" s="29">
        <f t="array" ref="B57">IFERROR(INDEX('Product Price'!B:B,SMALL('Product Price'!$D:$D,55)),"")</f>
        <v>18999</v>
      </c>
      <c r="C57" s="2">
        <f t="array" ref="C57">IFERROR(INDEX('Product Price'!C:C,SMALL('Product Price'!$D:$D,55)),"")</f>
        <v>46</v>
      </c>
      <c r="D57" s="2">
        <f t="shared" si="1"/>
        <v>1450</v>
      </c>
      <c r="E57" s="29">
        <f t="shared" si="2"/>
        <v>20449</v>
      </c>
      <c r="F57" s="25">
        <f t="shared" si="48"/>
        <v>2850</v>
      </c>
      <c r="G57" s="29">
        <f t="shared" si="4"/>
        <v>16149</v>
      </c>
      <c r="H57" s="29">
        <f t="shared" si="5"/>
        <v>17599</v>
      </c>
      <c r="I57" s="2">
        <f t="shared" si="6"/>
        <v>3154</v>
      </c>
      <c r="J57" s="2">
        <f t="shared" si="7"/>
        <v>2171</v>
      </c>
      <c r="K57" s="2">
        <f t="shared" si="8"/>
        <v>1679</v>
      </c>
      <c r="L57" s="2">
        <f t="shared" si="9"/>
        <v>1384</v>
      </c>
      <c r="M57" s="2">
        <f t="shared" si="10"/>
        <v>1187</v>
      </c>
      <c r="N57" s="2">
        <f t="shared" si="11"/>
        <v>942</v>
      </c>
      <c r="O57" s="25">
        <f t="shared" si="12"/>
        <v>3800</v>
      </c>
      <c r="P57" s="29">
        <f t="shared" si="13"/>
        <v>15199</v>
      </c>
      <c r="Q57" s="29">
        <f t="shared" si="14"/>
        <v>16649</v>
      </c>
      <c r="R57" s="2">
        <f t="shared" si="15"/>
        <v>2985</v>
      </c>
      <c r="S57" s="2">
        <f t="shared" si="16"/>
        <v>2054</v>
      </c>
      <c r="T57" s="2">
        <f t="shared" si="17"/>
        <v>1589</v>
      </c>
      <c r="U57" s="2">
        <f t="shared" si="18"/>
        <v>1310</v>
      </c>
      <c r="V57" s="2">
        <f t="shared" si="19"/>
        <v>1124</v>
      </c>
      <c r="W57" s="2">
        <f t="shared" si="20"/>
        <v>891</v>
      </c>
      <c r="X57" s="25">
        <f t="shared" si="21"/>
        <v>4750</v>
      </c>
      <c r="Y57" s="29">
        <f t="shared" si="22"/>
        <v>14249</v>
      </c>
      <c r="Z57" s="29">
        <f t="shared" si="23"/>
        <v>15699</v>
      </c>
      <c r="AA57" s="2">
        <f t="shared" si="24"/>
        <v>2816</v>
      </c>
      <c r="AB57" s="2">
        <f t="shared" si="25"/>
        <v>1938</v>
      </c>
      <c r="AC57" s="2">
        <f t="shared" si="26"/>
        <v>1499</v>
      </c>
      <c r="AD57" s="2">
        <f t="shared" si="27"/>
        <v>1236</v>
      </c>
      <c r="AE57" s="2">
        <f t="shared" si="28"/>
        <v>1060</v>
      </c>
      <c r="AF57" s="2">
        <f t="shared" si="29"/>
        <v>841</v>
      </c>
      <c r="AG57" s="25">
        <f t="shared" si="30"/>
        <v>6650</v>
      </c>
      <c r="AH57" s="29">
        <f t="shared" si="31"/>
        <v>12349</v>
      </c>
      <c r="AI57" s="29">
        <f t="shared" si="32"/>
        <v>13799</v>
      </c>
      <c r="AJ57" s="2">
        <f t="shared" si="33"/>
        <v>2477</v>
      </c>
      <c r="AK57" s="2">
        <f t="shared" si="34"/>
        <v>1705</v>
      </c>
      <c r="AL57" s="2">
        <f t="shared" si="35"/>
        <v>1319</v>
      </c>
      <c r="AM57" s="2">
        <f t="shared" si="36"/>
        <v>1087</v>
      </c>
      <c r="AN57" s="2">
        <f t="shared" si="37"/>
        <v>933</v>
      </c>
      <c r="AO57" s="2">
        <f t="shared" si="38"/>
        <v>740</v>
      </c>
      <c r="AP57" s="25">
        <f t="shared" si="39"/>
        <v>7600</v>
      </c>
      <c r="AQ57" s="29">
        <f t="shared" si="40"/>
        <v>11399</v>
      </c>
      <c r="AR57" s="29">
        <f t="shared" si="41"/>
        <v>12849</v>
      </c>
      <c r="AS57" s="2">
        <f t="shared" si="42"/>
        <v>2308</v>
      </c>
      <c r="AT57" s="2">
        <f t="shared" si="43"/>
        <v>1588</v>
      </c>
      <c r="AU57" s="2">
        <f t="shared" si="44"/>
        <v>1229</v>
      </c>
      <c r="AV57" s="2">
        <f t="shared" si="45"/>
        <v>1013</v>
      </c>
      <c r="AW57" s="2">
        <f t="shared" si="46"/>
        <v>869</v>
      </c>
      <c r="AX57" s="2">
        <f t="shared" si="47"/>
        <v>689</v>
      </c>
    </row>
    <row r="58" ht="14.25" customHeight="1">
      <c r="A58" s="2" t="str">
        <f t="array" ref="A58">IFERROR(INDEX('Product Price'!A:A,SMALL('Product Price'!$D:$D,56)),"")</f>
        <v>realme 16 Pro 5G 12/256 GB</v>
      </c>
      <c r="B58" s="29">
        <f t="array" ref="B58">IFERROR(INDEX('Product Price'!B:B,SMALL('Product Price'!$D:$D,56)),"")</f>
        <v>16999</v>
      </c>
      <c r="C58" s="2">
        <f t="array" ref="C58">IFERROR(INDEX('Product Price'!C:C,SMALL('Product Price'!$D:$D,56)),"")</f>
        <v>47</v>
      </c>
      <c r="D58" s="2">
        <f t="shared" si="1"/>
        <v>1450</v>
      </c>
      <c r="E58" s="29">
        <f t="shared" si="2"/>
        <v>18449</v>
      </c>
      <c r="F58" s="25">
        <f t="shared" si="48"/>
        <v>2550</v>
      </c>
      <c r="G58" s="29">
        <f t="shared" si="4"/>
        <v>14449</v>
      </c>
      <c r="H58" s="29">
        <f t="shared" si="5"/>
        <v>15899</v>
      </c>
      <c r="I58" s="2">
        <f t="shared" si="6"/>
        <v>2851</v>
      </c>
      <c r="J58" s="2">
        <f t="shared" si="7"/>
        <v>1962</v>
      </c>
      <c r="K58" s="2">
        <f t="shared" si="8"/>
        <v>1518</v>
      </c>
      <c r="L58" s="2">
        <f t="shared" si="9"/>
        <v>1251</v>
      </c>
      <c r="M58" s="2">
        <f t="shared" si="10"/>
        <v>1073</v>
      </c>
      <c r="N58" s="2">
        <f t="shared" si="11"/>
        <v>851</v>
      </c>
      <c r="O58" s="25">
        <f t="shared" si="12"/>
        <v>3400</v>
      </c>
      <c r="P58" s="29">
        <f t="shared" si="13"/>
        <v>13599</v>
      </c>
      <c r="Q58" s="29">
        <f t="shared" si="14"/>
        <v>15049</v>
      </c>
      <c r="R58" s="2">
        <f t="shared" si="15"/>
        <v>2700</v>
      </c>
      <c r="S58" s="2">
        <f t="shared" si="16"/>
        <v>1858</v>
      </c>
      <c r="T58" s="2">
        <f t="shared" si="17"/>
        <v>1437</v>
      </c>
      <c r="U58" s="2">
        <f t="shared" si="18"/>
        <v>1185</v>
      </c>
      <c r="V58" s="2">
        <f t="shared" si="19"/>
        <v>1016</v>
      </c>
      <c r="W58" s="2">
        <f t="shared" si="20"/>
        <v>806</v>
      </c>
      <c r="X58" s="25">
        <f t="shared" si="21"/>
        <v>4250</v>
      </c>
      <c r="Y58" s="29">
        <f t="shared" si="22"/>
        <v>12749</v>
      </c>
      <c r="Z58" s="29">
        <f t="shared" si="23"/>
        <v>14199</v>
      </c>
      <c r="AA58" s="2">
        <f t="shared" si="24"/>
        <v>2548</v>
      </c>
      <c r="AB58" s="2">
        <f t="shared" si="25"/>
        <v>1754</v>
      </c>
      <c r="AC58" s="2">
        <f t="shared" si="26"/>
        <v>1357</v>
      </c>
      <c r="AD58" s="2">
        <f t="shared" si="27"/>
        <v>1118</v>
      </c>
      <c r="AE58" s="2">
        <f t="shared" si="28"/>
        <v>959</v>
      </c>
      <c r="AF58" s="2">
        <f t="shared" si="29"/>
        <v>761</v>
      </c>
      <c r="AG58" s="25">
        <f t="shared" si="30"/>
        <v>5950</v>
      </c>
      <c r="AH58" s="29">
        <f t="shared" si="31"/>
        <v>11049</v>
      </c>
      <c r="AI58" s="29">
        <f t="shared" si="32"/>
        <v>12499</v>
      </c>
      <c r="AJ58" s="2">
        <f t="shared" si="33"/>
        <v>2245</v>
      </c>
      <c r="AK58" s="2">
        <f t="shared" si="34"/>
        <v>1545</v>
      </c>
      <c r="AL58" s="2">
        <f t="shared" si="35"/>
        <v>1195</v>
      </c>
      <c r="AM58" s="2">
        <f t="shared" si="36"/>
        <v>985</v>
      </c>
      <c r="AN58" s="2">
        <f t="shared" si="37"/>
        <v>845</v>
      </c>
      <c r="AO58" s="2">
        <f t="shared" si="38"/>
        <v>670</v>
      </c>
      <c r="AP58" s="25">
        <f t="shared" si="39"/>
        <v>6800</v>
      </c>
      <c r="AQ58" s="29">
        <f t="shared" si="40"/>
        <v>10199</v>
      </c>
      <c r="AR58" s="29">
        <f t="shared" si="41"/>
        <v>11649</v>
      </c>
      <c r="AS58" s="2">
        <f t="shared" si="42"/>
        <v>2094</v>
      </c>
      <c r="AT58" s="2">
        <f t="shared" si="43"/>
        <v>1441</v>
      </c>
      <c r="AU58" s="2">
        <f t="shared" si="44"/>
        <v>1115</v>
      </c>
      <c r="AV58" s="2">
        <f t="shared" si="45"/>
        <v>919</v>
      </c>
      <c r="AW58" s="2">
        <f t="shared" si="46"/>
        <v>788</v>
      </c>
      <c r="AX58" s="2">
        <f t="shared" si="47"/>
        <v>625</v>
      </c>
    </row>
    <row r="59" ht="14.25" customHeight="1">
      <c r="A59" s="2" t="str">
        <f t="array" ref="A59">IFERROR(INDEX('Product Price'!A:A,SMALL('Product Price'!$D:$D,57)),"")</f>
        <v>realme 16 5G 8/256 GB</v>
      </c>
      <c r="B59" s="29">
        <f t="array" ref="B59">IFERROR(INDEX('Product Price'!B:B,SMALL('Product Price'!$D:$D,57)),"")</f>
        <v>13999</v>
      </c>
      <c r="C59" s="2">
        <f t="array" ref="C59">IFERROR(INDEX('Product Price'!C:C,SMALL('Product Price'!$D:$D,57)),"")</f>
        <v>48</v>
      </c>
      <c r="D59" s="2">
        <f t="shared" si="1"/>
        <v>1450</v>
      </c>
      <c r="E59" s="29">
        <f t="shared" si="2"/>
        <v>15449</v>
      </c>
      <c r="F59" s="25">
        <f t="shared" si="48"/>
        <v>2100</v>
      </c>
      <c r="G59" s="29">
        <f t="shared" si="4"/>
        <v>11899</v>
      </c>
      <c r="H59" s="29">
        <f t="shared" si="5"/>
        <v>13349</v>
      </c>
      <c r="I59" s="2">
        <f t="shared" si="6"/>
        <v>2397</v>
      </c>
      <c r="J59" s="2">
        <f t="shared" si="7"/>
        <v>1650</v>
      </c>
      <c r="K59" s="2">
        <f t="shared" si="8"/>
        <v>1276</v>
      </c>
      <c r="L59" s="2">
        <f t="shared" si="9"/>
        <v>1052</v>
      </c>
      <c r="M59" s="2">
        <f t="shared" si="10"/>
        <v>902</v>
      </c>
      <c r="N59" s="2">
        <f t="shared" si="11"/>
        <v>716</v>
      </c>
      <c r="O59" s="25">
        <f t="shared" si="12"/>
        <v>2800</v>
      </c>
      <c r="P59" s="29">
        <f t="shared" si="13"/>
        <v>11199</v>
      </c>
      <c r="Q59" s="29">
        <f t="shared" si="14"/>
        <v>12649</v>
      </c>
      <c r="R59" s="2">
        <f t="shared" si="15"/>
        <v>2272</v>
      </c>
      <c r="S59" s="2">
        <f t="shared" si="16"/>
        <v>1564</v>
      </c>
      <c r="T59" s="2">
        <f t="shared" si="17"/>
        <v>1210</v>
      </c>
      <c r="U59" s="2">
        <f t="shared" si="18"/>
        <v>997</v>
      </c>
      <c r="V59" s="2">
        <f t="shared" si="19"/>
        <v>855</v>
      </c>
      <c r="W59" s="2">
        <f t="shared" si="20"/>
        <v>678</v>
      </c>
      <c r="X59" s="25">
        <f t="shared" si="21"/>
        <v>3500</v>
      </c>
      <c r="Y59" s="29">
        <f t="shared" si="22"/>
        <v>10499</v>
      </c>
      <c r="Z59" s="29">
        <f t="shared" si="23"/>
        <v>11949</v>
      </c>
      <c r="AA59" s="2">
        <f t="shared" si="24"/>
        <v>2147</v>
      </c>
      <c r="AB59" s="2">
        <f t="shared" si="25"/>
        <v>1478</v>
      </c>
      <c r="AC59" s="2">
        <f t="shared" si="26"/>
        <v>1143</v>
      </c>
      <c r="AD59" s="2">
        <f t="shared" si="27"/>
        <v>942</v>
      </c>
      <c r="AE59" s="2">
        <f t="shared" si="28"/>
        <v>809</v>
      </c>
      <c r="AF59" s="2">
        <f t="shared" si="29"/>
        <v>641</v>
      </c>
      <c r="AG59" s="25">
        <f t="shared" si="30"/>
        <v>4900</v>
      </c>
      <c r="AH59" s="29">
        <f t="shared" si="31"/>
        <v>9099</v>
      </c>
      <c r="AI59" s="29">
        <f t="shared" si="32"/>
        <v>10549</v>
      </c>
      <c r="AJ59" s="2">
        <f t="shared" si="33"/>
        <v>1898</v>
      </c>
      <c r="AK59" s="2">
        <f t="shared" si="34"/>
        <v>1306</v>
      </c>
      <c r="AL59" s="2">
        <f t="shared" si="35"/>
        <v>1011</v>
      </c>
      <c r="AM59" s="2">
        <f t="shared" si="36"/>
        <v>833</v>
      </c>
      <c r="AN59" s="2">
        <f t="shared" si="37"/>
        <v>715</v>
      </c>
      <c r="AO59" s="2">
        <f t="shared" si="38"/>
        <v>567</v>
      </c>
      <c r="AP59" s="25">
        <f t="shared" si="39"/>
        <v>5600</v>
      </c>
      <c r="AQ59" s="29">
        <f t="shared" si="40"/>
        <v>8399</v>
      </c>
      <c r="AR59" s="29">
        <f t="shared" si="41"/>
        <v>9849</v>
      </c>
      <c r="AS59" s="2">
        <f t="shared" si="42"/>
        <v>1773</v>
      </c>
      <c r="AT59" s="2">
        <f t="shared" si="43"/>
        <v>1221</v>
      </c>
      <c r="AU59" s="2">
        <f t="shared" si="44"/>
        <v>944</v>
      </c>
      <c r="AV59" s="2">
        <f t="shared" si="45"/>
        <v>778</v>
      </c>
      <c r="AW59" s="2">
        <f t="shared" si="46"/>
        <v>668</v>
      </c>
      <c r="AX59" s="2">
        <f t="shared" si="47"/>
        <v>530</v>
      </c>
    </row>
    <row r="60" ht="14.25" customHeight="1">
      <c r="A60" s="2" t="str">
        <f t="array" ref="A60">IFERROR(INDEX('Product Price'!A:A,SMALL('Product Price'!$D:$D,58)),"")</f>
        <v>realme C85 5G 8/256 GB</v>
      </c>
      <c r="B60" s="29">
        <f t="array" ref="B60">IFERROR(INDEX('Product Price'!B:B,SMALL('Product Price'!$D:$D,58)),"")</f>
        <v>9999</v>
      </c>
      <c r="C60" s="2">
        <f t="array" ref="C60">IFERROR(INDEX('Product Price'!C:C,SMALL('Product Price'!$D:$D,58)),"")</f>
        <v>49</v>
      </c>
      <c r="D60" s="2">
        <f t="shared" si="1"/>
        <v>795</v>
      </c>
      <c r="E60" s="29">
        <f t="shared" si="2"/>
        <v>10794</v>
      </c>
      <c r="F60" s="25">
        <f t="shared" si="48"/>
        <v>1500</v>
      </c>
      <c r="G60" s="29">
        <f t="shared" si="4"/>
        <v>8499</v>
      </c>
      <c r="H60" s="29">
        <f t="shared" si="5"/>
        <v>9294</v>
      </c>
      <c r="I60" s="2">
        <f t="shared" si="6"/>
        <v>1666</v>
      </c>
      <c r="J60" s="2">
        <f t="shared" si="7"/>
        <v>1147</v>
      </c>
      <c r="K60" s="2">
        <f t="shared" si="8"/>
        <v>887</v>
      </c>
      <c r="L60" s="2">
        <f t="shared" si="9"/>
        <v>731</v>
      </c>
      <c r="M60" s="2">
        <f t="shared" si="10"/>
        <v>627</v>
      </c>
      <c r="N60" s="2">
        <f t="shared" si="11"/>
        <v>498</v>
      </c>
      <c r="O60" s="25">
        <f t="shared" si="12"/>
        <v>2000</v>
      </c>
      <c r="P60" s="29">
        <f t="shared" si="13"/>
        <v>7999</v>
      </c>
      <c r="Q60" s="29">
        <f t="shared" si="14"/>
        <v>8794</v>
      </c>
      <c r="R60" s="2">
        <f t="shared" si="15"/>
        <v>1577</v>
      </c>
      <c r="S60" s="2">
        <f t="shared" si="16"/>
        <v>1086</v>
      </c>
      <c r="T60" s="2">
        <f t="shared" si="17"/>
        <v>840</v>
      </c>
      <c r="U60" s="2">
        <f t="shared" si="18"/>
        <v>692</v>
      </c>
      <c r="V60" s="2">
        <f t="shared" si="19"/>
        <v>594</v>
      </c>
      <c r="W60" s="2">
        <f t="shared" si="20"/>
        <v>471</v>
      </c>
      <c r="X60" s="25">
        <f t="shared" si="21"/>
        <v>2500</v>
      </c>
      <c r="Y60" s="29">
        <f t="shared" si="22"/>
        <v>7499</v>
      </c>
      <c r="Z60" s="29">
        <f t="shared" si="23"/>
        <v>8294</v>
      </c>
      <c r="AA60" s="2">
        <f t="shared" si="24"/>
        <v>1488</v>
      </c>
      <c r="AB60" s="2">
        <f t="shared" si="25"/>
        <v>1024</v>
      </c>
      <c r="AC60" s="2">
        <f t="shared" si="26"/>
        <v>792</v>
      </c>
      <c r="AD60" s="2">
        <f t="shared" si="27"/>
        <v>653</v>
      </c>
      <c r="AE60" s="2">
        <f t="shared" si="28"/>
        <v>560</v>
      </c>
      <c r="AF60" s="2" t="str">
        <f t="shared" si="29"/>
        <v>-</v>
      </c>
      <c r="AG60" s="25">
        <f t="shared" si="30"/>
        <v>3500</v>
      </c>
      <c r="AH60" s="29">
        <f t="shared" si="31"/>
        <v>6499</v>
      </c>
      <c r="AI60" s="29">
        <f t="shared" si="32"/>
        <v>7294</v>
      </c>
      <c r="AJ60" s="2">
        <f t="shared" si="33"/>
        <v>1310</v>
      </c>
      <c r="AK60" s="2">
        <f t="shared" si="34"/>
        <v>902</v>
      </c>
      <c r="AL60" s="2">
        <f t="shared" si="35"/>
        <v>697</v>
      </c>
      <c r="AM60" s="2">
        <f t="shared" si="36"/>
        <v>575</v>
      </c>
      <c r="AN60" s="2">
        <f t="shared" si="37"/>
        <v>493</v>
      </c>
      <c r="AO60" s="2" t="str">
        <f t="shared" si="38"/>
        <v>-</v>
      </c>
      <c r="AP60" s="25">
        <f t="shared" si="39"/>
        <v>4000</v>
      </c>
      <c r="AQ60" s="29">
        <f t="shared" si="40"/>
        <v>5999</v>
      </c>
      <c r="AR60" s="29">
        <f t="shared" si="41"/>
        <v>6794</v>
      </c>
      <c r="AS60" s="2">
        <f t="shared" si="42"/>
        <v>1221</v>
      </c>
      <c r="AT60" s="2">
        <f t="shared" si="43"/>
        <v>840</v>
      </c>
      <c r="AU60" s="2">
        <f t="shared" si="44"/>
        <v>650</v>
      </c>
      <c r="AV60" s="2">
        <f t="shared" si="45"/>
        <v>536</v>
      </c>
      <c r="AW60" s="2">
        <f t="shared" si="46"/>
        <v>460</v>
      </c>
      <c r="AX60" s="2" t="str">
        <f t="shared" si="47"/>
        <v>-</v>
      </c>
    </row>
    <row r="61" ht="14.25" customHeight="1">
      <c r="A61" s="2" t="str">
        <f t="array" ref="A61">IFERROR(INDEX('Product Price'!A:A,SMALL('Product Price'!$D:$D,59)),"")</f>
        <v>realme C85 5G 8/128 GB</v>
      </c>
      <c r="B61" s="29">
        <f t="array" ref="B61">IFERROR(INDEX('Product Price'!B:B,SMALL('Product Price'!$D:$D,59)),"")</f>
        <v>8999</v>
      </c>
      <c r="C61" s="2">
        <f t="array" ref="C61">IFERROR(INDEX('Product Price'!C:C,SMALL('Product Price'!$D:$D,59)),"")</f>
        <v>50</v>
      </c>
      <c r="D61" s="2">
        <f t="shared" si="1"/>
        <v>795</v>
      </c>
      <c r="E61" s="29">
        <f t="shared" si="2"/>
        <v>9794</v>
      </c>
      <c r="F61" s="25">
        <f t="shared" si="48"/>
        <v>1350</v>
      </c>
      <c r="G61" s="29">
        <f t="shared" si="4"/>
        <v>7649</v>
      </c>
      <c r="H61" s="29">
        <f t="shared" si="5"/>
        <v>8444</v>
      </c>
      <c r="I61" s="2">
        <f t="shared" si="6"/>
        <v>1515</v>
      </c>
      <c r="J61" s="2">
        <f t="shared" si="7"/>
        <v>1043</v>
      </c>
      <c r="K61" s="2">
        <f t="shared" si="8"/>
        <v>807</v>
      </c>
      <c r="L61" s="2">
        <f t="shared" si="9"/>
        <v>665</v>
      </c>
      <c r="M61" s="2">
        <f t="shared" si="10"/>
        <v>570</v>
      </c>
      <c r="N61" s="2">
        <f t="shared" si="11"/>
        <v>452</v>
      </c>
      <c r="O61" s="25">
        <f t="shared" si="12"/>
        <v>1800</v>
      </c>
      <c r="P61" s="29">
        <f t="shared" si="13"/>
        <v>7199</v>
      </c>
      <c r="Q61" s="29">
        <f t="shared" si="14"/>
        <v>7994</v>
      </c>
      <c r="R61" s="2">
        <f t="shared" si="15"/>
        <v>1435</v>
      </c>
      <c r="S61" s="2">
        <f t="shared" si="16"/>
        <v>987</v>
      </c>
      <c r="T61" s="2">
        <f t="shared" si="17"/>
        <v>764</v>
      </c>
      <c r="U61" s="2">
        <f t="shared" si="18"/>
        <v>630</v>
      </c>
      <c r="V61" s="2">
        <f t="shared" si="19"/>
        <v>540</v>
      </c>
      <c r="W61" s="2" t="str">
        <f t="shared" si="20"/>
        <v>-</v>
      </c>
      <c r="X61" s="25">
        <f t="shared" si="21"/>
        <v>2250</v>
      </c>
      <c r="Y61" s="29">
        <f t="shared" si="22"/>
        <v>6749</v>
      </c>
      <c r="Z61" s="29">
        <f t="shared" si="23"/>
        <v>7544</v>
      </c>
      <c r="AA61" s="2">
        <f t="shared" si="24"/>
        <v>1355</v>
      </c>
      <c r="AB61" s="2">
        <f t="shared" si="25"/>
        <v>932</v>
      </c>
      <c r="AC61" s="2">
        <f t="shared" si="26"/>
        <v>721</v>
      </c>
      <c r="AD61" s="2">
        <f t="shared" si="27"/>
        <v>595</v>
      </c>
      <c r="AE61" s="2">
        <f t="shared" si="28"/>
        <v>510</v>
      </c>
      <c r="AF61" s="2" t="str">
        <f t="shared" si="29"/>
        <v>-</v>
      </c>
      <c r="AG61" s="25">
        <f t="shared" si="30"/>
        <v>3150</v>
      </c>
      <c r="AH61" s="29">
        <f t="shared" si="31"/>
        <v>5849</v>
      </c>
      <c r="AI61" s="29">
        <f t="shared" si="32"/>
        <v>6644</v>
      </c>
      <c r="AJ61" s="2">
        <f t="shared" si="33"/>
        <v>1194</v>
      </c>
      <c r="AK61" s="2">
        <f t="shared" si="34"/>
        <v>822</v>
      </c>
      <c r="AL61" s="2">
        <f t="shared" si="35"/>
        <v>636</v>
      </c>
      <c r="AM61" s="2">
        <f t="shared" si="36"/>
        <v>524</v>
      </c>
      <c r="AN61" s="2" t="str">
        <f t="shared" si="37"/>
        <v>-</v>
      </c>
      <c r="AO61" s="2" t="str">
        <f t="shared" si="38"/>
        <v>-</v>
      </c>
      <c r="AP61" s="25">
        <f t="shared" si="39"/>
        <v>3600</v>
      </c>
      <c r="AQ61" s="29">
        <f t="shared" si="40"/>
        <v>5399</v>
      </c>
      <c r="AR61" s="29">
        <f t="shared" si="41"/>
        <v>6194</v>
      </c>
      <c r="AS61" s="2">
        <f t="shared" si="42"/>
        <v>1114</v>
      </c>
      <c r="AT61" s="2">
        <f t="shared" si="43"/>
        <v>767</v>
      </c>
      <c r="AU61" s="2">
        <f t="shared" si="44"/>
        <v>593</v>
      </c>
      <c r="AV61" s="2">
        <f t="shared" si="45"/>
        <v>489</v>
      </c>
      <c r="AW61" s="2" t="str">
        <f t="shared" si="46"/>
        <v>-</v>
      </c>
      <c r="AX61" s="2" t="str">
        <f t="shared" si="47"/>
        <v>-</v>
      </c>
    </row>
    <row r="62" ht="14.25" customHeight="1">
      <c r="A62" s="2" t="str">
        <f t="array" ref="A62">IFERROR(INDEX('Product Price'!A:A,SMALL('Product Price'!$D:$D,60)),"")</f>
        <v>realme C85 4G 8/128 GB</v>
      </c>
      <c r="B62" s="29">
        <f t="array" ref="B62">IFERROR(INDEX('Product Price'!B:B,SMALL('Product Price'!$D:$D,60)),"")</f>
        <v>5999</v>
      </c>
      <c r="C62" s="2">
        <f t="array" ref="C62">IFERROR(INDEX('Product Price'!C:C,SMALL('Product Price'!$D:$D,60)),"")</f>
        <v>51</v>
      </c>
      <c r="D62" s="2">
        <f t="shared" si="1"/>
        <v>795</v>
      </c>
      <c r="E62" s="29">
        <f t="shared" si="2"/>
        <v>6794</v>
      </c>
      <c r="F62" s="25">
        <f t="shared" si="48"/>
        <v>900</v>
      </c>
      <c r="G62" s="29">
        <f t="shared" si="4"/>
        <v>5099</v>
      </c>
      <c r="H62" s="29">
        <f t="shared" si="5"/>
        <v>5894</v>
      </c>
      <c r="I62" s="2">
        <f t="shared" si="6"/>
        <v>1061</v>
      </c>
      <c r="J62" s="2">
        <f t="shared" si="7"/>
        <v>730</v>
      </c>
      <c r="K62" s="2">
        <f t="shared" si="8"/>
        <v>565</v>
      </c>
      <c r="L62" s="2" t="str">
        <f t="shared" si="9"/>
        <v>-</v>
      </c>
      <c r="M62" s="2" t="str">
        <f t="shared" si="10"/>
        <v>-</v>
      </c>
      <c r="N62" s="2" t="str">
        <f t="shared" si="11"/>
        <v>-</v>
      </c>
      <c r="O62" s="25">
        <f t="shared" si="12"/>
        <v>1200</v>
      </c>
      <c r="P62" s="29">
        <f t="shared" si="13"/>
        <v>4799</v>
      </c>
      <c r="Q62" s="29">
        <f t="shared" si="14"/>
        <v>5594</v>
      </c>
      <c r="R62" s="2">
        <f t="shared" si="15"/>
        <v>1007</v>
      </c>
      <c r="S62" s="2">
        <f t="shared" si="16"/>
        <v>693</v>
      </c>
      <c r="T62" s="2">
        <f t="shared" si="17"/>
        <v>536</v>
      </c>
      <c r="U62" s="2" t="str">
        <f t="shared" si="18"/>
        <v>-</v>
      </c>
      <c r="V62" s="2" t="str">
        <f t="shared" si="19"/>
        <v>-</v>
      </c>
      <c r="W62" s="2" t="str">
        <f t="shared" si="20"/>
        <v>-</v>
      </c>
      <c r="X62" s="25">
        <f t="shared" si="21"/>
        <v>1500</v>
      </c>
      <c r="Y62" s="29">
        <f t="shared" si="22"/>
        <v>4499</v>
      </c>
      <c r="Z62" s="29">
        <f t="shared" si="23"/>
        <v>5294</v>
      </c>
      <c r="AA62" s="2">
        <f t="shared" si="24"/>
        <v>954</v>
      </c>
      <c r="AB62" s="2">
        <f t="shared" si="25"/>
        <v>656</v>
      </c>
      <c r="AC62" s="2">
        <f t="shared" si="26"/>
        <v>508</v>
      </c>
      <c r="AD62" s="2" t="str">
        <f t="shared" si="27"/>
        <v>-</v>
      </c>
      <c r="AE62" s="2" t="str">
        <f t="shared" si="28"/>
        <v>-</v>
      </c>
      <c r="AF62" s="2" t="str">
        <f t="shared" si="29"/>
        <v>-</v>
      </c>
      <c r="AG62" s="25">
        <f t="shared" si="30"/>
        <v>2100</v>
      </c>
      <c r="AH62" s="29">
        <f t="shared" si="31"/>
        <v>3899</v>
      </c>
      <c r="AI62" s="29">
        <f t="shared" si="32"/>
        <v>4694</v>
      </c>
      <c r="AJ62" s="2">
        <f t="shared" si="33"/>
        <v>847</v>
      </c>
      <c r="AK62" s="2">
        <f t="shared" si="34"/>
        <v>583</v>
      </c>
      <c r="AL62" s="2" t="str">
        <f t="shared" si="35"/>
        <v>-</v>
      </c>
      <c r="AM62" s="2" t="str">
        <f t="shared" si="36"/>
        <v>-</v>
      </c>
      <c r="AN62" s="2" t="str">
        <f t="shared" si="37"/>
        <v>-</v>
      </c>
      <c r="AO62" s="2" t="str">
        <f t="shared" si="38"/>
        <v>-</v>
      </c>
      <c r="AP62" s="25">
        <f t="shared" si="39"/>
        <v>2400</v>
      </c>
      <c r="AQ62" s="29">
        <f t="shared" si="40"/>
        <v>3599</v>
      </c>
      <c r="AR62" s="29">
        <f t="shared" si="41"/>
        <v>4394</v>
      </c>
      <c r="AS62" s="2">
        <f t="shared" si="42"/>
        <v>793</v>
      </c>
      <c r="AT62" s="2">
        <f t="shared" si="43"/>
        <v>546</v>
      </c>
      <c r="AU62" s="2" t="str">
        <f t="shared" si="44"/>
        <v>-</v>
      </c>
      <c r="AV62" s="2" t="str">
        <f t="shared" si="45"/>
        <v>-</v>
      </c>
      <c r="AW62" s="2" t="str">
        <f t="shared" si="46"/>
        <v>-</v>
      </c>
      <c r="AX62" s="2" t="str">
        <f t="shared" si="47"/>
        <v>-</v>
      </c>
    </row>
    <row r="63" ht="14.25" customHeight="1">
      <c r="A63" s="2" t="str">
        <f t="array" ref="A63">IFERROR(INDEX('Product Price'!A:A,SMALL('Product Price'!$D:$D,61)),"")</f>
        <v>realme C100 5G 6/128 GB</v>
      </c>
      <c r="B63" s="2">
        <f t="array" ref="B63">IFERROR(INDEX('Product Price'!B:B,SMALL('Product Price'!$D:$D,61)),"")</f>
        <v>8499</v>
      </c>
      <c r="C63" s="2">
        <f t="array" ref="C63">IFERROR(INDEX('Product Price'!C:C,SMALL('Product Price'!$D:$D,61)),"")</f>
        <v>52</v>
      </c>
      <c r="D63" s="2">
        <f t="shared" si="1"/>
        <v>795</v>
      </c>
      <c r="E63" s="2">
        <f t="shared" si="2"/>
        <v>9294</v>
      </c>
      <c r="F63" s="2">
        <f t="shared" si="48"/>
        <v>1275</v>
      </c>
      <c r="G63" s="2">
        <f t="shared" si="4"/>
        <v>7224</v>
      </c>
      <c r="H63" s="2">
        <f t="shared" si="5"/>
        <v>8019</v>
      </c>
      <c r="I63" s="2">
        <f t="shared" si="6"/>
        <v>1439</v>
      </c>
      <c r="J63" s="2">
        <f t="shared" si="7"/>
        <v>991</v>
      </c>
      <c r="K63" s="2">
        <f t="shared" si="8"/>
        <v>766</v>
      </c>
      <c r="L63" s="2">
        <f t="shared" si="9"/>
        <v>632</v>
      </c>
      <c r="M63" s="2">
        <f t="shared" si="10"/>
        <v>542</v>
      </c>
      <c r="N63" s="2" t="str">
        <f t="shared" si="11"/>
        <v>-</v>
      </c>
      <c r="O63" s="2">
        <f t="shared" si="12"/>
        <v>1700</v>
      </c>
      <c r="P63" s="2">
        <f t="shared" si="13"/>
        <v>6799</v>
      </c>
      <c r="Q63" s="2">
        <f t="shared" si="14"/>
        <v>7594</v>
      </c>
      <c r="R63" s="2">
        <f t="shared" si="15"/>
        <v>1363</v>
      </c>
      <c r="S63" s="2">
        <f t="shared" si="16"/>
        <v>938</v>
      </c>
      <c r="T63" s="2">
        <f t="shared" si="17"/>
        <v>726</v>
      </c>
      <c r="U63" s="2">
        <f t="shared" si="18"/>
        <v>598</v>
      </c>
      <c r="V63" s="2">
        <f t="shared" si="19"/>
        <v>513</v>
      </c>
      <c r="W63" s="2" t="str">
        <f t="shared" si="20"/>
        <v>-</v>
      </c>
      <c r="X63" s="2">
        <f t="shared" si="21"/>
        <v>2125</v>
      </c>
      <c r="Y63" s="2">
        <f t="shared" si="22"/>
        <v>6374</v>
      </c>
      <c r="Z63" s="2">
        <f t="shared" si="23"/>
        <v>7169</v>
      </c>
      <c r="AA63" s="2">
        <f t="shared" si="24"/>
        <v>1288</v>
      </c>
      <c r="AB63" s="2">
        <f t="shared" si="25"/>
        <v>886</v>
      </c>
      <c r="AC63" s="2">
        <f t="shared" si="26"/>
        <v>686</v>
      </c>
      <c r="AD63" s="2">
        <f t="shared" si="27"/>
        <v>565</v>
      </c>
      <c r="AE63" s="2">
        <f t="shared" si="28"/>
        <v>485</v>
      </c>
      <c r="AF63" s="2" t="str">
        <f t="shared" si="29"/>
        <v>-</v>
      </c>
      <c r="AG63" s="2">
        <f t="shared" si="30"/>
        <v>2975</v>
      </c>
      <c r="AH63" s="2">
        <f t="shared" si="31"/>
        <v>5524</v>
      </c>
      <c r="AI63" s="2">
        <f t="shared" si="32"/>
        <v>6319</v>
      </c>
      <c r="AJ63" s="2">
        <f t="shared" si="33"/>
        <v>1136</v>
      </c>
      <c r="AK63" s="2">
        <f t="shared" si="34"/>
        <v>782</v>
      </c>
      <c r="AL63" s="2">
        <f t="shared" si="35"/>
        <v>605</v>
      </c>
      <c r="AM63" s="2">
        <f t="shared" si="36"/>
        <v>499</v>
      </c>
      <c r="AN63" s="2" t="str">
        <f t="shared" si="37"/>
        <v>-</v>
      </c>
      <c r="AO63" s="2" t="str">
        <f t="shared" si="38"/>
        <v>-</v>
      </c>
      <c r="AP63" s="2">
        <f t="shared" si="39"/>
        <v>3400</v>
      </c>
      <c r="AQ63" s="2">
        <f t="shared" si="40"/>
        <v>5099</v>
      </c>
      <c r="AR63" s="2">
        <f t="shared" si="41"/>
        <v>5894</v>
      </c>
      <c r="AS63" s="2">
        <f t="shared" si="42"/>
        <v>1061</v>
      </c>
      <c r="AT63" s="2">
        <f t="shared" si="43"/>
        <v>730</v>
      </c>
      <c r="AU63" s="2">
        <f t="shared" si="44"/>
        <v>565</v>
      </c>
      <c r="AV63" s="2" t="str">
        <f t="shared" si="45"/>
        <v>-</v>
      </c>
      <c r="AW63" s="2" t="str">
        <f t="shared" si="46"/>
        <v>-</v>
      </c>
      <c r="AX63" s="2" t="str">
        <f t="shared" si="47"/>
        <v>-</v>
      </c>
    </row>
    <row r="64" ht="14.25" customHeight="1">
      <c r="A64" s="2" t="str">
        <f t="array" ref="A64">IFERROR(INDEX('Product Price'!A:A,SMALL('Product Price'!$D:$D,62)),"")</f>
        <v>realme C100 5G 4/128 GB</v>
      </c>
      <c r="B64" s="2">
        <f t="array" ref="B64">IFERROR(INDEX('Product Price'!B:B,SMALL('Product Price'!$D:$D,62)),"")</f>
        <v>7999</v>
      </c>
      <c r="C64" s="2">
        <f t="array" ref="C64">IFERROR(INDEX('Product Price'!C:C,SMALL('Product Price'!$D:$D,62)),"")</f>
        <v>53</v>
      </c>
      <c r="D64" s="2">
        <f t="shared" si="1"/>
        <v>795</v>
      </c>
      <c r="E64" s="2">
        <f t="shared" si="2"/>
        <v>8794</v>
      </c>
      <c r="F64" s="2">
        <f t="shared" si="48"/>
        <v>1200</v>
      </c>
      <c r="G64" s="2">
        <f t="shared" si="4"/>
        <v>6799</v>
      </c>
      <c r="H64" s="2">
        <f t="shared" si="5"/>
        <v>7594</v>
      </c>
      <c r="I64" s="2">
        <f t="shared" si="6"/>
        <v>1363</v>
      </c>
      <c r="J64" s="2">
        <f t="shared" si="7"/>
        <v>938</v>
      </c>
      <c r="K64" s="2">
        <f t="shared" si="8"/>
        <v>726</v>
      </c>
      <c r="L64" s="2">
        <f t="shared" si="9"/>
        <v>598</v>
      </c>
      <c r="M64" s="2">
        <f t="shared" si="10"/>
        <v>513</v>
      </c>
      <c r="N64" s="2" t="str">
        <f t="shared" si="11"/>
        <v>-</v>
      </c>
      <c r="O64" s="2">
        <f t="shared" si="12"/>
        <v>1600</v>
      </c>
      <c r="P64" s="2">
        <f t="shared" si="13"/>
        <v>6399</v>
      </c>
      <c r="Q64" s="2">
        <f t="shared" si="14"/>
        <v>7194</v>
      </c>
      <c r="R64" s="2">
        <f t="shared" si="15"/>
        <v>1292</v>
      </c>
      <c r="S64" s="2">
        <f t="shared" si="16"/>
        <v>889</v>
      </c>
      <c r="T64" s="2">
        <f t="shared" si="17"/>
        <v>688</v>
      </c>
      <c r="U64" s="2">
        <f t="shared" si="18"/>
        <v>567</v>
      </c>
      <c r="V64" s="2">
        <f t="shared" si="19"/>
        <v>487</v>
      </c>
      <c r="W64" s="2" t="str">
        <f t="shared" si="20"/>
        <v>-</v>
      </c>
      <c r="X64" s="2">
        <f t="shared" si="21"/>
        <v>2000</v>
      </c>
      <c r="Y64" s="2">
        <f t="shared" si="22"/>
        <v>5999</v>
      </c>
      <c r="Z64" s="2">
        <f t="shared" si="23"/>
        <v>6794</v>
      </c>
      <c r="AA64" s="2">
        <f t="shared" si="24"/>
        <v>1221</v>
      </c>
      <c r="AB64" s="2">
        <f t="shared" si="25"/>
        <v>840</v>
      </c>
      <c r="AC64" s="2">
        <f t="shared" si="26"/>
        <v>650</v>
      </c>
      <c r="AD64" s="2">
        <f t="shared" si="27"/>
        <v>536</v>
      </c>
      <c r="AE64" s="2">
        <f t="shared" si="28"/>
        <v>460</v>
      </c>
      <c r="AF64" s="2" t="str">
        <f t="shared" si="29"/>
        <v>-</v>
      </c>
      <c r="AG64" s="2">
        <f t="shared" si="30"/>
        <v>2800</v>
      </c>
      <c r="AH64" s="2">
        <f t="shared" si="31"/>
        <v>5199</v>
      </c>
      <c r="AI64" s="2">
        <f t="shared" si="32"/>
        <v>5994</v>
      </c>
      <c r="AJ64" s="2">
        <f t="shared" si="33"/>
        <v>1078</v>
      </c>
      <c r="AK64" s="2">
        <f t="shared" si="34"/>
        <v>742</v>
      </c>
      <c r="AL64" s="2">
        <f t="shared" si="35"/>
        <v>574</v>
      </c>
      <c r="AM64" s="2">
        <f t="shared" si="36"/>
        <v>473</v>
      </c>
      <c r="AN64" s="2" t="str">
        <f t="shared" si="37"/>
        <v>-</v>
      </c>
      <c r="AO64" s="2" t="str">
        <f t="shared" si="38"/>
        <v>-</v>
      </c>
      <c r="AP64" s="2">
        <f t="shared" si="39"/>
        <v>3200</v>
      </c>
      <c r="AQ64" s="2">
        <f t="shared" si="40"/>
        <v>4799</v>
      </c>
      <c r="AR64" s="2">
        <f t="shared" si="41"/>
        <v>5594</v>
      </c>
      <c r="AS64" s="2">
        <f t="shared" si="42"/>
        <v>1007</v>
      </c>
      <c r="AT64" s="2">
        <f t="shared" si="43"/>
        <v>693</v>
      </c>
      <c r="AU64" s="2">
        <f t="shared" si="44"/>
        <v>536</v>
      </c>
      <c r="AV64" s="2" t="str">
        <f t="shared" si="45"/>
        <v>-</v>
      </c>
      <c r="AW64" s="2" t="str">
        <f t="shared" si="46"/>
        <v>-</v>
      </c>
      <c r="AX64" s="2" t="str">
        <f t="shared" si="47"/>
        <v>-</v>
      </c>
    </row>
    <row r="65" ht="14.25" customHeight="1">
      <c r="A65" s="2" t="str">
        <f t="array" ref="A65">IFERROR(INDEX('Product Price'!A:A,SMALL('Product Price'!$D:$D,63)),"")</f>
        <v>realme C100X 4G 4/256 GB</v>
      </c>
      <c r="B65" s="2">
        <f t="array" ref="B65">IFERROR(INDEX('Product Price'!B:B,SMALL('Product Price'!$D:$D,63)),"")</f>
        <v>6999</v>
      </c>
      <c r="C65" s="2">
        <f t="array" ref="C65">IFERROR(INDEX('Product Price'!C:C,SMALL('Product Price'!$D:$D,63)),"")</f>
        <v>54</v>
      </c>
      <c r="D65" s="2">
        <f t="shared" si="1"/>
        <v>795</v>
      </c>
      <c r="E65" s="2">
        <f t="shared" si="2"/>
        <v>7794</v>
      </c>
      <c r="F65" s="2">
        <f t="shared" si="48"/>
        <v>1050</v>
      </c>
      <c r="G65" s="2">
        <f t="shared" si="4"/>
        <v>5949</v>
      </c>
      <c r="H65" s="2">
        <f t="shared" si="5"/>
        <v>6744</v>
      </c>
      <c r="I65" s="2">
        <f t="shared" si="6"/>
        <v>1212</v>
      </c>
      <c r="J65" s="2">
        <f t="shared" si="7"/>
        <v>834</v>
      </c>
      <c r="K65" s="2">
        <f t="shared" si="8"/>
        <v>645</v>
      </c>
      <c r="L65" s="2">
        <f t="shared" si="9"/>
        <v>532</v>
      </c>
      <c r="M65" s="2" t="str">
        <f t="shared" si="10"/>
        <v>-</v>
      </c>
      <c r="N65" s="2" t="str">
        <f t="shared" si="11"/>
        <v>-</v>
      </c>
      <c r="O65" s="2">
        <f t="shared" si="12"/>
        <v>1400</v>
      </c>
      <c r="P65" s="2">
        <f t="shared" si="13"/>
        <v>5599</v>
      </c>
      <c r="Q65" s="2">
        <f t="shared" si="14"/>
        <v>6394</v>
      </c>
      <c r="R65" s="2">
        <f t="shared" si="15"/>
        <v>1150</v>
      </c>
      <c r="S65" s="2">
        <f t="shared" si="16"/>
        <v>791</v>
      </c>
      <c r="T65" s="2">
        <f t="shared" si="17"/>
        <v>612</v>
      </c>
      <c r="U65" s="2">
        <f t="shared" si="18"/>
        <v>505</v>
      </c>
      <c r="V65" s="2" t="str">
        <f t="shared" si="19"/>
        <v>-</v>
      </c>
      <c r="W65" s="2" t="str">
        <f t="shared" si="20"/>
        <v>-</v>
      </c>
      <c r="X65" s="2">
        <f t="shared" si="21"/>
        <v>1750</v>
      </c>
      <c r="Y65" s="2">
        <f t="shared" si="22"/>
        <v>5249</v>
      </c>
      <c r="Z65" s="2">
        <f t="shared" si="23"/>
        <v>6044</v>
      </c>
      <c r="AA65" s="2">
        <f t="shared" si="24"/>
        <v>1087</v>
      </c>
      <c r="AB65" s="2">
        <f t="shared" si="25"/>
        <v>748</v>
      </c>
      <c r="AC65" s="2">
        <f t="shared" si="26"/>
        <v>579</v>
      </c>
      <c r="AD65" s="2">
        <f t="shared" si="27"/>
        <v>477</v>
      </c>
      <c r="AE65" s="2" t="str">
        <f t="shared" si="28"/>
        <v>-</v>
      </c>
      <c r="AF65" s="2" t="str">
        <f t="shared" si="29"/>
        <v>-</v>
      </c>
      <c r="AG65" s="2">
        <f t="shared" si="30"/>
        <v>2450</v>
      </c>
      <c r="AH65" s="2">
        <f t="shared" si="31"/>
        <v>4549</v>
      </c>
      <c r="AI65" s="2">
        <f t="shared" si="32"/>
        <v>5344</v>
      </c>
      <c r="AJ65" s="2">
        <f t="shared" si="33"/>
        <v>963</v>
      </c>
      <c r="AK65" s="2">
        <f t="shared" si="34"/>
        <v>663</v>
      </c>
      <c r="AL65" s="2">
        <f t="shared" si="35"/>
        <v>513</v>
      </c>
      <c r="AM65" s="2" t="str">
        <f t="shared" si="36"/>
        <v>-</v>
      </c>
      <c r="AN65" s="2" t="str">
        <f t="shared" si="37"/>
        <v>-</v>
      </c>
      <c r="AO65" s="2" t="str">
        <f t="shared" si="38"/>
        <v>-</v>
      </c>
      <c r="AP65" s="2">
        <f t="shared" si="39"/>
        <v>2800</v>
      </c>
      <c r="AQ65" s="2">
        <f t="shared" si="40"/>
        <v>4199</v>
      </c>
      <c r="AR65" s="2">
        <f t="shared" si="41"/>
        <v>4994</v>
      </c>
      <c r="AS65" s="2">
        <f t="shared" si="42"/>
        <v>900</v>
      </c>
      <c r="AT65" s="2">
        <f t="shared" si="43"/>
        <v>620</v>
      </c>
      <c r="AU65" s="2" t="str">
        <f t="shared" si="44"/>
        <v>-</v>
      </c>
      <c r="AV65" s="2" t="str">
        <f t="shared" si="45"/>
        <v>-</v>
      </c>
      <c r="AW65" s="2" t="str">
        <f t="shared" si="46"/>
        <v>-</v>
      </c>
      <c r="AX65" s="2" t="str">
        <f t="shared" si="47"/>
        <v>-</v>
      </c>
    </row>
    <row r="66" ht="14.25" customHeight="1">
      <c r="A66" s="2" t="str">
        <f t="array" ref="A66">IFERROR(INDEX('Product Price'!A:A,SMALL('Product Price'!$D:$D,64)),"")</f>
        <v>realme C100i 4G 4/128 GB</v>
      </c>
      <c r="B66" s="2">
        <f t="array" ref="B66">IFERROR(INDEX('Product Price'!B:B,SMALL('Product Price'!$D:$D,64)),"")</f>
        <v>6499</v>
      </c>
      <c r="C66" s="2">
        <f t="array" ref="C66">IFERROR(INDEX('Product Price'!C:C,SMALL('Product Price'!$D:$D,64)),"")</f>
        <v>56</v>
      </c>
      <c r="D66" s="2">
        <f t="shared" si="1"/>
        <v>795</v>
      </c>
      <c r="E66" s="2">
        <f t="shared" si="2"/>
        <v>7294</v>
      </c>
      <c r="F66" s="2">
        <f t="shared" si="48"/>
        <v>975</v>
      </c>
      <c r="G66" s="2">
        <f t="shared" si="4"/>
        <v>5524</v>
      </c>
      <c r="H66" s="2">
        <f t="shared" si="5"/>
        <v>6319</v>
      </c>
      <c r="I66" s="2">
        <f t="shared" si="6"/>
        <v>1136</v>
      </c>
      <c r="J66" s="2">
        <f t="shared" si="7"/>
        <v>782</v>
      </c>
      <c r="K66" s="2">
        <f t="shared" si="8"/>
        <v>605</v>
      </c>
      <c r="L66" s="2">
        <f t="shared" si="9"/>
        <v>499</v>
      </c>
      <c r="M66" s="2" t="str">
        <f t="shared" si="10"/>
        <v>-</v>
      </c>
      <c r="N66" s="2" t="str">
        <f t="shared" si="11"/>
        <v>-</v>
      </c>
      <c r="O66" s="2">
        <f t="shared" si="12"/>
        <v>1300</v>
      </c>
      <c r="P66" s="2">
        <f t="shared" si="13"/>
        <v>5199</v>
      </c>
      <c r="Q66" s="2">
        <f t="shared" si="14"/>
        <v>5994</v>
      </c>
      <c r="R66" s="2">
        <f t="shared" si="15"/>
        <v>1078</v>
      </c>
      <c r="S66" s="2">
        <f t="shared" si="16"/>
        <v>742</v>
      </c>
      <c r="T66" s="2">
        <f t="shared" si="17"/>
        <v>574</v>
      </c>
      <c r="U66" s="2">
        <f t="shared" si="18"/>
        <v>473</v>
      </c>
      <c r="V66" s="2" t="str">
        <f t="shared" si="19"/>
        <v>-</v>
      </c>
      <c r="W66" s="2" t="str">
        <f t="shared" si="20"/>
        <v>-</v>
      </c>
      <c r="X66" s="2">
        <f t="shared" si="21"/>
        <v>1625</v>
      </c>
      <c r="Y66" s="2">
        <f t="shared" si="22"/>
        <v>4874</v>
      </c>
      <c r="Z66" s="2">
        <f t="shared" si="23"/>
        <v>5669</v>
      </c>
      <c r="AA66" s="2">
        <f t="shared" si="24"/>
        <v>1020</v>
      </c>
      <c r="AB66" s="2">
        <f t="shared" si="25"/>
        <v>702</v>
      </c>
      <c r="AC66" s="2">
        <f t="shared" si="26"/>
        <v>543</v>
      </c>
      <c r="AD66" s="2" t="str">
        <f t="shared" si="27"/>
        <v>-</v>
      </c>
      <c r="AE66" s="2" t="str">
        <f t="shared" si="28"/>
        <v>-</v>
      </c>
      <c r="AF66" s="2" t="str">
        <f t="shared" si="29"/>
        <v>-</v>
      </c>
      <c r="AG66" s="2">
        <f t="shared" si="30"/>
        <v>2275</v>
      </c>
      <c r="AH66" s="2">
        <f t="shared" si="31"/>
        <v>4224</v>
      </c>
      <c r="AI66" s="2">
        <f t="shared" si="32"/>
        <v>5019</v>
      </c>
      <c r="AJ66" s="2">
        <f t="shared" si="33"/>
        <v>905</v>
      </c>
      <c r="AK66" s="2">
        <f t="shared" si="34"/>
        <v>623</v>
      </c>
      <c r="AL66" s="2">
        <f t="shared" si="35"/>
        <v>482</v>
      </c>
      <c r="AM66" s="2" t="str">
        <f t="shared" si="36"/>
        <v>-</v>
      </c>
      <c r="AN66" s="2" t="str">
        <f t="shared" si="37"/>
        <v>-</v>
      </c>
      <c r="AO66" s="2" t="str">
        <f t="shared" si="38"/>
        <v>-</v>
      </c>
      <c r="AP66" s="2">
        <f t="shared" si="39"/>
        <v>2600</v>
      </c>
      <c r="AQ66" s="2">
        <f t="shared" si="40"/>
        <v>3899</v>
      </c>
      <c r="AR66" s="2">
        <f t="shared" si="41"/>
        <v>4694</v>
      </c>
      <c r="AS66" s="2">
        <f t="shared" si="42"/>
        <v>847</v>
      </c>
      <c r="AT66" s="2">
        <f t="shared" si="43"/>
        <v>583</v>
      </c>
      <c r="AU66" s="2" t="str">
        <f t="shared" si="44"/>
        <v>-</v>
      </c>
      <c r="AV66" s="2" t="str">
        <f t="shared" si="45"/>
        <v>-</v>
      </c>
      <c r="AW66" s="2" t="str">
        <f t="shared" si="46"/>
        <v>-</v>
      </c>
      <c r="AX66" s="2" t="str">
        <f t="shared" si="47"/>
        <v>-</v>
      </c>
    </row>
    <row r="67" ht="14.25" customHeight="1">
      <c r="A67" s="2" t="str">
        <f t="array" ref="A67">IFERROR(INDEX('Product Price'!A:A,SMALL('Product Price'!$D:$D,65)),"")</f>
        <v>realme Note 80 4/64 GB</v>
      </c>
      <c r="B67" s="2">
        <f t="array" ref="B67">IFERROR(INDEX('Product Price'!B:B,SMALL('Product Price'!$D:$D,65)),"")</f>
        <v>4999</v>
      </c>
      <c r="C67" s="2">
        <f t="array" ref="C67">IFERROR(INDEX('Product Price'!C:C,SMALL('Product Price'!$D:$D,65)),"")</f>
        <v>249</v>
      </c>
      <c r="D67" s="2">
        <f t="shared" si="1"/>
        <v>795</v>
      </c>
      <c r="E67" s="2">
        <f t="shared" si="2"/>
        <v>5794</v>
      </c>
      <c r="F67" s="2">
        <f t="shared" si="48"/>
        <v>750</v>
      </c>
      <c r="G67" s="2">
        <f t="shared" si="4"/>
        <v>4249</v>
      </c>
      <c r="H67" s="2">
        <f t="shared" si="5"/>
        <v>5044</v>
      </c>
      <c r="I67" s="2">
        <f t="shared" si="6"/>
        <v>909</v>
      </c>
      <c r="J67" s="2">
        <f t="shared" si="7"/>
        <v>626</v>
      </c>
      <c r="K67" s="2">
        <f t="shared" si="8"/>
        <v>484</v>
      </c>
      <c r="L67" s="2" t="str">
        <f t="shared" si="9"/>
        <v>-</v>
      </c>
      <c r="M67" s="2" t="str">
        <f t="shared" si="10"/>
        <v>-</v>
      </c>
      <c r="N67" s="2" t="str">
        <f t="shared" si="11"/>
        <v>-</v>
      </c>
      <c r="O67" s="2">
        <f t="shared" si="12"/>
        <v>1000</v>
      </c>
      <c r="P67" s="2">
        <f t="shared" si="13"/>
        <v>3999</v>
      </c>
      <c r="Q67" s="2">
        <f t="shared" si="14"/>
        <v>4794</v>
      </c>
      <c r="R67" s="2">
        <f t="shared" si="15"/>
        <v>865</v>
      </c>
      <c r="S67" s="2">
        <f t="shared" si="16"/>
        <v>595</v>
      </c>
      <c r="T67" s="2" t="str">
        <f t="shared" si="17"/>
        <v>-</v>
      </c>
      <c r="U67" s="2" t="str">
        <f t="shared" si="18"/>
        <v>-</v>
      </c>
      <c r="V67" s="2" t="str">
        <f t="shared" si="19"/>
        <v>-</v>
      </c>
      <c r="W67" s="2" t="str">
        <f t="shared" si="20"/>
        <v>-</v>
      </c>
      <c r="X67" s="2">
        <f t="shared" si="21"/>
        <v>1250</v>
      </c>
      <c r="Y67" s="2">
        <f t="shared" si="22"/>
        <v>3749</v>
      </c>
      <c r="Z67" s="2">
        <f t="shared" si="23"/>
        <v>4544</v>
      </c>
      <c r="AA67" s="2">
        <f t="shared" si="24"/>
        <v>820</v>
      </c>
      <c r="AB67" s="2">
        <f t="shared" si="25"/>
        <v>564</v>
      </c>
      <c r="AC67" s="2" t="str">
        <f t="shared" si="26"/>
        <v>-</v>
      </c>
      <c r="AD67" s="2" t="str">
        <f t="shared" si="27"/>
        <v>-</v>
      </c>
      <c r="AE67" s="2" t="str">
        <f t="shared" si="28"/>
        <v>-</v>
      </c>
      <c r="AF67" s="2" t="str">
        <f t="shared" si="29"/>
        <v>-</v>
      </c>
      <c r="AG67" s="2">
        <f t="shared" si="30"/>
        <v>1750</v>
      </c>
      <c r="AH67" s="2">
        <f t="shared" si="31"/>
        <v>3249</v>
      </c>
      <c r="AI67" s="2">
        <f t="shared" si="32"/>
        <v>4044</v>
      </c>
      <c r="AJ67" s="2">
        <f t="shared" si="33"/>
        <v>731</v>
      </c>
      <c r="AK67" s="2" t="str">
        <f t="shared" si="34"/>
        <v>-</v>
      </c>
      <c r="AL67" s="2" t="str">
        <f t="shared" si="35"/>
        <v>-</v>
      </c>
      <c r="AM67" s="2" t="str">
        <f t="shared" si="36"/>
        <v>-</v>
      </c>
      <c r="AN67" s="2" t="str">
        <f t="shared" si="37"/>
        <v>-</v>
      </c>
      <c r="AO67" s="2" t="str">
        <f t="shared" si="38"/>
        <v>-</v>
      </c>
      <c r="AP67" s="2">
        <f t="shared" si="39"/>
        <v>2000</v>
      </c>
      <c r="AQ67" s="2">
        <f t="shared" si="40"/>
        <v>2999</v>
      </c>
      <c r="AR67" s="2">
        <f t="shared" si="41"/>
        <v>3794</v>
      </c>
      <c r="AS67" s="2">
        <f t="shared" si="42"/>
        <v>686</v>
      </c>
      <c r="AT67" s="2" t="str">
        <f t="shared" si="43"/>
        <v>-</v>
      </c>
      <c r="AU67" s="2" t="str">
        <f t="shared" si="44"/>
        <v>-</v>
      </c>
      <c r="AV67" s="2" t="str">
        <f t="shared" si="45"/>
        <v>-</v>
      </c>
      <c r="AW67" s="2" t="str">
        <f t="shared" si="46"/>
        <v>-</v>
      </c>
      <c r="AX67" s="2" t="str">
        <f t="shared" si="47"/>
        <v>-</v>
      </c>
    </row>
    <row r="68" ht="14.25" customHeight="1">
      <c r="A68" s="2" t="str">
        <f t="array" ref="A68">IFERROR(INDEX('Product Price'!A:A,SMALL('Product Price'!$D:$D,66)),"")</f>
        <v>realme PAD3 5G 8/256 GB</v>
      </c>
      <c r="B68" s="2">
        <f t="array" ref="B68">IFERROR(INDEX('Product Price'!B:B,SMALL('Product Price'!$D:$D,66)),"")</f>
        <v>14999</v>
      </c>
      <c r="C68" s="2">
        <f t="array" ref="C68">IFERROR(INDEX('Product Price'!C:C,SMALL('Product Price'!$D:$D,66)),"")</f>
        <v>55</v>
      </c>
      <c r="D68" s="2">
        <f t="shared" si="1"/>
        <v>1450</v>
      </c>
      <c r="E68" s="2">
        <f t="shared" si="2"/>
        <v>16449</v>
      </c>
      <c r="F68" s="2">
        <f t="shared" si="48"/>
        <v>2250</v>
      </c>
      <c r="G68" s="2">
        <f t="shared" si="4"/>
        <v>12749</v>
      </c>
      <c r="H68" s="2">
        <f t="shared" si="5"/>
        <v>14199</v>
      </c>
      <c r="I68" s="2">
        <f t="shared" si="6"/>
        <v>2548</v>
      </c>
      <c r="J68" s="2">
        <f t="shared" si="7"/>
        <v>1754</v>
      </c>
      <c r="K68" s="2">
        <f t="shared" si="8"/>
        <v>1357</v>
      </c>
      <c r="L68" s="2">
        <f t="shared" si="9"/>
        <v>1118</v>
      </c>
      <c r="M68" s="2">
        <f t="shared" si="10"/>
        <v>959</v>
      </c>
      <c r="N68" s="2">
        <f t="shared" si="11"/>
        <v>761</v>
      </c>
      <c r="O68" s="2">
        <f t="shared" si="12"/>
        <v>3000</v>
      </c>
      <c r="P68" s="2">
        <f t="shared" si="13"/>
        <v>11999</v>
      </c>
      <c r="Q68" s="2">
        <f t="shared" si="14"/>
        <v>13449</v>
      </c>
      <c r="R68" s="2">
        <f t="shared" si="15"/>
        <v>2415</v>
      </c>
      <c r="S68" s="2">
        <f t="shared" si="16"/>
        <v>1662</v>
      </c>
      <c r="T68" s="2">
        <f t="shared" si="17"/>
        <v>1286</v>
      </c>
      <c r="U68" s="2">
        <f t="shared" si="18"/>
        <v>1060</v>
      </c>
      <c r="V68" s="2">
        <f t="shared" si="19"/>
        <v>909</v>
      </c>
      <c r="W68" s="2">
        <f t="shared" si="20"/>
        <v>721</v>
      </c>
      <c r="X68" s="2">
        <f t="shared" si="21"/>
        <v>3750</v>
      </c>
      <c r="Y68" s="2">
        <f t="shared" si="22"/>
        <v>11249</v>
      </c>
      <c r="Z68" s="2">
        <f t="shared" si="23"/>
        <v>12699</v>
      </c>
      <c r="AA68" s="2">
        <f t="shared" si="24"/>
        <v>2281</v>
      </c>
      <c r="AB68" s="2">
        <f t="shared" si="25"/>
        <v>1570</v>
      </c>
      <c r="AC68" s="2">
        <f t="shared" si="26"/>
        <v>1214</v>
      </c>
      <c r="AD68" s="2">
        <f t="shared" si="27"/>
        <v>1001</v>
      </c>
      <c r="AE68" s="2">
        <f t="shared" si="28"/>
        <v>859</v>
      </c>
      <c r="AF68" s="2">
        <f t="shared" si="29"/>
        <v>681</v>
      </c>
      <c r="AG68" s="2">
        <f t="shared" si="30"/>
        <v>5250</v>
      </c>
      <c r="AH68" s="2">
        <f t="shared" si="31"/>
        <v>9749</v>
      </c>
      <c r="AI68" s="2">
        <f t="shared" si="32"/>
        <v>11199</v>
      </c>
      <c r="AJ68" s="2">
        <f t="shared" si="33"/>
        <v>2014</v>
      </c>
      <c r="AK68" s="2">
        <f t="shared" si="34"/>
        <v>1386</v>
      </c>
      <c r="AL68" s="2">
        <f t="shared" si="35"/>
        <v>1072</v>
      </c>
      <c r="AM68" s="2">
        <f t="shared" si="36"/>
        <v>884</v>
      </c>
      <c r="AN68" s="2">
        <f t="shared" si="37"/>
        <v>758</v>
      </c>
      <c r="AO68" s="2">
        <f t="shared" si="38"/>
        <v>601</v>
      </c>
      <c r="AP68" s="2">
        <f t="shared" si="39"/>
        <v>6000</v>
      </c>
      <c r="AQ68" s="2">
        <f t="shared" si="40"/>
        <v>8999</v>
      </c>
      <c r="AR68" s="2">
        <f t="shared" si="41"/>
        <v>10449</v>
      </c>
      <c r="AS68" s="2">
        <f t="shared" si="42"/>
        <v>1880</v>
      </c>
      <c r="AT68" s="2">
        <f t="shared" si="43"/>
        <v>1294</v>
      </c>
      <c r="AU68" s="2">
        <f t="shared" si="44"/>
        <v>1001</v>
      </c>
      <c r="AV68" s="2">
        <f t="shared" si="45"/>
        <v>825</v>
      </c>
      <c r="AW68" s="2">
        <f t="shared" si="46"/>
        <v>708</v>
      </c>
      <c r="AX68" s="2">
        <f t="shared" si="47"/>
        <v>561</v>
      </c>
    </row>
    <row r="69" ht="14.25" customHeight="1">
      <c r="A69" s="2" t="str">
        <f t="array" ref="A69">IFERROR(INDEX('Product Price'!A:A,SMALL('Product Price'!$D:$D,67)),"")</f>
        <v>SAMSUNG Galaxy A07 5G 6/128 GB</v>
      </c>
      <c r="B69" s="2">
        <f t="array" ref="B69">IFERROR(INDEX('Product Price'!B:B,SMALL('Product Price'!$D:$D,67)),"")</f>
        <v>5999</v>
      </c>
      <c r="C69" s="2">
        <f t="array" ref="C69">IFERROR(INDEX('Product Price'!C:C,SMALL('Product Price'!$D:$D,67)),"")</f>
        <v>57</v>
      </c>
      <c r="D69" s="2">
        <f t="shared" si="1"/>
        <v>795</v>
      </c>
      <c r="E69" s="2">
        <f t="shared" si="2"/>
        <v>6794</v>
      </c>
      <c r="F69" s="2">
        <f t="shared" si="48"/>
        <v>900</v>
      </c>
      <c r="G69" s="2">
        <f t="shared" si="4"/>
        <v>5099</v>
      </c>
      <c r="H69" s="2">
        <f t="shared" si="5"/>
        <v>5894</v>
      </c>
      <c r="I69" s="2">
        <f t="shared" si="6"/>
        <v>1061</v>
      </c>
      <c r="J69" s="2">
        <f t="shared" si="7"/>
        <v>730</v>
      </c>
      <c r="K69" s="2">
        <f t="shared" si="8"/>
        <v>565</v>
      </c>
      <c r="L69" s="2" t="str">
        <f t="shared" si="9"/>
        <v>-</v>
      </c>
      <c r="M69" s="2" t="str">
        <f t="shared" si="10"/>
        <v>-</v>
      </c>
      <c r="N69" s="2" t="str">
        <f t="shared" si="11"/>
        <v>-</v>
      </c>
      <c r="O69" s="2">
        <f t="shared" si="12"/>
        <v>1200</v>
      </c>
      <c r="P69" s="2">
        <f t="shared" si="13"/>
        <v>4799</v>
      </c>
      <c r="Q69" s="2">
        <f t="shared" si="14"/>
        <v>5594</v>
      </c>
      <c r="R69" s="2">
        <f t="shared" si="15"/>
        <v>1007</v>
      </c>
      <c r="S69" s="2">
        <f t="shared" si="16"/>
        <v>693</v>
      </c>
      <c r="T69" s="2">
        <f t="shared" si="17"/>
        <v>536</v>
      </c>
      <c r="U69" s="2" t="str">
        <f t="shared" si="18"/>
        <v>-</v>
      </c>
      <c r="V69" s="2" t="str">
        <f t="shared" si="19"/>
        <v>-</v>
      </c>
      <c r="W69" s="2" t="str">
        <f t="shared" si="20"/>
        <v>-</v>
      </c>
      <c r="X69" s="2">
        <f t="shared" si="21"/>
        <v>1500</v>
      </c>
      <c r="Y69" s="2">
        <f t="shared" si="22"/>
        <v>4499</v>
      </c>
      <c r="Z69" s="2">
        <f t="shared" si="23"/>
        <v>5294</v>
      </c>
      <c r="AA69" s="2">
        <f t="shared" si="24"/>
        <v>954</v>
      </c>
      <c r="AB69" s="2">
        <f t="shared" si="25"/>
        <v>656</v>
      </c>
      <c r="AC69" s="2">
        <f t="shared" si="26"/>
        <v>508</v>
      </c>
      <c r="AD69" s="2" t="str">
        <f t="shared" si="27"/>
        <v>-</v>
      </c>
      <c r="AE69" s="2" t="str">
        <f t="shared" si="28"/>
        <v>-</v>
      </c>
      <c r="AF69" s="2" t="str">
        <f t="shared" si="29"/>
        <v>-</v>
      </c>
      <c r="AG69" s="2">
        <f t="shared" si="30"/>
        <v>2100</v>
      </c>
      <c r="AH69" s="2">
        <f t="shared" si="31"/>
        <v>3899</v>
      </c>
      <c r="AI69" s="2">
        <f t="shared" si="32"/>
        <v>4694</v>
      </c>
      <c r="AJ69" s="2">
        <f t="shared" si="33"/>
        <v>847</v>
      </c>
      <c r="AK69" s="2">
        <f t="shared" si="34"/>
        <v>583</v>
      </c>
      <c r="AL69" s="2" t="str">
        <f t="shared" si="35"/>
        <v>-</v>
      </c>
      <c r="AM69" s="2" t="str">
        <f t="shared" si="36"/>
        <v>-</v>
      </c>
      <c r="AN69" s="2" t="str">
        <f t="shared" si="37"/>
        <v>-</v>
      </c>
      <c r="AO69" s="2" t="str">
        <f t="shared" si="38"/>
        <v>-</v>
      </c>
      <c r="AP69" s="2">
        <f t="shared" si="39"/>
        <v>2400</v>
      </c>
      <c r="AQ69" s="2">
        <f t="shared" si="40"/>
        <v>3599</v>
      </c>
      <c r="AR69" s="2">
        <f t="shared" si="41"/>
        <v>4394</v>
      </c>
      <c r="AS69" s="2">
        <f t="shared" si="42"/>
        <v>793</v>
      </c>
      <c r="AT69" s="2">
        <f t="shared" si="43"/>
        <v>546</v>
      </c>
      <c r="AU69" s="2" t="str">
        <f t="shared" si="44"/>
        <v>-</v>
      </c>
      <c r="AV69" s="2" t="str">
        <f t="shared" si="45"/>
        <v>-</v>
      </c>
      <c r="AW69" s="2" t="str">
        <f t="shared" si="46"/>
        <v>-</v>
      </c>
      <c r="AX69" s="2" t="str">
        <f t="shared" si="47"/>
        <v>-</v>
      </c>
    </row>
    <row r="70" ht="14.25" customHeight="1">
      <c r="A70" s="2" t="str">
        <f t="array" ref="A70">IFERROR(INDEX('Product Price'!A:A,SMALL('Product Price'!$D:$D,68)),"")</f>
        <v>SAMSUNG Galaxy A17 LTE 8/128 GB</v>
      </c>
      <c r="B70" s="2">
        <f t="array" ref="B70">IFERROR(INDEX('Product Price'!B:B,SMALL('Product Price'!$D:$D,68)),"")</f>
        <v>6999</v>
      </c>
      <c r="C70" s="2">
        <f t="array" ref="C70">IFERROR(INDEX('Product Price'!C:C,SMALL('Product Price'!$D:$D,68)),"")</f>
        <v>58</v>
      </c>
      <c r="D70" s="2">
        <f t="shared" si="1"/>
        <v>795</v>
      </c>
      <c r="E70" s="2">
        <f t="shared" si="2"/>
        <v>7794</v>
      </c>
      <c r="F70" s="2">
        <f t="shared" si="48"/>
        <v>1050</v>
      </c>
      <c r="G70" s="2">
        <f t="shared" si="4"/>
        <v>5949</v>
      </c>
      <c r="H70" s="2">
        <f t="shared" si="5"/>
        <v>6744</v>
      </c>
      <c r="I70" s="2">
        <f t="shared" si="6"/>
        <v>1212</v>
      </c>
      <c r="J70" s="2">
        <f t="shared" si="7"/>
        <v>834</v>
      </c>
      <c r="K70" s="2">
        <f t="shared" si="8"/>
        <v>645</v>
      </c>
      <c r="L70" s="2">
        <f t="shared" si="9"/>
        <v>532</v>
      </c>
      <c r="M70" s="2" t="str">
        <f t="shared" si="10"/>
        <v>-</v>
      </c>
      <c r="N70" s="2" t="str">
        <f t="shared" si="11"/>
        <v>-</v>
      </c>
      <c r="O70" s="2">
        <f t="shared" si="12"/>
        <v>1400</v>
      </c>
      <c r="P70" s="2">
        <f t="shared" si="13"/>
        <v>5599</v>
      </c>
      <c r="Q70" s="2">
        <f t="shared" si="14"/>
        <v>6394</v>
      </c>
      <c r="R70" s="2">
        <f t="shared" si="15"/>
        <v>1150</v>
      </c>
      <c r="S70" s="2">
        <f t="shared" si="16"/>
        <v>791</v>
      </c>
      <c r="T70" s="2">
        <f t="shared" si="17"/>
        <v>612</v>
      </c>
      <c r="U70" s="2">
        <f t="shared" si="18"/>
        <v>505</v>
      </c>
      <c r="V70" s="2" t="str">
        <f t="shared" si="19"/>
        <v>-</v>
      </c>
      <c r="W70" s="2" t="str">
        <f t="shared" si="20"/>
        <v>-</v>
      </c>
      <c r="X70" s="2">
        <f t="shared" si="21"/>
        <v>1750</v>
      </c>
      <c r="Y70" s="2">
        <f t="shared" si="22"/>
        <v>5249</v>
      </c>
      <c r="Z70" s="2">
        <f t="shared" si="23"/>
        <v>6044</v>
      </c>
      <c r="AA70" s="2">
        <f t="shared" si="24"/>
        <v>1087</v>
      </c>
      <c r="AB70" s="2">
        <f t="shared" si="25"/>
        <v>748</v>
      </c>
      <c r="AC70" s="2">
        <f t="shared" si="26"/>
        <v>579</v>
      </c>
      <c r="AD70" s="2">
        <f t="shared" si="27"/>
        <v>477</v>
      </c>
      <c r="AE70" s="2" t="str">
        <f t="shared" si="28"/>
        <v>-</v>
      </c>
      <c r="AF70" s="2" t="str">
        <f t="shared" si="29"/>
        <v>-</v>
      </c>
      <c r="AG70" s="2">
        <f t="shared" si="30"/>
        <v>2450</v>
      </c>
      <c r="AH70" s="2">
        <f t="shared" si="31"/>
        <v>4549</v>
      </c>
      <c r="AI70" s="2">
        <f t="shared" si="32"/>
        <v>5344</v>
      </c>
      <c r="AJ70" s="2">
        <f t="shared" si="33"/>
        <v>963</v>
      </c>
      <c r="AK70" s="2">
        <f t="shared" si="34"/>
        <v>663</v>
      </c>
      <c r="AL70" s="2">
        <f t="shared" si="35"/>
        <v>513</v>
      </c>
      <c r="AM70" s="2" t="str">
        <f t="shared" si="36"/>
        <v>-</v>
      </c>
      <c r="AN70" s="2" t="str">
        <f t="shared" si="37"/>
        <v>-</v>
      </c>
      <c r="AO70" s="2" t="str">
        <f t="shared" si="38"/>
        <v>-</v>
      </c>
      <c r="AP70" s="2">
        <f t="shared" si="39"/>
        <v>2800</v>
      </c>
      <c r="AQ70" s="2">
        <f t="shared" si="40"/>
        <v>4199</v>
      </c>
      <c r="AR70" s="2">
        <f t="shared" si="41"/>
        <v>4994</v>
      </c>
      <c r="AS70" s="2">
        <f t="shared" si="42"/>
        <v>900</v>
      </c>
      <c r="AT70" s="2">
        <f t="shared" si="43"/>
        <v>620</v>
      </c>
      <c r="AU70" s="2" t="str">
        <f t="shared" si="44"/>
        <v>-</v>
      </c>
      <c r="AV70" s="2" t="str">
        <f t="shared" si="45"/>
        <v>-</v>
      </c>
      <c r="AW70" s="2" t="str">
        <f t="shared" si="46"/>
        <v>-</v>
      </c>
      <c r="AX70" s="2" t="str">
        <f t="shared" si="47"/>
        <v>-</v>
      </c>
    </row>
    <row r="71" ht="14.25" customHeight="1">
      <c r="A71" s="2" t="str">
        <f t="array" ref="A71">IFERROR(INDEX('Product Price'!A:A,SMALL('Product Price'!$D:$D,69)),"")</f>
        <v>SAMSUNG Galaxy A17 5G 8/128 GB</v>
      </c>
      <c r="B71" s="2">
        <f t="array" ref="B71">IFERROR(INDEX('Product Price'!B:B,SMALL('Product Price'!$D:$D,69)),"")</f>
        <v>7999</v>
      </c>
      <c r="C71" s="2">
        <f t="array" ref="C71">IFERROR(INDEX('Product Price'!C:C,SMALL('Product Price'!$D:$D,69)),"")</f>
        <v>59</v>
      </c>
      <c r="D71" s="2">
        <f t="shared" si="1"/>
        <v>795</v>
      </c>
      <c r="E71" s="2">
        <f t="shared" si="2"/>
        <v>8794</v>
      </c>
      <c r="F71" s="2">
        <f t="shared" si="48"/>
        <v>1200</v>
      </c>
      <c r="G71" s="2">
        <f t="shared" si="4"/>
        <v>6799</v>
      </c>
      <c r="H71" s="2">
        <f t="shared" si="5"/>
        <v>7594</v>
      </c>
      <c r="I71" s="2">
        <f t="shared" si="6"/>
        <v>1363</v>
      </c>
      <c r="J71" s="2">
        <f t="shared" si="7"/>
        <v>938</v>
      </c>
      <c r="K71" s="2">
        <f t="shared" si="8"/>
        <v>726</v>
      </c>
      <c r="L71" s="2">
        <f t="shared" si="9"/>
        <v>598</v>
      </c>
      <c r="M71" s="2">
        <f t="shared" si="10"/>
        <v>513</v>
      </c>
      <c r="N71" s="2" t="str">
        <f t="shared" si="11"/>
        <v>-</v>
      </c>
      <c r="O71" s="2">
        <f t="shared" si="12"/>
        <v>1600</v>
      </c>
      <c r="P71" s="2">
        <f t="shared" si="13"/>
        <v>6399</v>
      </c>
      <c r="Q71" s="2">
        <f t="shared" si="14"/>
        <v>7194</v>
      </c>
      <c r="R71" s="2">
        <f t="shared" si="15"/>
        <v>1292</v>
      </c>
      <c r="S71" s="2">
        <f t="shared" si="16"/>
        <v>889</v>
      </c>
      <c r="T71" s="2">
        <f t="shared" si="17"/>
        <v>688</v>
      </c>
      <c r="U71" s="2">
        <f t="shared" si="18"/>
        <v>567</v>
      </c>
      <c r="V71" s="2">
        <f t="shared" si="19"/>
        <v>487</v>
      </c>
      <c r="W71" s="2" t="str">
        <f t="shared" si="20"/>
        <v>-</v>
      </c>
      <c r="X71" s="2">
        <f t="shared" si="21"/>
        <v>2000</v>
      </c>
      <c r="Y71" s="2">
        <f t="shared" si="22"/>
        <v>5999</v>
      </c>
      <c r="Z71" s="2">
        <f t="shared" si="23"/>
        <v>6794</v>
      </c>
      <c r="AA71" s="2">
        <f t="shared" si="24"/>
        <v>1221</v>
      </c>
      <c r="AB71" s="2">
        <f t="shared" si="25"/>
        <v>840</v>
      </c>
      <c r="AC71" s="2">
        <f t="shared" si="26"/>
        <v>650</v>
      </c>
      <c r="AD71" s="2">
        <f t="shared" si="27"/>
        <v>536</v>
      </c>
      <c r="AE71" s="2">
        <f t="shared" si="28"/>
        <v>460</v>
      </c>
      <c r="AF71" s="2" t="str">
        <f t="shared" si="29"/>
        <v>-</v>
      </c>
      <c r="AG71" s="2">
        <f t="shared" si="30"/>
        <v>2800</v>
      </c>
      <c r="AH71" s="2">
        <f t="shared" si="31"/>
        <v>5199</v>
      </c>
      <c r="AI71" s="2">
        <f t="shared" si="32"/>
        <v>5994</v>
      </c>
      <c r="AJ71" s="2">
        <f t="shared" si="33"/>
        <v>1078</v>
      </c>
      <c r="AK71" s="2">
        <f t="shared" si="34"/>
        <v>742</v>
      </c>
      <c r="AL71" s="2">
        <f t="shared" si="35"/>
        <v>574</v>
      </c>
      <c r="AM71" s="2">
        <f t="shared" si="36"/>
        <v>473</v>
      </c>
      <c r="AN71" s="2" t="str">
        <f t="shared" si="37"/>
        <v>-</v>
      </c>
      <c r="AO71" s="2" t="str">
        <f t="shared" si="38"/>
        <v>-</v>
      </c>
      <c r="AP71" s="2">
        <f t="shared" si="39"/>
        <v>3200</v>
      </c>
      <c r="AQ71" s="2">
        <f t="shared" si="40"/>
        <v>4799</v>
      </c>
      <c r="AR71" s="2">
        <f t="shared" si="41"/>
        <v>5594</v>
      </c>
      <c r="AS71" s="2">
        <f t="shared" si="42"/>
        <v>1007</v>
      </c>
      <c r="AT71" s="2">
        <f t="shared" si="43"/>
        <v>693</v>
      </c>
      <c r="AU71" s="2">
        <f t="shared" si="44"/>
        <v>536</v>
      </c>
      <c r="AV71" s="2" t="str">
        <f t="shared" si="45"/>
        <v>-</v>
      </c>
      <c r="AW71" s="2" t="str">
        <f t="shared" si="46"/>
        <v>-</v>
      </c>
      <c r="AX71" s="2" t="str">
        <f t="shared" si="47"/>
        <v>-</v>
      </c>
    </row>
    <row r="72" ht="14.25" customHeight="1">
      <c r="A72" s="2" t="str">
        <f t="array" ref="A72">IFERROR(INDEX('Product Price'!A:A,SMALL('Product Price'!$D:$D,70)),"")</f>
        <v>SAMSUNG Galaxy A17 5G 8/256 GB</v>
      </c>
      <c r="B72" s="2">
        <f t="array" ref="B72">IFERROR(INDEX('Product Price'!B:B,SMALL('Product Price'!$D:$D,70)),"")</f>
        <v>9299</v>
      </c>
      <c r="C72" s="2">
        <f t="array" ref="C72">IFERROR(INDEX('Product Price'!C:C,SMALL('Product Price'!$D:$D,70)),"")</f>
        <v>60</v>
      </c>
      <c r="D72" s="2">
        <f t="shared" si="1"/>
        <v>795</v>
      </c>
      <c r="E72" s="2">
        <f t="shared" si="2"/>
        <v>10094</v>
      </c>
      <c r="F72" s="2">
        <f t="shared" si="48"/>
        <v>1395</v>
      </c>
      <c r="G72" s="2">
        <f t="shared" si="4"/>
        <v>7904</v>
      </c>
      <c r="H72" s="2">
        <f t="shared" si="5"/>
        <v>8699</v>
      </c>
      <c r="I72" s="2">
        <f t="shared" si="6"/>
        <v>1560</v>
      </c>
      <c r="J72" s="2">
        <f t="shared" si="7"/>
        <v>1074</v>
      </c>
      <c r="K72" s="2">
        <f t="shared" si="8"/>
        <v>831</v>
      </c>
      <c r="L72" s="2">
        <f t="shared" si="9"/>
        <v>685</v>
      </c>
      <c r="M72" s="2">
        <f t="shared" si="10"/>
        <v>588</v>
      </c>
      <c r="N72" s="2">
        <f t="shared" si="11"/>
        <v>466</v>
      </c>
      <c r="O72" s="2">
        <f t="shared" si="12"/>
        <v>1860</v>
      </c>
      <c r="P72" s="2">
        <f t="shared" si="13"/>
        <v>7439</v>
      </c>
      <c r="Q72" s="2">
        <f t="shared" si="14"/>
        <v>8234</v>
      </c>
      <c r="R72" s="2">
        <f t="shared" si="15"/>
        <v>1477</v>
      </c>
      <c r="S72" s="2">
        <f t="shared" si="16"/>
        <v>1017</v>
      </c>
      <c r="T72" s="2">
        <f t="shared" si="17"/>
        <v>787</v>
      </c>
      <c r="U72" s="2">
        <f t="shared" si="18"/>
        <v>648</v>
      </c>
      <c r="V72" s="2">
        <f t="shared" si="19"/>
        <v>556</v>
      </c>
      <c r="W72" s="2" t="str">
        <f t="shared" si="20"/>
        <v>-</v>
      </c>
      <c r="X72" s="2">
        <f t="shared" si="21"/>
        <v>2325</v>
      </c>
      <c r="Y72" s="2">
        <f t="shared" si="22"/>
        <v>6974</v>
      </c>
      <c r="Z72" s="2">
        <f t="shared" si="23"/>
        <v>7769</v>
      </c>
      <c r="AA72" s="2">
        <f t="shared" si="24"/>
        <v>1395</v>
      </c>
      <c r="AB72" s="2">
        <f t="shared" si="25"/>
        <v>960</v>
      </c>
      <c r="AC72" s="2">
        <f t="shared" si="26"/>
        <v>743</v>
      </c>
      <c r="AD72" s="2">
        <f t="shared" si="27"/>
        <v>612</v>
      </c>
      <c r="AE72" s="2">
        <f t="shared" si="28"/>
        <v>525</v>
      </c>
      <c r="AF72" s="2" t="str">
        <f t="shared" si="29"/>
        <v>-</v>
      </c>
      <c r="AG72" s="2">
        <f t="shared" si="30"/>
        <v>3255</v>
      </c>
      <c r="AH72" s="2">
        <f t="shared" si="31"/>
        <v>6044</v>
      </c>
      <c r="AI72" s="2">
        <f t="shared" si="32"/>
        <v>6839</v>
      </c>
      <c r="AJ72" s="2">
        <f t="shared" si="33"/>
        <v>1229</v>
      </c>
      <c r="AK72" s="2">
        <f t="shared" si="34"/>
        <v>846</v>
      </c>
      <c r="AL72" s="2">
        <f t="shared" si="35"/>
        <v>654</v>
      </c>
      <c r="AM72" s="2">
        <f t="shared" si="36"/>
        <v>539</v>
      </c>
      <c r="AN72" s="2">
        <f t="shared" si="37"/>
        <v>463</v>
      </c>
      <c r="AO72" s="2" t="str">
        <f t="shared" si="38"/>
        <v>-</v>
      </c>
      <c r="AP72" s="2">
        <f t="shared" si="39"/>
        <v>3720</v>
      </c>
      <c r="AQ72" s="2">
        <f t="shared" si="40"/>
        <v>5579</v>
      </c>
      <c r="AR72" s="2">
        <f t="shared" si="41"/>
        <v>6374</v>
      </c>
      <c r="AS72" s="2">
        <f t="shared" si="42"/>
        <v>1146</v>
      </c>
      <c r="AT72" s="2">
        <f t="shared" si="43"/>
        <v>789</v>
      </c>
      <c r="AU72" s="2">
        <f t="shared" si="44"/>
        <v>610</v>
      </c>
      <c r="AV72" s="2">
        <f t="shared" si="45"/>
        <v>503</v>
      </c>
      <c r="AW72" s="2" t="str">
        <f t="shared" si="46"/>
        <v>-</v>
      </c>
      <c r="AX72" s="2" t="str">
        <f t="shared" si="47"/>
        <v>-</v>
      </c>
    </row>
    <row r="73" ht="14.25" customHeight="1">
      <c r="A73" s="2" t="str">
        <f t="array" ref="A73">IFERROR(INDEX('Product Price'!A:A,SMALL('Product Price'!$D:$D,71)),"")</f>
        <v>SAMSUNG Galaxy A26 5G 8/256 GB</v>
      </c>
      <c r="B73" s="2">
        <f t="array" ref="B73">IFERROR(INDEX('Product Price'!B:B,SMALL('Product Price'!$D:$D,71)),"")</f>
        <v>10999</v>
      </c>
      <c r="C73" s="2">
        <f t="array" ref="C73">IFERROR(INDEX('Product Price'!C:C,SMALL('Product Price'!$D:$D,71)),"")</f>
        <v>61</v>
      </c>
      <c r="D73" s="2">
        <f t="shared" si="1"/>
        <v>1450</v>
      </c>
      <c r="E73" s="2">
        <f t="shared" si="2"/>
        <v>12449</v>
      </c>
      <c r="F73" s="2">
        <f t="shared" si="48"/>
        <v>1650</v>
      </c>
      <c r="G73" s="2">
        <f t="shared" si="4"/>
        <v>9349</v>
      </c>
      <c r="H73" s="2">
        <f t="shared" si="5"/>
        <v>10799</v>
      </c>
      <c r="I73" s="2">
        <f t="shared" si="6"/>
        <v>1943</v>
      </c>
      <c r="J73" s="2">
        <f t="shared" si="7"/>
        <v>1337</v>
      </c>
      <c r="K73" s="2">
        <f t="shared" si="8"/>
        <v>1034</v>
      </c>
      <c r="L73" s="2">
        <f t="shared" si="9"/>
        <v>853</v>
      </c>
      <c r="M73" s="2">
        <f t="shared" si="10"/>
        <v>731</v>
      </c>
      <c r="N73" s="2">
        <f t="shared" si="11"/>
        <v>580</v>
      </c>
      <c r="O73" s="2">
        <f t="shared" si="12"/>
        <v>2200</v>
      </c>
      <c r="P73" s="2">
        <f t="shared" si="13"/>
        <v>8799</v>
      </c>
      <c r="Q73" s="2">
        <f t="shared" si="14"/>
        <v>10249</v>
      </c>
      <c r="R73" s="2">
        <f t="shared" si="15"/>
        <v>1845</v>
      </c>
      <c r="S73" s="2">
        <f t="shared" si="16"/>
        <v>1270</v>
      </c>
      <c r="T73" s="2">
        <f t="shared" si="17"/>
        <v>982</v>
      </c>
      <c r="U73" s="2">
        <f t="shared" si="18"/>
        <v>810</v>
      </c>
      <c r="V73" s="2">
        <f t="shared" si="19"/>
        <v>695</v>
      </c>
      <c r="W73" s="2">
        <f t="shared" si="20"/>
        <v>551</v>
      </c>
      <c r="X73" s="2">
        <f t="shared" si="21"/>
        <v>2750</v>
      </c>
      <c r="Y73" s="2">
        <f t="shared" si="22"/>
        <v>8249</v>
      </c>
      <c r="Z73" s="2">
        <f t="shared" si="23"/>
        <v>9699</v>
      </c>
      <c r="AA73" s="2">
        <f t="shared" si="24"/>
        <v>1747</v>
      </c>
      <c r="AB73" s="2">
        <f t="shared" si="25"/>
        <v>1202</v>
      </c>
      <c r="AC73" s="2">
        <f t="shared" si="26"/>
        <v>930</v>
      </c>
      <c r="AD73" s="2">
        <f t="shared" si="27"/>
        <v>767</v>
      </c>
      <c r="AE73" s="2">
        <f t="shared" si="28"/>
        <v>658</v>
      </c>
      <c r="AF73" s="2">
        <f t="shared" si="29"/>
        <v>522</v>
      </c>
      <c r="AG73" s="2">
        <f t="shared" si="30"/>
        <v>3850</v>
      </c>
      <c r="AH73" s="2">
        <f t="shared" si="31"/>
        <v>7149</v>
      </c>
      <c r="AI73" s="2">
        <f t="shared" si="32"/>
        <v>8599</v>
      </c>
      <c r="AJ73" s="2">
        <f t="shared" si="33"/>
        <v>1551</v>
      </c>
      <c r="AK73" s="2">
        <f t="shared" si="34"/>
        <v>1067</v>
      </c>
      <c r="AL73" s="2">
        <f t="shared" si="35"/>
        <v>826</v>
      </c>
      <c r="AM73" s="2">
        <f t="shared" si="36"/>
        <v>681</v>
      </c>
      <c r="AN73" s="2">
        <f t="shared" si="37"/>
        <v>584</v>
      </c>
      <c r="AO73" s="2" t="str">
        <f t="shared" si="38"/>
        <v>-</v>
      </c>
      <c r="AP73" s="2">
        <f t="shared" si="39"/>
        <v>4400</v>
      </c>
      <c r="AQ73" s="2">
        <f t="shared" si="40"/>
        <v>6599</v>
      </c>
      <c r="AR73" s="2">
        <f t="shared" si="41"/>
        <v>8049</v>
      </c>
      <c r="AS73" s="2">
        <f t="shared" si="42"/>
        <v>1453</v>
      </c>
      <c r="AT73" s="2">
        <f t="shared" si="43"/>
        <v>1000</v>
      </c>
      <c r="AU73" s="2">
        <f t="shared" si="44"/>
        <v>773</v>
      </c>
      <c r="AV73" s="2">
        <f t="shared" si="45"/>
        <v>638</v>
      </c>
      <c r="AW73" s="2">
        <f t="shared" si="46"/>
        <v>547</v>
      </c>
      <c r="AX73" s="2" t="str">
        <f t="shared" si="47"/>
        <v>-</v>
      </c>
    </row>
    <row r="74" ht="14.25" customHeight="1">
      <c r="A74" s="2" t="str">
        <f t="array" ref="A74">IFERROR(INDEX('Product Price'!A:A,SMALL('Product Price'!$D:$D,72)),"")</f>
        <v>SAMSUNG Galaxy A57 5G 12/512 GB</v>
      </c>
      <c r="B74" s="2">
        <f t="array" ref="B74">IFERROR(INDEX('Product Price'!B:B,SMALL('Product Price'!$D:$D,72)),"")</f>
        <v>20999</v>
      </c>
      <c r="C74" s="2">
        <f t="array" ref="C74">IFERROR(INDEX('Product Price'!C:C,SMALL('Product Price'!$D:$D,72)),"")</f>
        <v>62</v>
      </c>
      <c r="D74" s="2">
        <f t="shared" si="1"/>
        <v>1900</v>
      </c>
      <c r="E74" s="2">
        <f t="shared" si="2"/>
        <v>22899</v>
      </c>
      <c r="F74" s="2">
        <f t="shared" si="48"/>
        <v>3150</v>
      </c>
      <c r="G74" s="2">
        <f t="shared" si="4"/>
        <v>17849</v>
      </c>
      <c r="H74" s="2">
        <f t="shared" si="5"/>
        <v>19749</v>
      </c>
      <c r="I74" s="2">
        <f t="shared" si="6"/>
        <v>3543</v>
      </c>
      <c r="J74" s="2">
        <f t="shared" si="7"/>
        <v>2438</v>
      </c>
      <c r="K74" s="2">
        <f t="shared" si="8"/>
        <v>1886</v>
      </c>
      <c r="L74" s="2">
        <f t="shared" si="9"/>
        <v>1555</v>
      </c>
      <c r="M74" s="2">
        <f t="shared" si="10"/>
        <v>1334</v>
      </c>
      <c r="N74" s="2">
        <f t="shared" si="11"/>
        <v>1058</v>
      </c>
      <c r="O74" s="2">
        <f t="shared" si="12"/>
        <v>4200</v>
      </c>
      <c r="P74" s="2">
        <f t="shared" si="13"/>
        <v>16799</v>
      </c>
      <c r="Q74" s="2">
        <f t="shared" si="14"/>
        <v>18699</v>
      </c>
      <c r="R74" s="2">
        <f t="shared" si="15"/>
        <v>3356</v>
      </c>
      <c r="S74" s="2">
        <f t="shared" si="16"/>
        <v>2310</v>
      </c>
      <c r="T74" s="2">
        <f t="shared" si="17"/>
        <v>1786</v>
      </c>
      <c r="U74" s="2">
        <f t="shared" si="18"/>
        <v>1473</v>
      </c>
      <c r="V74" s="2">
        <f t="shared" si="19"/>
        <v>1263</v>
      </c>
      <c r="W74" s="2">
        <f t="shared" si="20"/>
        <v>1002</v>
      </c>
      <c r="X74" s="2">
        <f t="shared" si="21"/>
        <v>5250</v>
      </c>
      <c r="Y74" s="2">
        <f t="shared" si="22"/>
        <v>15749</v>
      </c>
      <c r="Z74" s="2">
        <f t="shared" si="23"/>
        <v>17649</v>
      </c>
      <c r="AA74" s="2">
        <f t="shared" si="24"/>
        <v>3169</v>
      </c>
      <c r="AB74" s="2">
        <f t="shared" si="25"/>
        <v>2181</v>
      </c>
      <c r="AC74" s="2">
        <f t="shared" si="26"/>
        <v>1687</v>
      </c>
      <c r="AD74" s="2">
        <f t="shared" si="27"/>
        <v>1390</v>
      </c>
      <c r="AE74" s="2">
        <f t="shared" si="28"/>
        <v>1193</v>
      </c>
      <c r="AF74" s="2">
        <f t="shared" si="29"/>
        <v>946</v>
      </c>
      <c r="AG74" s="2">
        <f t="shared" si="30"/>
        <v>7350</v>
      </c>
      <c r="AH74" s="2">
        <f t="shared" si="31"/>
        <v>13649</v>
      </c>
      <c r="AI74" s="2">
        <f t="shared" si="32"/>
        <v>15549</v>
      </c>
      <c r="AJ74" s="2">
        <f t="shared" si="33"/>
        <v>2795</v>
      </c>
      <c r="AK74" s="2">
        <f t="shared" si="34"/>
        <v>1923</v>
      </c>
      <c r="AL74" s="2">
        <f t="shared" si="35"/>
        <v>1488</v>
      </c>
      <c r="AM74" s="2">
        <f t="shared" si="36"/>
        <v>1226</v>
      </c>
      <c r="AN74" s="2">
        <f t="shared" si="37"/>
        <v>1052</v>
      </c>
      <c r="AO74" s="2">
        <f t="shared" si="38"/>
        <v>834</v>
      </c>
      <c r="AP74" s="2">
        <f t="shared" si="39"/>
        <v>8400</v>
      </c>
      <c r="AQ74" s="2">
        <f t="shared" si="40"/>
        <v>12599</v>
      </c>
      <c r="AR74" s="2">
        <f t="shared" si="41"/>
        <v>14499</v>
      </c>
      <c r="AS74" s="2">
        <f t="shared" si="42"/>
        <v>2607</v>
      </c>
      <c r="AT74" s="2">
        <f t="shared" si="43"/>
        <v>1795</v>
      </c>
      <c r="AU74" s="2">
        <f t="shared" si="44"/>
        <v>1388</v>
      </c>
      <c r="AV74" s="2">
        <f t="shared" si="45"/>
        <v>1144</v>
      </c>
      <c r="AW74" s="2">
        <f t="shared" si="46"/>
        <v>982</v>
      </c>
      <c r="AX74" s="2">
        <f t="shared" si="47"/>
        <v>778</v>
      </c>
    </row>
    <row r="75" ht="14.25" customHeight="1">
      <c r="A75" s="2" t="str">
        <f t="array" ref="A75">IFERROR(INDEX('Product Price'!A:A,SMALL('Product Price'!$D:$D,73)),"")</f>
        <v>SAMSUNG Galaxy A57 5G 12/256 GB</v>
      </c>
      <c r="B75" s="2">
        <f t="array" ref="B75">IFERROR(INDEX('Product Price'!B:B,SMALL('Product Price'!$D:$D,73)),"")</f>
        <v>17999</v>
      </c>
      <c r="C75" s="2">
        <f t="array" ref="C75">IFERROR(INDEX('Product Price'!C:C,SMALL('Product Price'!$D:$D,73)),"")</f>
        <v>63</v>
      </c>
      <c r="D75" s="2">
        <f t="shared" si="1"/>
        <v>1450</v>
      </c>
      <c r="E75" s="2">
        <f t="shared" si="2"/>
        <v>19449</v>
      </c>
      <c r="F75" s="2">
        <f t="shared" si="48"/>
        <v>2700</v>
      </c>
      <c r="G75" s="2">
        <f t="shared" si="4"/>
        <v>15299</v>
      </c>
      <c r="H75" s="2">
        <f t="shared" si="5"/>
        <v>16749</v>
      </c>
      <c r="I75" s="2">
        <f t="shared" si="6"/>
        <v>3003</v>
      </c>
      <c r="J75" s="2">
        <f t="shared" si="7"/>
        <v>2067</v>
      </c>
      <c r="K75" s="2">
        <f t="shared" si="8"/>
        <v>1598</v>
      </c>
      <c r="L75" s="2">
        <f t="shared" si="9"/>
        <v>1318</v>
      </c>
      <c r="M75" s="2">
        <f t="shared" si="10"/>
        <v>1130</v>
      </c>
      <c r="N75" s="2">
        <f t="shared" si="11"/>
        <v>896</v>
      </c>
      <c r="O75" s="2">
        <f t="shared" si="12"/>
        <v>3600</v>
      </c>
      <c r="P75" s="2">
        <f t="shared" si="13"/>
        <v>14399</v>
      </c>
      <c r="Q75" s="2">
        <f t="shared" si="14"/>
        <v>15849</v>
      </c>
      <c r="R75" s="2">
        <f t="shared" si="15"/>
        <v>2842</v>
      </c>
      <c r="S75" s="2">
        <f t="shared" si="16"/>
        <v>1956</v>
      </c>
      <c r="T75" s="2">
        <f t="shared" si="17"/>
        <v>1513</v>
      </c>
      <c r="U75" s="2">
        <f t="shared" si="18"/>
        <v>1247</v>
      </c>
      <c r="V75" s="2">
        <f t="shared" si="19"/>
        <v>1070</v>
      </c>
      <c r="W75" s="2">
        <f t="shared" si="20"/>
        <v>849</v>
      </c>
      <c r="X75" s="2">
        <f t="shared" si="21"/>
        <v>4500</v>
      </c>
      <c r="Y75" s="2">
        <f t="shared" si="22"/>
        <v>13499</v>
      </c>
      <c r="Z75" s="2">
        <f t="shared" si="23"/>
        <v>14949</v>
      </c>
      <c r="AA75" s="2">
        <f t="shared" si="24"/>
        <v>2682</v>
      </c>
      <c r="AB75" s="2">
        <f t="shared" si="25"/>
        <v>1846</v>
      </c>
      <c r="AC75" s="2">
        <f t="shared" si="26"/>
        <v>1428</v>
      </c>
      <c r="AD75" s="2">
        <f t="shared" si="27"/>
        <v>1177</v>
      </c>
      <c r="AE75" s="2">
        <f t="shared" si="28"/>
        <v>1010</v>
      </c>
      <c r="AF75" s="2">
        <f t="shared" si="29"/>
        <v>801</v>
      </c>
      <c r="AG75" s="2">
        <f t="shared" si="30"/>
        <v>6300</v>
      </c>
      <c r="AH75" s="2">
        <f t="shared" si="31"/>
        <v>11699</v>
      </c>
      <c r="AI75" s="2">
        <f t="shared" si="32"/>
        <v>13149</v>
      </c>
      <c r="AJ75" s="2">
        <f t="shared" si="33"/>
        <v>2361</v>
      </c>
      <c r="AK75" s="2">
        <f t="shared" si="34"/>
        <v>1625</v>
      </c>
      <c r="AL75" s="2">
        <f t="shared" si="35"/>
        <v>1257</v>
      </c>
      <c r="AM75" s="2">
        <f t="shared" si="36"/>
        <v>1036</v>
      </c>
      <c r="AN75" s="2">
        <f t="shared" si="37"/>
        <v>889</v>
      </c>
      <c r="AO75" s="2">
        <f t="shared" si="38"/>
        <v>705</v>
      </c>
      <c r="AP75" s="2">
        <f t="shared" si="39"/>
        <v>7200</v>
      </c>
      <c r="AQ75" s="2">
        <f t="shared" si="40"/>
        <v>10799</v>
      </c>
      <c r="AR75" s="2">
        <f t="shared" si="41"/>
        <v>12249</v>
      </c>
      <c r="AS75" s="2">
        <f t="shared" si="42"/>
        <v>2201</v>
      </c>
      <c r="AT75" s="2">
        <f t="shared" si="43"/>
        <v>1515</v>
      </c>
      <c r="AU75" s="2">
        <f t="shared" si="44"/>
        <v>1172</v>
      </c>
      <c r="AV75" s="2">
        <f t="shared" si="45"/>
        <v>966</v>
      </c>
      <c r="AW75" s="2">
        <f t="shared" si="46"/>
        <v>829</v>
      </c>
      <c r="AX75" s="2">
        <f t="shared" si="47"/>
        <v>657</v>
      </c>
    </row>
    <row r="76" ht="14.25" customHeight="1">
      <c r="A76" s="2" t="str">
        <f t="array" ref="A76">IFERROR(INDEX('Product Price'!A:A,SMALL('Product Price'!$D:$D,74)),"")</f>
        <v>SAMSUNG Galaxy A57 5G 8/256 GB</v>
      </c>
      <c r="B76" s="2">
        <f t="array" ref="B76">IFERROR(INDEX('Product Price'!B:B,SMALL('Product Price'!$D:$D,74)),"")</f>
        <v>16999</v>
      </c>
      <c r="C76" s="2">
        <f t="array" ref="C76">IFERROR(INDEX('Product Price'!C:C,SMALL('Product Price'!$D:$D,74)),"")</f>
        <v>64</v>
      </c>
      <c r="D76" s="2">
        <f t="shared" si="1"/>
        <v>1450</v>
      </c>
      <c r="E76" s="2">
        <f t="shared" si="2"/>
        <v>18449</v>
      </c>
      <c r="F76" s="2">
        <f t="shared" si="48"/>
        <v>2550</v>
      </c>
      <c r="G76" s="2">
        <f t="shared" si="4"/>
        <v>14449</v>
      </c>
      <c r="H76" s="2">
        <f t="shared" si="5"/>
        <v>15899</v>
      </c>
      <c r="I76" s="2">
        <f t="shared" si="6"/>
        <v>2851</v>
      </c>
      <c r="J76" s="2">
        <f t="shared" si="7"/>
        <v>1962</v>
      </c>
      <c r="K76" s="2">
        <f t="shared" si="8"/>
        <v>1518</v>
      </c>
      <c r="L76" s="2">
        <f t="shared" si="9"/>
        <v>1251</v>
      </c>
      <c r="M76" s="2">
        <f t="shared" si="10"/>
        <v>1073</v>
      </c>
      <c r="N76" s="2">
        <f t="shared" si="11"/>
        <v>851</v>
      </c>
      <c r="O76" s="2">
        <f t="shared" si="12"/>
        <v>3400</v>
      </c>
      <c r="P76" s="2">
        <f t="shared" si="13"/>
        <v>13599</v>
      </c>
      <c r="Q76" s="2">
        <f t="shared" si="14"/>
        <v>15049</v>
      </c>
      <c r="R76" s="2">
        <f t="shared" si="15"/>
        <v>2700</v>
      </c>
      <c r="S76" s="2">
        <f t="shared" si="16"/>
        <v>1858</v>
      </c>
      <c r="T76" s="2">
        <f t="shared" si="17"/>
        <v>1437</v>
      </c>
      <c r="U76" s="2">
        <f t="shared" si="18"/>
        <v>1185</v>
      </c>
      <c r="V76" s="2">
        <f t="shared" si="19"/>
        <v>1016</v>
      </c>
      <c r="W76" s="2">
        <f t="shared" si="20"/>
        <v>806</v>
      </c>
      <c r="X76" s="2">
        <f t="shared" si="21"/>
        <v>4250</v>
      </c>
      <c r="Y76" s="2">
        <f t="shared" si="22"/>
        <v>12749</v>
      </c>
      <c r="Z76" s="2">
        <f t="shared" si="23"/>
        <v>14199</v>
      </c>
      <c r="AA76" s="2">
        <f t="shared" si="24"/>
        <v>2548</v>
      </c>
      <c r="AB76" s="2">
        <f t="shared" si="25"/>
        <v>1754</v>
      </c>
      <c r="AC76" s="2">
        <f t="shared" si="26"/>
        <v>1357</v>
      </c>
      <c r="AD76" s="2">
        <f t="shared" si="27"/>
        <v>1118</v>
      </c>
      <c r="AE76" s="2">
        <f t="shared" si="28"/>
        <v>959</v>
      </c>
      <c r="AF76" s="2">
        <f t="shared" si="29"/>
        <v>761</v>
      </c>
      <c r="AG76" s="2">
        <f t="shared" si="30"/>
        <v>5950</v>
      </c>
      <c r="AH76" s="2">
        <f t="shared" si="31"/>
        <v>11049</v>
      </c>
      <c r="AI76" s="2">
        <f t="shared" si="32"/>
        <v>12499</v>
      </c>
      <c r="AJ76" s="2">
        <f t="shared" si="33"/>
        <v>2245</v>
      </c>
      <c r="AK76" s="2">
        <f t="shared" si="34"/>
        <v>1545</v>
      </c>
      <c r="AL76" s="2">
        <f t="shared" si="35"/>
        <v>1195</v>
      </c>
      <c r="AM76" s="2">
        <f t="shared" si="36"/>
        <v>985</v>
      </c>
      <c r="AN76" s="2">
        <f t="shared" si="37"/>
        <v>845</v>
      </c>
      <c r="AO76" s="2">
        <f t="shared" si="38"/>
        <v>670</v>
      </c>
      <c r="AP76" s="2">
        <f t="shared" si="39"/>
        <v>6800</v>
      </c>
      <c r="AQ76" s="2">
        <f t="shared" si="40"/>
        <v>10199</v>
      </c>
      <c r="AR76" s="2">
        <f t="shared" si="41"/>
        <v>11649</v>
      </c>
      <c r="AS76" s="2">
        <f t="shared" si="42"/>
        <v>2094</v>
      </c>
      <c r="AT76" s="2">
        <f t="shared" si="43"/>
        <v>1441</v>
      </c>
      <c r="AU76" s="2">
        <f t="shared" si="44"/>
        <v>1115</v>
      </c>
      <c r="AV76" s="2">
        <f t="shared" si="45"/>
        <v>919</v>
      </c>
      <c r="AW76" s="2">
        <f t="shared" si="46"/>
        <v>788</v>
      </c>
      <c r="AX76" s="2">
        <f t="shared" si="47"/>
        <v>625</v>
      </c>
    </row>
    <row r="77" ht="14.25" customHeight="1">
      <c r="A77" s="2" t="str">
        <f t="array" ref="A77">IFERROR(INDEX('Product Price'!A:A,SMALL('Product Price'!$D:$D,75)),"")</f>
        <v>SAMSUNG Galaxy A37 5G 8/256 GB</v>
      </c>
      <c r="B77" s="2">
        <f t="array" ref="B77">IFERROR(INDEX('Product Price'!B:B,SMALL('Product Price'!$D:$D,75)),"")</f>
        <v>13999</v>
      </c>
      <c r="C77" s="2">
        <f t="array" ref="C77">IFERROR(INDEX('Product Price'!C:C,SMALL('Product Price'!$D:$D,75)),"")</f>
        <v>65</v>
      </c>
      <c r="D77" s="2">
        <f t="shared" si="1"/>
        <v>1450</v>
      </c>
      <c r="E77" s="2">
        <f t="shared" si="2"/>
        <v>15449</v>
      </c>
      <c r="F77" s="2">
        <f t="shared" si="48"/>
        <v>2100</v>
      </c>
      <c r="G77" s="2">
        <f t="shared" si="4"/>
        <v>11899</v>
      </c>
      <c r="H77" s="2">
        <f t="shared" si="5"/>
        <v>13349</v>
      </c>
      <c r="I77" s="2">
        <f t="shared" si="6"/>
        <v>2397</v>
      </c>
      <c r="J77" s="2">
        <f t="shared" si="7"/>
        <v>1650</v>
      </c>
      <c r="K77" s="2">
        <f t="shared" si="8"/>
        <v>1276</v>
      </c>
      <c r="L77" s="2">
        <f t="shared" si="9"/>
        <v>1052</v>
      </c>
      <c r="M77" s="2">
        <f t="shared" si="10"/>
        <v>902</v>
      </c>
      <c r="N77" s="2">
        <f t="shared" si="11"/>
        <v>716</v>
      </c>
      <c r="O77" s="2">
        <f t="shared" si="12"/>
        <v>2800</v>
      </c>
      <c r="P77" s="2">
        <f t="shared" si="13"/>
        <v>11199</v>
      </c>
      <c r="Q77" s="2">
        <f t="shared" si="14"/>
        <v>12649</v>
      </c>
      <c r="R77" s="2">
        <f t="shared" si="15"/>
        <v>2272</v>
      </c>
      <c r="S77" s="2">
        <f t="shared" si="16"/>
        <v>1564</v>
      </c>
      <c r="T77" s="2">
        <f t="shared" si="17"/>
        <v>1210</v>
      </c>
      <c r="U77" s="2">
        <f t="shared" si="18"/>
        <v>997</v>
      </c>
      <c r="V77" s="2">
        <f t="shared" si="19"/>
        <v>855</v>
      </c>
      <c r="W77" s="2">
        <f t="shared" si="20"/>
        <v>678</v>
      </c>
      <c r="X77" s="2">
        <f t="shared" si="21"/>
        <v>3500</v>
      </c>
      <c r="Y77" s="2">
        <f t="shared" si="22"/>
        <v>10499</v>
      </c>
      <c r="Z77" s="2">
        <f t="shared" si="23"/>
        <v>11949</v>
      </c>
      <c r="AA77" s="2">
        <f t="shared" si="24"/>
        <v>2147</v>
      </c>
      <c r="AB77" s="2">
        <f t="shared" si="25"/>
        <v>1478</v>
      </c>
      <c r="AC77" s="2">
        <f t="shared" si="26"/>
        <v>1143</v>
      </c>
      <c r="AD77" s="2">
        <f t="shared" si="27"/>
        <v>942</v>
      </c>
      <c r="AE77" s="2">
        <f t="shared" si="28"/>
        <v>809</v>
      </c>
      <c r="AF77" s="2">
        <f t="shared" si="29"/>
        <v>641</v>
      </c>
      <c r="AG77" s="2">
        <f t="shared" si="30"/>
        <v>4900</v>
      </c>
      <c r="AH77" s="2">
        <f t="shared" si="31"/>
        <v>9099</v>
      </c>
      <c r="AI77" s="2">
        <f t="shared" si="32"/>
        <v>10549</v>
      </c>
      <c r="AJ77" s="2">
        <f t="shared" si="33"/>
        <v>1898</v>
      </c>
      <c r="AK77" s="2">
        <f t="shared" si="34"/>
        <v>1306</v>
      </c>
      <c r="AL77" s="2">
        <f t="shared" si="35"/>
        <v>1011</v>
      </c>
      <c r="AM77" s="2">
        <f t="shared" si="36"/>
        <v>833</v>
      </c>
      <c r="AN77" s="2">
        <f t="shared" si="37"/>
        <v>715</v>
      </c>
      <c r="AO77" s="2">
        <f t="shared" si="38"/>
        <v>567</v>
      </c>
      <c r="AP77" s="2">
        <f t="shared" si="39"/>
        <v>5600</v>
      </c>
      <c r="AQ77" s="2">
        <f t="shared" si="40"/>
        <v>8399</v>
      </c>
      <c r="AR77" s="2">
        <f t="shared" si="41"/>
        <v>9849</v>
      </c>
      <c r="AS77" s="2">
        <f t="shared" si="42"/>
        <v>1773</v>
      </c>
      <c r="AT77" s="2">
        <f t="shared" si="43"/>
        <v>1221</v>
      </c>
      <c r="AU77" s="2">
        <f t="shared" si="44"/>
        <v>944</v>
      </c>
      <c r="AV77" s="2">
        <f t="shared" si="45"/>
        <v>778</v>
      </c>
      <c r="AW77" s="2">
        <f t="shared" si="46"/>
        <v>668</v>
      </c>
      <c r="AX77" s="2">
        <f t="shared" si="47"/>
        <v>530</v>
      </c>
    </row>
    <row r="78" ht="14.25" customHeight="1">
      <c r="A78" s="2" t="str">
        <f t="array" ref="A78">IFERROR(INDEX('Product Price'!A:A,SMALL('Product Price'!$D:$D,76)),"")</f>
        <v>SAMSUNG Galaxy A36 5G 8/128 GB</v>
      </c>
      <c r="B78" s="2">
        <f t="array" ref="B78">IFERROR(INDEX('Product Price'!B:B,SMALL('Product Price'!$D:$D,76)),"")</f>
        <v>11999</v>
      </c>
      <c r="C78" s="2">
        <f t="array" ref="C78">IFERROR(INDEX('Product Price'!C:C,SMALL('Product Price'!$D:$D,76)),"")</f>
        <v>66</v>
      </c>
      <c r="D78" s="2">
        <f t="shared" si="1"/>
        <v>1450</v>
      </c>
      <c r="E78" s="2">
        <f t="shared" si="2"/>
        <v>13449</v>
      </c>
      <c r="F78" s="2">
        <f t="shared" si="48"/>
        <v>1800</v>
      </c>
      <c r="G78" s="2">
        <f t="shared" si="4"/>
        <v>10199</v>
      </c>
      <c r="H78" s="2">
        <f t="shared" si="5"/>
        <v>11649</v>
      </c>
      <c r="I78" s="2">
        <f t="shared" si="6"/>
        <v>2094</v>
      </c>
      <c r="J78" s="2">
        <f t="shared" si="7"/>
        <v>1441</v>
      </c>
      <c r="K78" s="2">
        <f t="shared" si="8"/>
        <v>1115</v>
      </c>
      <c r="L78" s="2">
        <f t="shared" si="9"/>
        <v>919</v>
      </c>
      <c r="M78" s="2">
        <f t="shared" si="10"/>
        <v>788</v>
      </c>
      <c r="N78" s="2">
        <f t="shared" si="11"/>
        <v>625</v>
      </c>
      <c r="O78" s="2">
        <f t="shared" si="12"/>
        <v>2400</v>
      </c>
      <c r="P78" s="2">
        <f t="shared" si="13"/>
        <v>9599</v>
      </c>
      <c r="Q78" s="2">
        <f t="shared" si="14"/>
        <v>11049</v>
      </c>
      <c r="R78" s="2">
        <f t="shared" si="15"/>
        <v>1987</v>
      </c>
      <c r="S78" s="2">
        <f t="shared" si="16"/>
        <v>1368</v>
      </c>
      <c r="T78" s="2">
        <f t="shared" si="17"/>
        <v>1058</v>
      </c>
      <c r="U78" s="2">
        <f t="shared" si="18"/>
        <v>872</v>
      </c>
      <c r="V78" s="2">
        <f t="shared" si="19"/>
        <v>748</v>
      </c>
      <c r="W78" s="2">
        <f t="shared" si="20"/>
        <v>593</v>
      </c>
      <c r="X78" s="2">
        <f t="shared" si="21"/>
        <v>3000</v>
      </c>
      <c r="Y78" s="2">
        <f t="shared" si="22"/>
        <v>8999</v>
      </c>
      <c r="Z78" s="2">
        <f t="shared" si="23"/>
        <v>10449</v>
      </c>
      <c r="AA78" s="2">
        <f t="shared" si="24"/>
        <v>1880</v>
      </c>
      <c r="AB78" s="2">
        <f t="shared" si="25"/>
        <v>1294</v>
      </c>
      <c r="AC78" s="2">
        <f t="shared" si="26"/>
        <v>1001</v>
      </c>
      <c r="AD78" s="2">
        <f t="shared" si="27"/>
        <v>825</v>
      </c>
      <c r="AE78" s="2">
        <f t="shared" si="28"/>
        <v>708</v>
      </c>
      <c r="AF78" s="2">
        <f t="shared" si="29"/>
        <v>561</v>
      </c>
      <c r="AG78" s="2">
        <f t="shared" si="30"/>
        <v>4200</v>
      </c>
      <c r="AH78" s="2">
        <f t="shared" si="31"/>
        <v>7799</v>
      </c>
      <c r="AI78" s="2">
        <f t="shared" si="32"/>
        <v>9249</v>
      </c>
      <c r="AJ78" s="2">
        <f t="shared" si="33"/>
        <v>1666</v>
      </c>
      <c r="AK78" s="2">
        <f t="shared" si="34"/>
        <v>1147</v>
      </c>
      <c r="AL78" s="2">
        <f t="shared" si="35"/>
        <v>887</v>
      </c>
      <c r="AM78" s="2">
        <f t="shared" si="36"/>
        <v>731</v>
      </c>
      <c r="AN78" s="2">
        <f t="shared" si="37"/>
        <v>628</v>
      </c>
      <c r="AO78" s="2">
        <f t="shared" si="38"/>
        <v>498</v>
      </c>
      <c r="AP78" s="2">
        <f t="shared" si="39"/>
        <v>4800</v>
      </c>
      <c r="AQ78" s="2">
        <f t="shared" si="40"/>
        <v>7199</v>
      </c>
      <c r="AR78" s="2">
        <f t="shared" si="41"/>
        <v>8649</v>
      </c>
      <c r="AS78" s="2">
        <f t="shared" si="42"/>
        <v>1560</v>
      </c>
      <c r="AT78" s="2">
        <f t="shared" si="43"/>
        <v>1073</v>
      </c>
      <c r="AU78" s="2">
        <f t="shared" si="44"/>
        <v>830</v>
      </c>
      <c r="AV78" s="2">
        <f t="shared" si="45"/>
        <v>684</v>
      </c>
      <c r="AW78" s="2">
        <f t="shared" si="46"/>
        <v>587</v>
      </c>
      <c r="AX78" s="2" t="str">
        <f t="shared" si="47"/>
        <v>-</v>
      </c>
    </row>
    <row r="79" ht="14.25" customHeight="1">
      <c r="A79" s="2" t="str">
        <f t="array" ref="A79">IFERROR(INDEX('Product Price'!A:A,SMALL('Product Price'!$D:$D,77)),"")</f>
        <v>SAMSUNG Galaxy A56 5G 8/128 GB</v>
      </c>
      <c r="B79" s="2">
        <f t="array" ref="B79">IFERROR(INDEX('Product Price'!B:B,SMALL('Product Price'!$D:$D,77)),"")</f>
        <v>13999</v>
      </c>
      <c r="C79" s="2">
        <f t="array" ref="C79">IFERROR(INDEX('Product Price'!C:C,SMALL('Product Price'!$D:$D,77)),"")</f>
        <v>67</v>
      </c>
      <c r="D79" s="2">
        <f t="shared" si="1"/>
        <v>1450</v>
      </c>
      <c r="E79" s="2">
        <f t="shared" si="2"/>
        <v>15449</v>
      </c>
      <c r="F79" s="2">
        <f t="shared" si="48"/>
        <v>2100</v>
      </c>
      <c r="G79" s="2">
        <f t="shared" si="4"/>
        <v>11899</v>
      </c>
      <c r="H79" s="2">
        <f t="shared" si="5"/>
        <v>13349</v>
      </c>
      <c r="I79" s="2">
        <f t="shared" si="6"/>
        <v>2397</v>
      </c>
      <c r="J79" s="2">
        <f t="shared" si="7"/>
        <v>1650</v>
      </c>
      <c r="K79" s="2">
        <f t="shared" si="8"/>
        <v>1276</v>
      </c>
      <c r="L79" s="2">
        <f t="shared" si="9"/>
        <v>1052</v>
      </c>
      <c r="M79" s="2">
        <f t="shared" si="10"/>
        <v>902</v>
      </c>
      <c r="N79" s="2">
        <f t="shared" si="11"/>
        <v>716</v>
      </c>
      <c r="O79" s="2">
        <f t="shared" si="12"/>
        <v>2800</v>
      </c>
      <c r="P79" s="2">
        <f t="shared" si="13"/>
        <v>11199</v>
      </c>
      <c r="Q79" s="2">
        <f t="shared" si="14"/>
        <v>12649</v>
      </c>
      <c r="R79" s="2">
        <f t="shared" si="15"/>
        <v>2272</v>
      </c>
      <c r="S79" s="2">
        <f t="shared" si="16"/>
        <v>1564</v>
      </c>
      <c r="T79" s="2">
        <f t="shared" si="17"/>
        <v>1210</v>
      </c>
      <c r="U79" s="2">
        <f t="shared" si="18"/>
        <v>997</v>
      </c>
      <c r="V79" s="2">
        <f t="shared" si="19"/>
        <v>855</v>
      </c>
      <c r="W79" s="2">
        <f t="shared" si="20"/>
        <v>678</v>
      </c>
      <c r="X79" s="2">
        <f t="shared" si="21"/>
        <v>3500</v>
      </c>
      <c r="Y79" s="2">
        <f t="shared" si="22"/>
        <v>10499</v>
      </c>
      <c r="Z79" s="2">
        <f t="shared" si="23"/>
        <v>11949</v>
      </c>
      <c r="AA79" s="2">
        <f t="shared" si="24"/>
        <v>2147</v>
      </c>
      <c r="AB79" s="2">
        <f t="shared" si="25"/>
        <v>1478</v>
      </c>
      <c r="AC79" s="2">
        <f t="shared" si="26"/>
        <v>1143</v>
      </c>
      <c r="AD79" s="2">
        <f t="shared" si="27"/>
        <v>942</v>
      </c>
      <c r="AE79" s="2">
        <f t="shared" si="28"/>
        <v>809</v>
      </c>
      <c r="AF79" s="2">
        <f t="shared" si="29"/>
        <v>641</v>
      </c>
      <c r="AG79" s="2">
        <f t="shared" si="30"/>
        <v>4900</v>
      </c>
      <c r="AH79" s="2">
        <f t="shared" si="31"/>
        <v>9099</v>
      </c>
      <c r="AI79" s="2">
        <f t="shared" si="32"/>
        <v>10549</v>
      </c>
      <c r="AJ79" s="2">
        <f t="shared" si="33"/>
        <v>1898</v>
      </c>
      <c r="AK79" s="2">
        <f t="shared" si="34"/>
        <v>1306</v>
      </c>
      <c r="AL79" s="2">
        <f t="shared" si="35"/>
        <v>1011</v>
      </c>
      <c r="AM79" s="2">
        <f t="shared" si="36"/>
        <v>833</v>
      </c>
      <c r="AN79" s="2">
        <f t="shared" si="37"/>
        <v>715</v>
      </c>
      <c r="AO79" s="2">
        <f t="shared" si="38"/>
        <v>567</v>
      </c>
      <c r="AP79" s="2">
        <f t="shared" si="39"/>
        <v>5600</v>
      </c>
      <c r="AQ79" s="2">
        <f t="shared" si="40"/>
        <v>8399</v>
      </c>
      <c r="AR79" s="2">
        <f t="shared" si="41"/>
        <v>9849</v>
      </c>
      <c r="AS79" s="2">
        <f t="shared" si="42"/>
        <v>1773</v>
      </c>
      <c r="AT79" s="2">
        <f t="shared" si="43"/>
        <v>1221</v>
      </c>
      <c r="AU79" s="2">
        <f t="shared" si="44"/>
        <v>944</v>
      </c>
      <c r="AV79" s="2">
        <f t="shared" si="45"/>
        <v>778</v>
      </c>
      <c r="AW79" s="2">
        <f t="shared" si="46"/>
        <v>668</v>
      </c>
      <c r="AX79" s="2">
        <f t="shared" si="47"/>
        <v>530</v>
      </c>
    </row>
    <row r="80" ht="14.25" customHeight="1">
      <c r="A80" s="2" t="str">
        <f t="array" ref="A80">IFERROR(INDEX('Product Price'!A:A,SMALL('Product Price'!$D:$D,78)),"")</f>
        <v>SAMSUNG Galaxy A56 5G 12/256 GB</v>
      </c>
      <c r="B80" s="2">
        <f t="array" ref="B80">IFERROR(INDEX('Product Price'!B:B,SMALL('Product Price'!$D:$D,78)),"")</f>
        <v>15999</v>
      </c>
      <c r="C80" s="2">
        <f t="array" ref="C80">IFERROR(INDEX('Product Price'!C:C,SMALL('Product Price'!$D:$D,78)),"")</f>
        <v>68</v>
      </c>
      <c r="D80" s="2">
        <f t="shared" si="1"/>
        <v>1450</v>
      </c>
      <c r="E80" s="2">
        <f t="shared" si="2"/>
        <v>17449</v>
      </c>
      <c r="F80" s="2">
        <f t="shared" si="48"/>
        <v>2400</v>
      </c>
      <c r="G80" s="2">
        <f t="shared" si="4"/>
        <v>13599</v>
      </c>
      <c r="H80" s="2">
        <f t="shared" si="5"/>
        <v>15049</v>
      </c>
      <c r="I80" s="2">
        <f t="shared" si="6"/>
        <v>2700</v>
      </c>
      <c r="J80" s="2">
        <f t="shared" si="7"/>
        <v>1858</v>
      </c>
      <c r="K80" s="2">
        <f t="shared" si="8"/>
        <v>1437</v>
      </c>
      <c r="L80" s="2">
        <f t="shared" si="9"/>
        <v>1185</v>
      </c>
      <c r="M80" s="2">
        <f t="shared" si="10"/>
        <v>1016</v>
      </c>
      <c r="N80" s="2">
        <f t="shared" si="11"/>
        <v>806</v>
      </c>
      <c r="O80" s="2">
        <f t="shared" si="12"/>
        <v>3200</v>
      </c>
      <c r="P80" s="2">
        <f t="shared" si="13"/>
        <v>12799</v>
      </c>
      <c r="Q80" s="2">
        <f t="shared" si="14"/>
        <v>14249</v>
      </c>
      <c r="R80" s="2">
        <f t="shared" si="15"/>
        <v>2557</v>
      </c>
      <c r="S80" s="2">
        <f t="shared" si="16"/>
        <v>1760</v>
      </c>
      <c r="T80" s="2">
        <f t="shared" si="17"/>
        <v>1361</v>
      </c>
      <c r="U80" s="2">
        <f t="shared" si="18"/>
        <v>1122</v>
      </c>
      <c r="V80" s="2">
        <f t="shared" si="19"/>
        <v>963</v>
      </c>
      <c r="W80" s="2">
        <f t="shared" si="20"/>
        <v>763</v>
      </c>
      <c r="X80" s="2">
        <f t="shared" si="21"/>
        <v>4000</v>
      </c>
      <c r="Y80" s="2">
        <f t="shared" si="22"/>
        <v>11999</v>
      </c>
      <c r="Z80" s="2">
        <f t="shared" si="23"/>
        <v>13449</v>
      </c>
      <c r="AA80" s="2">
        <f t="shared" si="24"/>
        <v>2415</v>
      </c>
      <c r="AB80" s="2">
        <f t="shared" si="25"/>
        <v>1662</v>
      </c>
      <c r="AC80" s="2">
        <f t="shared" si="26"/>
        <v>1286</v>
      </c>
      <c r="AD80" s="2">
        <f t="shared" si="27"/>
        <v>1060</v>
      </c>
      <c r="AE80" s="2">
        <f t="shared" si="28"/>
        <v>909</v>
      </c>
      <c r="AF80" s="2">
        <f t="shared" si="29"/>
        <v>721</v>
      </c>
      <c r="AG80" s="2">
        <f t="shared" si="30"/>
        <v>5600</v>
      </c>
      <c r="AH80" s="2">
        <f t="shared" si="31"/>
        <v>10399</v>
      </c>
      <c r="AI80" s="2">
        <f t="shared" si="32"/>
        <v>11849</v>
      </c>
      <c r="AJ80" s="2">
        <f t="shared" si="33"/>
        <v>2130</v>
      </c>
      <c r="AK80" s="2">
        <f t="shared" si="34"/>
        <v>1466</v>
      </c>
      <c r="AL80" s="2">
        <f t="shared" si="35"/>
        <v>1134</v>
      </c>
      <c r="AM80" s="2">
        <f t="shared" si="36"/>
        <v>935</v>
      </c>
      <c r="AN80" s="2">
        <f t="shared" si="37"/>
        <v>802</v>
      </c>
      <c r="AO80" s="2">
        <f t="shared" si="38"/>
        <v>636</v>
      </c>
      <c r="AP80" s="2">
        <f t="shared" si="39"/>
        <v>6400</v>
      </c>
      <c r="AQ80" s="2">
        <f t="shared" si="40"/>
        <v>9599</v>
      </c>
      <c r="AR80" s="2">
        <f t="shared" si="41"/>
        <v>11049</v>
      </c>
      <c r="AS80" s="2">
        <f t="shared" si="42"/>
        <v>1987</v>
      </c>
      <c r="AT80" s="2">
        <f t="shared" si="43"/>
        <v>1368</v>
      </c>
      <c r="AU80" s="2">
        <f t="shared" si="44"/>
        <v>1058</v>
      </c>
      <c r="AV80" s="2">
        <f t="shared" si="45"/>
        <v>872</v>
      </c>
      <c r="AW80" s="2">
        <f t="shared" si="46"/>
        <v>748</v>
      </c>
      <c r="AX80" s="2">
        <f t="shared" si="47"/>
        <v>593</v>
      </c>
    </row>
    <row r="81" ht="14.25" customHeight="1">
      <c r="A81" s="2" t="str">
        <f t="array" ref="A81">IFERROR(INDEX('Product Price'!A:A,SMALL('Product Price'!$D:$D,79)),"")</f>
        <v>SAMSUNG Galaxy Z Flip6 12/256 GB</v>
      </c>
      <c r="B81" s="2">
        <f t="array" ref="B81">IFERROR(INDEX('Product Price'!B:B,SMALL('Product Price'!$D:$D,79)),"")</f>
        <v>42900</v>
      </c>
      <c r="C81" s="2">
        <f t="array" ref="C81">IFERROR(INDEX('Product Price'!C:C,SMALL('Product Price'!$D:$D,79)),"")</f>
        <v>69</v>
      </c>
      <c r="D81" s="2">
        <f t="shared" si="1"/>
        <v>2475</v>
      </c>
      <c r="E81" s="2">
        <f t="shared" si="2"/>
        <v>45375</v>
      </c>
      <c r="F81" s="2">
        <f t="shared" si="48"/>
        <v>6435</v>
      </c>
      <c r="G81" s="2">
        <f t="shared" si="4"/>
        <v>36465</v>
      </c>
      <c r="H81" s="2">
        <f t="shared" si="5"/>
        <v>38940</v>
      </c>
      <c r="I81" s="2">
        <f t="shared" si="6"/>
        <v>6969</v>
      </c>
      <c r="J81" s="2">
        <f t="shared" si="7"/>
        <v>4796</v>
      </c>
      <c r="K81" s="2">
        <f t="shared" si="8"/>
        <v>3710</v>
      </c>
      <c r="L81" s="2">
        <f t="shared" si="9"/>
        <v>3058</v>
      </c>
      <c r="M81" s="2">
        <f t="shared" si="10"/>
        <v>2623</v>
      </c>
      <c r="N81" s="2">
        <f t="shared" si="11"/>
        <v>2080</v>
      </c>
      <c r="O81" s="2">
        <f t="shared" si="12"/>
        <v>8580</v>
      </c>
      <c r="P81" s="2">
        <f t="shared" si="13"/>
        <v>34320</v>
      </c>
      <c r="Q81" s="2">
        <f t="shared" si="14"/>
        <v>36795</v>
      </c>
      <c r="R81" s="2">
        <f t="shared" si="15"/>
        <v>6587</v>
      </c>
      <c r="S81" s="2">
        <f t="shared" si="16"/>
        <v>4533</v>
      </c>
      <c r="T81" s="2">
        <f t="shared" si="17"/>
        <v>3506</v>
      </c>
      <c r="U81" s="2">
        <f t="shared" si="18"/>
        <v>2890</v>
      </c>
      <c r="V81" s="2">
        <f t="shared" si="19"/>
        <v>2479</v>
      </c>
      <c r="W81" s="2">
        <f t="shared" si="20"/>
        <v>1966</v>
      </c>
      <c r="X81" s="2">
        <f t="shared" si="21"/>
        <v>10725</v>
      </c>
      <c r="Y81" s="2">
        <f t="shared" si="22"/>
        <v>32175</v>
      </c>
      <c r="Z81" s="2">
        <f t="shared" si="23"/>
        <v>34650</v>
      </c>
      <c r="AA81" s="2">
        <f t="shared" si="24"/>
        <v>6205</v>
      </c>
      <c r="AB81" s="2">
        <f t="shared" si="25"/>
        <v>4270</v>
      </c>
      <c r="AC81" s="2">
        <f t="shared" si="26"/>
        <v>3303</v>
      </c>
      <c r="AD81" s="2">
        <f t="shared" si="27"/>
        <v>2723</v>
      </c>
      <c r="AE81" s="2">
        <f t="shared" si="28"/>
        <v>2336</v>
      </c>
      <c r="AF81" s="2">
        <f t="shared" si="29"/>
        <v>1852</v>
      </c>
      <c r="AG81" s="2">
        <f t="shared" si="30"/>
        <v>15015</v>
      </c>
      <c r="AH81" s="2">
        <f t="shared" si="31"/>
        <v>27885</v>
      </c>
      <c r="AI81" s="2">
        <f t="shared" si="32"/>
        <v>30360</v>
      </c>
      <c r="AJ81" s="2">
        <f t="shared" si="33"/>
        <v>5441</v>
      </c>
      <c r="AK81" s="2">
        <f t="shared" si="34"/>
        <v>3744</v>
      </c>
      <c r="AL81" s="2">
        <f t="shared" si="35"/>
        <v>2896</v>
      </c>
      <c r="AM81" s="2">
        <f t="shared" si="36"/>
        <v>2387</v>
      </c>
      <c r="AN81" s="2">
        <f t="shared" si="37"/>
        <v>2048</v>
      </c>
      <c r="AO81" s="2">
        <f t="shared" si="38"/>
        <v>1624</v>
      </c>
      <c r="AP81" s="2">
        <f t="shared" si="39"/>
        <v>17160</v>
      </c>
      <c r="AQ81" s="2">
        <f t="shared" si="40"/>
        <v>25740</v>
      </c>
      <c r="AR81" s="2">
        <f t="shared" si="41"/>
        <v>28215</v>
      </c>
      <c r="AS81" s="2">
        <f t="shared" si="42"/>
        <v>5058</v>
      </c>
      <c r="AT81" s="2">
        <f t="shared" si="43"/>
        <v>3481</v>
      </c>
      <c r="AU81" s="2">
        <f t="shared" si="44"/>
        <v>2693</v>
      </c>
      <c r="AV81" s="2">
        <f t="shared" si="45"/>
        <v>2220</v>
      </c>
      <c r="AW81" s="2">
        <f t="shared" si="46"/>
        <v>1904</v>
      </c>
      <c r="AX81" s="2">
        <f t="shared" si="47"/>
        <v>1510</v>
      </c>
    </row>
    <row r="82" ht="14.25" customHeight="1">
      <c r="A82" s="2" t="str">
        <f t="array" ref="A82">IFERROR(INDEX('Product Price'!A:A,SMALL('Product Price'!$D:$D,80)),"")</f>
        <v>SAMSUNG Galaxy Z Flip6 12/512 GB</v>
      </c>
      <c r="B82" s="2">
        <f t="array" ref="B82">IFERROR(INDEX('Product Price'!B:B,SMALL('Product Price'!$D:$D,80)),"")</f>
        <v>47900</v>
      </c>
      <c r="C82" s="2">
        <f t="array" ref="C82">IFERROR(INDEX('Product Price'!C:C,SMALL('Product Price'!$D:$D,80)),"")</f>
        <v>70</v>
      </c>
      <c r="D82" s="2">
        <f t="shared" si="1"/>
        <v>2475</v>
      </c>
      <c r="E82" s="2">
        <f t="shared" si="2"/>
        <v>50375</v>
      </c>
      <c r="F82" s="2">
        <f t="shared" si="48"/>
        <v>7185</v>
      </c>
      <c r="G82" s="2">
        <f t="shared" si="4"/>
        <v>40715</v>
      </c>
      <c r="H82" s="2">
        <f t="shared" si="5"/>
        <v>43190</v>
      </c>
      <c r="I82" s="2">
        <f t="shared" si="6"/>
        <v>7726</v>
      </c>
      <c r="J82" s="2">
        <f t="shared" si="7"/>
        <v>5317</v>
      </c>
      <c r="K82" s="2">
        <f t="shared" si="8"/>
        <v>4113</v>
      </c>
      <c r="L82" s="2">
        <f t="shared" si="9"/>
        <v>3390</v>
      </c>
      <c r="M82" s="2">
        <f t="shared" si="10"/>
        <v>2908</v>
      </c>
      <c r="N82" s="2">
        <f t="shared" si="11"/>
        <v>2306</v>
      </c>
      <c r="O82" s="2">
        <f t="shared" si="12"/>
        <v>9580</v>
      </c>
      <c r="P82" s="2">
        <f t="shared" si="13"/>
        <v>38320</v>
      </c>
      <c r="Q82" s="2">
        <f t="shared" si="14"/>
        <v>40795</v>
      </c>
      <c r="R82" s="2">
        <f t="shared" si="15"/>
        <v>7300</v>
      </c>
      <c r="S82" s="2">
        <f t="shared" si="16"/>
        <v>5024</v>
      </c>
      <c r="T82" s="2">
        <f t="shared" si="17"/>
        <v>3886</v>
      </c>
      <c r="U82" s="2">
        <f t="shared" si="18"/>
        <v>3203</v>
      </c>
      <c r="V82" s="2">
        <f t="shared" si="19"/>
        <v>2748</v>
      </c>
      <c r="W82" s="2">
        <f t="shared" si="20"/>
        <v>2179</v>
      </c>
      <c r="X82" s="2">
        <f t="shared" si="21"/>
        <v>11975</v>
      </c>
      <c r="Y82" s="2">
        <f t="shared" si="22"/>
        <v>35925</v>
      </c>
      <c r="Z82" s="2">
        <f t="shared" si="23"/>
        <v>38400</v>
      </c>
      <c r="AA82" s="2">
        <f t="shared" si="24"/>
        <v>6873</v>
      </c>
      <c r="AB82" s="2">
        <f t="shared" si="25"/>
        <v>4730</v>
      </c>
      <c r="AC82" s="2">
        <f t="shared" si="26"/>
        <v>3659</v>
      </c>
      <c r="AD82" s="2">
        <f t="shared" si="27"/>
        <v>3016</v>
      </c>
      <c r="AE82" s="2">
        <f t="shared" si="28"/>
        <v>2587</v>
      </c>
      <c r="AF82" s="2">
        <f t="shared" si="29"/>
        <v>2051</v>
      </c>
      <c r="AG82" s="2">
        <f t="shared" si="30"/>
        <v>16765</v>
      </c>
      <c r="AH82" s="2">
        <f t="shared" si="31"/>
        <v>31135</v>
      </c>
      <c r="AI82" s="2">
        <f t="shared" si="32"/>
        <v>33610</v>
      </c>
      <c r="AJ82" s="2">
        <f t="shared" si="33"/>
        <v>6020</v>
      </c>
      <c r="AK82" s="2">
        <f t="shared" si="34"/>
        <v>4143</v>
      </c>
      <c r="AL82" s="2">
        <f t="shared" si="35"/>
        <v>3204</v>
      </c>
      <c r="AM82" s="2">
        <f t="shared" si="36"/>
        <v>2641</v>
      </c>
      <c r="AN82" s="2">
        <f t="shared" si="37"/>
        <v>2266</v>
      </c>
      <c r="AO82" s="2">
        <f t="shared" si="38"/>
        <v>1797</v>
      </c>
      <c r="AP82" s="2">
        <f t="shared" si="39"/>
        <v>19160</v>
      </c>
      <c r="AQ82" s="2">
        <f t="shared" si="40"/>
        <v>28740</v>
      </c>
      <c r="AR82" s="2">
        <f t="shared" si="41"/>
        <v>31215</v>
      </c>
      <c r="AS82" s="2">
        <f t="shared" si="42"/>
        <v>5593</v>
      </c>
      <c r="AT82" s="2">
        <f t="shared" si="43"/>
        <v>3849</v>
      </c>
      <c r="AU82" s="2">
        <f t="shared" si="44"/>
        <v>2977</v>
      </c>
      <c r="AV82" s="2">
        <f t="shared" si="45"/>
        <v>2454</v>
      </c>
      <c r="AW82" s="2">
        <f t="shared" si="46"/>
        <v>2105</v>
      </c>
      <c r="AX82" s="2">
        <f t="shared" si="47"/>
        <v>1669</v>
      </c>
    </row>
    <row r="83" ht="14.25" customHeight="1">
      <c r="A83" s="2" t="str">
        <f t="array" ref="A83">IFERROR(INDEX('Product Price'!A:A,SMALL('Product Price'!$D:$D,81)),"")</f>
        <v>SAMSUNG Galaxy Z Flip7 12/256 GB</v>
      </c>
      <c r="B83" s="2">
        <f t="array" ref="B83">IFERROR(INDEX('Product Price'!B:B,SMALL('Product Price'!$D:$D,81)),"")</f>
        <v>40900</v>
      </c>
      <c r="C83" s="2">
        <f t="array" ref="C83">IFERROR(INDEX('Product Price'!C:C,SMALL('Product Price'!$D:$D,81)),"")</f>
        <v>71</v>
      </c>
      <c r="D83" s="2">
        <f t="shared" si="1"/>
        <v>2475</v>
      </c>
      <c r="E83" s="2">
        <f t="shared" si="2"/>
        <v>43375</v>
      </c>
      <c r="F83" s="2">
        <f t="shared" si="48"/>
        <v>6135</v>
      </c>
      <c r="G83" s="2">
        <f t="shared" si="4"/>
        <v>34765</v>
      </c>
      <c r="H83" s="2">
        <f t="shared" si="5"/>
        <v>37240</v>
      </c>
      <c r="I83" s="2">
        <f t="shared" si="6"/>
        <v>6666</v>
      </c>
      <c r="J83" s="2">
        <f t="shared" si="7"/>
        <v>4588</v>
      </c>
      <c r="K83" s="2">
        <f t="shared" si="8"/>
        <v>3549</v>
      </c>
      <c r="L83" s="2">
        <f t="shared" si="9"/>
        <v>2925</v>
      </c>
      <c r="M83" s="2">
        <f t="shared" si="10"/>
        <v>2509</v>
      </c>
      <c r="N83" s="2">
        <f t="shared" si="11"/>
        <v>1990</v>
      </c>
      <c r="O83" s="2">
        <f t="shared" si="12"/>
        <v>8180</v>
      </c>
      <c r="P83" s="2">
        <f t="shared" si="13"/>
        <v>32720</v>
      </c>
      <c r="Q83" s="2">
        <f t="shared" si="14"/>
        <v>35195</v>
      </c>
      <c r="R83" s="2">
        <f t="shared" si="15"/>
        <v>6302</v>
      </c>
      <c r="S83" s="2">
        <f t="shared" si="16"/>
        <v>4337</v>
      </c>
      <c r="T83" s="2">
        <f t="shared" si="17"/>
        <v>3355</v>
      </c>
      <c r="U83" s="2">
        <f t="shared" si="18"/>
        <v>2765</v>
      </c>
      <c r="V83" s="2">
        <f t="shared" si="19"/>
        <v>2372</v>
      </c>
      <c r="W83" s="2">
        <f t="shared" si="20"/>
        <v>1881</v>
      </c>
      <c r="X83" s="2">
        <f t="shared" si="21"/>
        <v>10225</v>
      </c>
      <c r="Y83" s="2">
        <f t="shared" si="22"/>
        <v>30675</v>
      </c>
      <c r="Z83" s="2">
        <f t="shared" si="23"/>
        <v>33150</v>
      </c>
      <c r="AA83" s="2">
        <f t="shared" si="24"/>
        <v>5938</v>
      </c>
      <c r="AB83" s="2">
        <f t="shared" si="25"/>
        <v>4086</v>
      </c>
      <c r="AC83" s="2">
        <f t="shared" si="26"/>
        <v>3161</v>
      </c>
      <c r="AD83" s="2">
        <f t="shared" si="27"/>
        <v>2605</v>
      </c>
      <c r="AE83" s="2">
        <f t="shared" si="28"/>
        <v>2235</v>
      </c>
      <c r="AF83" s="2">
        <f t="shared" si="29"/>
        <v>1772</v>
      </c>
      <c r="AG83" s="2">
        <f t="shared" si="30"/>
        <v>14315</v>
      </c>
      <c r="AH83" s="2">
        <f t="shared" si="31"/>
        <v>26585</v>
      </c>
      <c r="AI83" s="2">
        <f t="shared" si="32"/>
        <v>29060</v>
      </c>
      <c r="AJ83" s="2">
        <f t="shared" si="33"/>
        <v>5209</v>
      </c>
      <c r="AK83" s="2">
        <f t="shared" si="34"/>
        <v>3585</v>
      </c>
      <c r="AL83" s="2">
        <f t="shared" si="35"/>
        <v>2773</v>
      </c>
      <c r="AM83" s="2">
        <f t="shared" si="36"/>
        <v>2286</v>
      </c>
      <c r="AN83" s="2">
        <f t="shared" si="37"/>
        <v>1961</v>
      </c>
      <c r="AO83" s="2">
        <f t="shared" si="38"/>
        <v>1555</v>
      </c>
      <c r="AP83" s="2">
        <f t="shared" si="39"/>
        <v>16360</v>
      </c>
      <c r="AQ83" s="2">
        <f t="shared" si="40"/>
        <v>24540</v>
      </c>
      <c r="AR83" s="2">
        <f t="shared" si="41"/>
        <v>27015</v>
      </c>
      <c r="AS83" s="2">
        <f t="shared" si="42"/>
        <v>4845</v>
      </c>
      <c r="AT83" s="2">
        <f t="shared" si="43"/>
        <v>3334</v>
      </c>
      <c r="AU83" s="2">
        <f t="shared" si="44"/>
        <v>2579</v>
      </c>
      <c r="AV83" s="2">
        <f t="shared" si="45"/>
        <v>2126</v>
      </c>
      <c r="AW83" s="2">
        <f t="shared" si="46"/>
        <v>1824</v>
      </c>
      <c r="AX83" s="2">
        <f t="shared" si="47"/>
        <v>1446</v>
      </c>
    </row>
    <row r="84" ht="14.25" customHeight="1">
      <c r="A84" s="2" t="str">
        <f t="array" ref="A84">IFERROR(INDEX('Product Price'!A:A,SMALL('Product Price'!$D:$D,82)),"")</f>
        <v>SAMSUNG Galaxy Z Flip7 12/512 GB</v>
      </c>
      <c r="B84" s="2">
        <f t="array" ref="B84">IFERROR(INDEX('Product Price'!B:B,SMALL('Product Price'!$D:$D,82)),"")</f>
        <v>48900</v>
      </c>
      <c r="C84" s="2">
        <f t="array" ref="C84">IFERROR(INDEX('Product Price'!C:C,SMALL('Product Price'!$D:$D,82)),"")</f>
        <v>72</v>
      </c>
      <c r="D84" s="2">
        <f t="shared" si="1"/>
        <v>2475</v>
      </c>
      <c r="E84" s="2">
        <f t="shared" si="2"/>
        <v>51375</v>
      </c>
      <c r="F84" s="2">
        <f t="shared" si="48"/>
        <v>7335</v>
      </c>
      <c r="G84" s="2">
        <f t="shared" si="4"/>
        <v>41565</v>
      </c>
      <c r="H84" s="2">
        <f t="shared" si="5"/>
        <v>44040</v>
      </c>
      <c r="I84" s="2">
        <f t="shared" si="6"/>
        <v>7878</v>
      </c>
      <c r="J84" s="2">
        <f t="shared" si="7"/>
        <v>5422</v>
      </c>
      <c r="K84" s="2">
        <f t="shared" si="8"/>
        <v>4193</v>
      </c>
      <c r="L84" s="2">
        <f t="shared" si="9"/>
        <v>3457</v>
      </c>
      <c r="M84" s="2">
        <f t="shared" si="10"/>
        <v>2965</v>
      </c>
      <c r="N84" s="2">
        <f t="shared" si="11"/>
        <v>2351</v>
      </c>
      <c r="O84" s="2">
        <f t="shared" si="12"/>
        <v>9780</v>
      </c>
      <c r="P84" s="2">
        <f t="shared" si="13"/>
        <v>39120</v>
      </c>
      <c r="Q84" s="2">
        <f t="shared" si="14"/>
        <v>41595</v>
      </c>
      <c r="R84" s="2">
        <f t="shared" si="15"/>
        <v>7442</v>
      </c>
      <c r="S84" s="2">
        <f t="shared" si="16"/>
        <v>5122</v>
      </c>
      <c r="T84" s="2">
        <f t="shared" si="17"/>
        <v>3962</v>
      </c>
      <c r="U84" s="2">
        <f t="shared" si="18"/>
        <v>3265</v>
      </c>
      <c r="V84" s="2">
        <f t="shared" si="19"/>
        <v>2801</v>
      </c>
      <c r="W84" s="2">
        <f t="shared" si="20"/>
        <v>2221</v>
      </c>
      <c r="X84" s="2">
        <f t="shared" si="21"/>
        <v>12225</v>
      </c>
      <c r="Y84" s="2">
        <f t="shared" si="22"/>
        <v>36675</v>
      </c>
      <c r="Z84" s="2">
        <f t="shared" si="23"/>
        <v>39150</v>
      </c>
      <c r="AA84" s="2">
        <f t="shared" si="24"/>
        <v>7007</v>
      </c>
      <c r="AB84" s="2">
        <f t="shared" si="25"/>
        <v>4822</v>
      </c>
      <c r="AC84" s="2">
        <f t="shared" si="26"/>
        <v>3730</v>
      </c>
      <c r="AD84" s="2">
        <f t="shared" si="27"/>
        <v>3074</v>
      </c>
      <c r="AE84" s="2">
        <f t="shared" si="28"/>
        <v>2637</v>
      </c>
      <c r="AF84" s="2">
        <f t="shared" si="29"/>
        <v>2091</v>
      </c>
      <c r="AG84" s="2">
        <f t="shared" si="30"/>
        <v>17115</v>
      </c>
      <c r="AH84" s="2">
        <f t="shared" si="31"/>
        <v>31785</v>
      </c>
      <c r="AI84" s="2">
        <f t="shared" si="32"/>
        <v>34260</v>
      </c>
      <c r="AJ84" s="2">
        <f t="shared" si="33"/>
        <v>6135</v>
      </c>
      <c r="AK84" s="2">
        <f t="shared" si="34"/>
        <v>4222</v>
      </c>
      <c r="AL84" s="2">
        <f t="shared" si="35"/>
        <v>3266</v>
      </c>
      <c r="AM84" s="2">
        <f t="shared" si="36"/>
        <v>2692</v>
      </c>
      <c r="AN84" s="2">
        <f t="shared" si="37"/>
        <v>2309</v>
      </c>
      <c r="AO84" s="2">
        <f t="shared" si="38"/>
        <v>1831</v>
      </c>
      <c r="AP84" s="2">
        <f t="shared" si="39"/>
        <v>19560</v>
      </c>
      <c r="AQ84" s="2">
        <f t="shared" si="40"/>
        <v>29340</v>
      </c>
      <c r="AR84" s="2">
        <f t="shared" si="41"/>
        <v>31815</v>
      </c>
      <c r="AS84" s="2">
        <f t="shared" si="42"/>
        <v>5700</v>
      </c>
      <c r="AT84" s="2">
        <f t="shared" si="43"/>
        <v>3923</v>
      </c>
      <c r="AU84" s="2">
        <f t="shared" si="44"/>
        <v>3034</v>
      </c>
      <c r="AV84" s="2">
        <f t="shared" si="45"/>
        <v>2501</v>
      </c>
      <c r="AW84" s="2">
        <f t="shared" si="46"/>
        <v>2145</v>
      </c>
      <c r="AX84" s="2">
        <f t="shared" si="47"/>
        <v>1701</v>
      </c>
    </row>
    <row r="85" ht="14.25" customHeight="1">
      <c r="A85" s="2" t="str">
        <f t="array" ref="A85">IFERROR(INDEX('Product Price'!A:A,SMALL('Product Price'!$D:$D,83)),"")</f>
        <v>SAMSUNG Galaxy Z Flip7 FE 8/128 GB</v>
      </c>
      <c r="B85" s="2">
        <f t="array" ref="B85">IFERROR(INDEX('Product Price'!B:B,SMALL('Product Price'!$D:$D,83)),"")</f>
        <v>32900</v>
      </c>
      <c r="C85" s="2">
        <f t="array" ref="C85">IFERROR(INDEX('Product Price'!C:C,SMALL('Product Price'!$D:$D,83)),"")</f>
        <v>73</v>
      </c>
      <c r="D85" s="2">
        <f t="shared" si="1"/>
        <v>1900</v>
      </c>
      <c r="E85" s="2">
        <f t="shared" si="2"/>
        <v>34800</v>
      </c>
      <c r="F85" s="2">
        <f t="shared" si="48"/>
        <v>4935</v>
      </c>
      <c r="G85" s="2">
        <f t="shared" si="4"/>
        <v>27965</v>
      </c>
      <c r="H85" s="2">
        <f t="shared" si="5"/>
        <v>29865</v>
      </c>
      <c r="I85" s="2">
        <f t="shared" si="6"/>
        <v>5345</v>
      </c>
      <c r="J85" s="2">
        <f t="shared" si="7"/>
        <v>3679</v>
      </c>
      <c r="K85" s="2">
        <f t="shared" si="8"/>
        <v>2845</v>
      </c>
      <c r="L85" s="2">
        <f t="shared" si="9"/>
        <v>2345</v>
      </c>
      <c r="M85" s="2">
        <f t="shared" si="10"/>
        <v>2012</v>
      </c>
      <c r="N85" s="2">
        <f t="shared" si="11"/>
        <v>1595</v>
      </c>
      <c r="O85" s="2">
        <f t="shared" si="12"/>
        <v>6580</v>
      </c>
      <c r="P85" s="2">
        <f t="shared" si="13"/>
        <v>26320</v>
      </c>
      <c r="Q85" s="2">
        <f t="shared" si="14"/>
        <v>28220</v>
      </c>
      <c r="R85" s="2">
        <f t="shared" si="15"/>
        <v>5052</v>
      </c>
      <c r="S85" s="2">
        <f t="shared" si="16"/>
        <v>3477</v>
      </c>
      <c r="T85" s="2">
        <f t="shared" si="17"/>
        <v>2689</v>
      </c>
      <c r="U85" s="2">
        <f t="shared" si="18"/>
        <v>2217</v>
      </c>
      <c r="V85" s="2">
        <f t="shared" si="19"/>
        <v>1902</v>
      </c>
      <c r="W85" s="2">
        <f t="shared" si="20"/>
        <v>1508</v>
      </c>
      <c r="X85" s="2">
        <f t="shared" si="21"/>
        <v>8225</v>
      </c>
      <c r="Y85" s="2">
        <f t="shared" si="22"/>
        <v>24675</v>
      </c>
      <c r="Z85" s="2">
        <f t="shared" si="23"/>
        <v>26575</v>
      </c>
      <c r="AA85" s="2">
        <f t="shared" si="24"/>
        <v>4759</v>
      </c>
      <c r="AB85" s="2">
        <f t="shared" si="25"/>
        <v>3275</v>
      </c>
      <c r="AC85" s="2">
        <f t="shared" si="26"/>
        <v>2533</v>
      </c>
      <c r="AD85" s="2">
        <f t="shared" si="27"/>
        <v>2088</v>
      </c>
      <c r="AE85" s="2">
        <f t="shared" si="28"/>
        <v>1791</v>
      </c>
      <c r="AF85" s="2">
        <f t="shared" si="29"/>
        <v>1420</v>
      </c>
      <c r="AG85" s="2">
        <f t="shared" si="30"/>
        <v>11515</v>
      </c>
      <c r="AH85" s="2">
        <f t="shared" si="31"/>
        <v>21385</v>
      </c>
      <c r="AI85" s="2">
        <f t="shared" si="32"/>
        <v>23285</v>
      </c>
      <c r="AJ85" s="2">
        <f t="shared" si="33"/>
        <v>4173</v>
      </c>
      <c r="AK85" s="2">
        <f t="shared" si="34"/>
        <v>2872</v>
      </c>
      <c r="AL85" s="2">
        <f t="shared" si="35"/>
        <v>2221</v>
      </c>
      <c r="AM85" s="2">
        <f t="shared" si="36"/>
        <v>1831</v>
      </c>
      <c r="AN85" s="2">
        <f t="shared" si="37"/>
        <v>1571</v>
      </c>
      <c r="AO85" s="2">
        <f t="shared" si="38"/>
        <v>1246</v>
      </c>
      <c r="AP85" s="2">
        <f t="shared" si="39"/>
        <v>13160</v>
      </c>
      <c r="AQ85" s="2">
        <f t="shared" si="40"/>
        <v>19740</v>
      </c>
      <c r="AR85" s="2">
        <f t="shared" si="41"/>
        <v>21640</v>
      </c>
      <c r="AS85" s="2">
        <f t="shared" si="42"/>
        <v>3880</v>
      </c>
      <c r="AT85" s="2">
        <f t="shared" si="43"/>
        <v>2670</v>
      </c>
      <c r="AU85" s="2">
        <f t="shared" si="44"/>
        <v>2065</v>
      </c>
      <c r="AV85" s="2">
        <f t="shared" si="45"/>
        <v>1702</v>
      </c>
      <c r="AW85" s="2">
        <f t="shared" si="46"/>
        <v>1461</v>
      </c>
      <c r="AX85" s="2">
        <f t="shared" si="47"/>
        <v>1158</v>
      </c>
    </row>
    <row r="86" ht="14.25" customHeight="1">
      <c r="A86" s="2" t="str">
        <f t="array" ref="A86">IFERROR(INDEX('Product Price'!A:A,SMALL('Product Price'!$D:$D,84)),"")</f>
        <v>SAMSUNG Galaxy Z Flip7 FE 8/256 GB</v>
      </c>
      <c r="B86" s="2">
        <f t="array" ref="B86">IFERROR(INDEX('Product Price'!B:B,SMALL('Product Price'!$D:$D,84)),"")</f>
        <v>36900</v>
      </c>
      <c r="C86" s="2">
        <f t="array" ref="C86">IFERROR(INDEX('Product Price'!C:C,SMALL('Product Price'!$D:$D,84)),"")</f>
        <v>74</v>
      </c>
      <c r="D86" s="2">
        <f t="shared" si="1"/>
        <v>1900</v>
      </c>
      <c r="E86" s="2">
        <f t="shared" si="2"/>
        <v>38800</v>
      </c>
      <c r="F86" s="2">
        <f t="shared" si="48"/>
        <v>5535</v>
      </c>
      <c r="G86" s="2">
        <f t="shared" si="4"/>
        <v>31365</v>
      </c>
      <c r="H86" s="2">
        <f t="shared" si="5"/>
        <v>33265</v>
      </c>
      <c r="I86" s="2">
        <f t="shared" si="6"/>
        <v>5951</v>
      </c>
      <c r="J86" s="2">
        <f t="shared" si="7"/>
        <v>4095</v>
      </c>
      <c r="K86" s="2">
        <f t="shared" si="8"/>
        <v>3168</v>
      </c>
      <c r="L86" s="2">
        <f t="shared" si="9"/>
        <v>2611</v>
      </c>
      <c r="M86" s="2">
        <f t="shared" si="10"/>
        <v>2240</v>
      </c>
      <c r="N86" s="2">
        <f t="shared" si="11"/>
        <v>1776</v>
      </c>
      <c r="O86" s="2">
        <f t="shared" si="12"/>
        <v>7380</v>
      </c>
      <c r="P86" s="2">
        <f t="shared" si="13"/>
        <v>29520</v>
      </c>
      <c r="Q86" s="2">
        <f t="shared" si="14"/>
        <v>31420</v>
      </c>
      <c r="R86" s="2">
        <f t="shared" si="15"/>
        <v>5622</v>
      </c>
      <c r="S86" s="2">
        <f t="shared" si="16"/>
        <v>3869</v>
      </c>
      <c r="T86" s="2">
        <f t="shared" si="17"/>
        <v>2993</v>
      </c>
      <c r="U86" s="2">
        <f t="shared" si="18"/>
        <v>2467</v>
      </c>
      <c r="V86" s="2">
        <f t="shared" si="19"/>
        <v>2116</v>
      </c>
      <c r="W86" s="2">
        <f t="shared" si="20"/>
        <v>1678</v>
      </c>
      <c r="X86" s="2">
        <f t="shared" si="21"/>
        <v>9225</v>
      </c>
      <c r="Y86" s="2">
        <f t="shared" si="22"/>
        <v>27675</v>
      </c>
      <c r="Z86" s="2">
        <f t="shared" si="23"/>
        <v>29575</v>
      </c>
      <c r="AA86" s="2">
        <f t="shared" si="24"/>
        <v>5293</v>
      </c>
      <c r="AB86" s="2">
        <f t="shared" si="25"/>
        <v>3643</v>
      </c>
      <c r="AC86" s="2">
        <f t="shared" si="26"/>
        <v>2818</v>
      </c>
      <c r="AD86" s="2">
        <f t="shared" si="27"/>
        <v>2323</v>
      </c>
      <c r="AE86" s="2">
        <f t="shared" si="28"/>
        <v>1993</v>
      </c>
      <c r="AF86" s="2">
        <f t="shared" si="29"/>
        <v>1580</v>
      </c>
      <c r="AG86" s="2">
        <f t="shared" si="30"/>
        <v>12915</v>
      </c>
      <c r="AH86" s="2">
        <f t="shared" si="31"/>
        <v>23985</v>
      </c>
      <c r="AI86" s="2">
        <f t="shared" si="32"/>
        <v>25885</v>
      </c>
      <c r="AJ86" s="2">
        <f t="shared" si="33"/>
        <v>4636</v>
      </c>
      <c r="AK86" s="2">
        <f t="shared" si="34"/>
        <v>3191</v>
      </c>
      <c r="AL86" s="2">
        <f t="shared" si="35"/>
        <v>2468</v>
      </c>
      <c r="AM86" s="2">
        <f t="shared" si="36"/>
        <v>2034</v>
      </c>
      <c r="AN86" s="2">
        <f t="shared" si="37"/>
        <v>1745</v>
      </c>
      <c r="AO86" s="2">
        <f t="shared" si="38"/>
        <v>1384</v>
      </c>
      <c r="AP86" s="2">
        <f t="shared" si="39"/>
        <v>14760</v>
      </c>
      <c r="AQ86" s="2">
        <f t="shared" si="40"/>
        <v>22140</v>
      </c>
      <c r="AR86" s="2">
        <f t="shared" si="41"/>
        <v>24040</v>
      </c>
      <c r="AS86" s="2">
        <f t="shared" si="42"/>
        <v>4307</v>
      </c>
      <c r="AT86" s="2">
        <f t="shared" si="43"/>
        <v>2964</v>
      </c>
      <c r="AU86" s="2">
        <f t="shared" si="44"/>
        <v>2293</v>
      </c>
      <c r="AV86" s="2">
        <f t="shared" si="45"/>
        <v>1890</v>
      </c>
      <c r="AW86" s="2">
        <f t="shared" si="46"/>
        <v>1621</v>
      </c>
      <c r="AX86" s="2">
        <f t="shared" si="47"/>
        <v>1286</v>
      </c>
    </row>
    <row r="87" ht="14.25" customHeight="1">
      <c r="A87" s="2" t="str">
        <f t="array" ref="A87">IFERROR(INDEX('Product Price'!A:A,SMALL('Product Price'!$D:$D,85)),"")</f>
        <v>SAMSUNG Galaxy Z Fold6 12/256 GB</v>
      </c>
      <c r="B87" s="2">
        <f t="array" ref="B87">IFERROR(INDEX('Product Price'!B:B,SMALL('Product Price'!$D:$D,85)),"")</f>
        <v>63900</v>
      </c>
      <c r="C87" s="2">
        <f t="array" ref="C87">IFERROR(INDEX('Product Price'!C:C,SMALL('Product Price'!$D:$D,85)),"")</f>
        <v>75</v>
      </c>
      <c r="D87" s="2">
        <f t="shared" si="1"/>
        <v>4025</v>
      </c>
      <c r="E87" s="2">
        <f t="shared" si="2"/>
        <v>67925</v>
      </c>
      <c r="F87" s="2">
        <f t="shared" si="48"/>
        <v>9585</v>
      </c>
      <c r="G87" s="2">
        <f t="shared" si="4"/>
        <v>54315</v>
      </c>
      <c r="H87" s="2">
        <f t="shared" si="5"/>
        <v>58340</v>
      </c>
      <c r="I87" s="2">
        <f t="shared" si="6"/>
        <v>10445</v>
      </c>
      <c r="J87" s="2">
        <f t="shared" si="7"/>
        <v>7188</v>
      </c>
      <c r="K87" s="2">
        <f t="shared" si="8"/>
        <v>5560</v>
      </c>
      <c r="L87" s="2">
        <f t="shared" si="9"/>
        <v>4583</v>
      </c>
      <c r="M87" s="2">
        <f t="shared" si="10"/>
        <v>3931</v>
      </c>
      <c r="N87" s="2">
        <f t="shared" si="11"/>
        <v>3117</v>
      </c>
      <c r="O87" s="2">
        <f t="shared" si="12"/>
        <v>12780</v>
      </c>
      <c r="P87" s="2">
        <f t="shared" si="13"/>
        <v>51120</v>
      </c>
      <c r="Q87" s="2">
        <f t="shared" si="14"/>
        <v>55145</v>
      </c>
      <c r="R87" s="2">
        <f t="shared" si="15"/>
        <v>9876</v>
      </c>
      <c r="S87" s="2">
        <f t="shared" si="16"/>
        <v>6796</v>
      </c>
      <c r="T87" s="2">
        <f t="shared" si="17"/>
        <v>5257</v>
      </c>
      <c r="U87" s="2">
        <f t="shared" si="18"/>
        <v>4333</v>
      </c>
      <c r="V87" s="2">
        <f t="shared" si="19"/>
        <v>3717</v>
      </c>
      <c r="W87" s="2">
        <f t="shared" si="20"/>
        <v>2947</v>
      </c>
      <c r="X87" s="2">
        <f t="shared" si="21"/>
        <v>15975</v>
      </c>
      <c r="Y87" s="2">
        <f t="shared" si="22"/>
        <v>47925</v>
      </c>
      <c r="Z87" s="2">
        <f t="shared" si="23"/>
        <v>51950</v>
      </c>
      <c r="AA87" s="2">
        <f t="shared" si="24"/>
        <v>9306</v>
      </c>
      <c r="AB87" s="2">
        <f t="shared" si="25"/>
        <v>6405</v>
      </c>
      <c r="AC87" s="2">
        <f t="shared" si="26"/>
        <v>4954</v>
      </c>
      <c r="AD87" s="2">
        <f t="shared" si="27"/>
        <v>4083</v>
      </c>
      <c r="AE87" s="2">
        <f t="shared" si="28"/>
        <v>3503</v>
      </c>
      <c r="AF87" s="2">
        <f t="shared" si="29"/>
        <v>2777</v>
      </c>
      <c r="AG87" s="2">
        <f t="shared" si="30"/>
        <v>22365</v>
      </c>
      <c r="AH87" s="2">
        <f t="shared" si="31"/>
        <v>41535</v>
      </c>
      <c r="AI87" s="2">
        <f t="shared" si="32"/>
        <v>45560</v>
      </c>
      <c r="AJ87" s="2">
        <f t="shared" si="33"/>
        <v>8168</v>
      </c>
      <c r="AK87" s="2">
        <f t="shared" si="34"/>
        <v>5621</v>
      </c>
      <c r="AL87" s="2">
        <f t="shared" si="35"/>
        <v>4348</v>
      </c>
      <c r="AM87" s="2">
        <f t="shared" si="36"/>
        <v>3584</v>
      </c>
      <c r="AN87" s="2">
        <f t="shared" si="37"/>
        <v>3074</v>
      </c>
      <c r="AO87" s="2">
        <f t="shared" si="38"/>
        <v>2438</v>
      </c>
      <c r="AP87" s="2">
        <f t="shared" si="39"/>
        <v>25560</v>
      </c>
      <c r="AQ87" s="2">
        <f t="shared" si="40"/>
        <v>38340</v>
      </c>
      <c r="AR87" s="2">
        <f t="shared" si="41"/>
        <v>42365</v>
      </c>
      <c r="AS87" s="2">
        <f t="shared" si="42"/>
        <v>7599</v>
      </c>
      <c r="AT87" s="2">
        <f t="shared" si="43"/>
        <v>5229</v>
      </c>
      <c r="AU87" s="2">
        <f t="shared" si="44"/>
        <v>4045</v>
      </c>
      <c r="AV87" s="2">
        <f t="shared" si="45"/>
        <v>3334</v>
      </c>
      <c r="AW87" s="2">
        <f t="shared" si="46"/>
        <v>2860</v>
      </c>
      <c r="AX87" s="2">
        <f t="shared" si="47"/>
        <v>2268</v>
      </c>
    </row>
    <row r="88" ht="14.25" customHeight="1">
      <c r="A88" s="2" t="str">
        <f t="array" ref="A88">IFERROR(INDEX('Product Price'!A:A,SMALL('Product Price'!$D:$D,86)),"")</f>
        <v>SAMSUNG Galaxy Z Fold6 12/512 GB</v>
      </c>
      <c r="B88" s="2">
        <f t="array" ref="B88">IFERROR(INDEX('Product Price'!B:B,SMALL('Product Price'!$D:$D,86)),"")</f>
        <v>68900</v>
      </c>
      <c r="C88" s="2">
        <f t="array" ref="C88">IFERROR(INDEX('Product Price'!C:C,SMALL('Product Price'!$D:$D,86)),"")</f>
        <v>76</v>
      </c>
      <c r="D88" s="2">
        <f t="shared" si="1"/>
        <v>4025</v>
      </c>
      <c r="E88" s="2">
        <f t="shared" si="2"/>
        <v>72925</v>
      </c>
      <c r="F88" s="2">
        <f t="shared" si="48"/>
        <v>10335</v>
      </c>
      <c r="G88" s="2">
        <f t="shared" si="4"/>
        <v>58565</v>
      </c>
      <c r="H88" s="2">
        <f t="shared" si="5"/>
        <v>62590</v>
      </c>
      <c r="I88" s="2">
        <f t="shared" si="6"/>
        <v>11202</v>
      </c>
      <c r="J88" s="2">
        <f t="shared" si="7"/>
        <v>7709</v>
      </c>
      <c r="K88" s="2">
        <f t="shared" si="8"/>
        <v>5963</v>
      </c>
      <c r="L88" s="2">
        <f t="shared" si="9"/>
        <v>4915</v>
      </c>
      <c r="M88" s="2">
        <f t="shared" si="10"/>
        <v>4216</v>
      </c>
      <c r="N88" s="2">
        <f t="shared" si="11"/>
        <v>3343</v>
      </c>
      <c r="O88" s="2">
        <f t="shared" si="12"/>
        <v>13780</v>
      </c>
      <c r="P88" s="2">
        <f t="shared" si="13"/>
        <v>55120</v>
      </c>
      <c r="Q88" s="2">
        <f t="shared" si="14"/>
        <v>59145</v>
      </c>
      <c r="R88" s="2">
        <f t="shared" si="15"/>
        <v>10588</v>
      </c>
      <c r="S88" s="2">
        <f t="shared" si="16"/>
        <v>7287</v>
      </c>
      <c r="T88" s="2">
        <f t="shared" si="17"/>
        <v>5636</v>
      </c>
      <c r="U88" s="2">
        <f t="shared" si="18"/>
        <v>4646</v>
      </c>
      <c r="V88" s="2">
        <f t="shared" si="19"/>
        <v>3985</v>
      </c>
      <c r="W88" s="2">
        <f t="shared" si="20"/>
        <v>3160</v>
      </c>
      <c r="X88" s="2">
        <f t="shared" si="21"/>
        <v>17225</v>
      </c>
      <c r="Y88" s="2">
        <f t="shared" si="22"/>
        <v>51675</v>
      </c>
      <c r="Z88" s="2">
        <f t="shared" si="23"/>
        <v>55700</v>
      </c>
      <c r="AA88" s="2">
        <f t="shared" si="24"/>
        <v>9975</v>
      </c>
      <c r="AB88" s="2">
        <f t="shared" si="25"/>
        <v>6864</v>
      </c>
      <c r="AC88" s="2">
        <f t="shared" si="26"/>
        <v>5309</v>
      </c>
      <c r="AD88" s="2">
        <f t="shared" si="27"/>
        <v>4376</v>
      </c>
      <c r="AE88" s="2">
        <f t="shared" si="28"/>
        <v>3754</v>
      </c>
      <c r="AF88" s="2">
        <f t="shared" si="29"/>
        <v>2977</v>
      </c>
      <c r="AG88" s="2">
        <f t="shared" si="30"/>
        <v>24115</v>
      </c>
      <c r="AH88" s="2">
        <f t="shared" si="31"/>
        <v>44785</v>
      </c>
      <c r="AI88" s="2">
        <f t="shared" si="32"/>
        <v>48810</v>
      </c>
      <c r="AJ88" s="2">
        <f t="shared" si="33"/>
        <v>8747</v>
      </c>
      <c r="AK88" s="2">
        <f t="shared" si="34"/>
        <v>6020</v>
      </c>
      <c r="AL88" s="2">
        <f t="shared" si="35"/>
        <v>4656</v>
      </c>
      <c r="AM88" s="2">
        <f t="shared" si="36"/>
        <v>3838</v>
      </c>
      <c r="AN88" s="2">
        <f t="shared" si="37"/>
        <v>3292</v>
      </c>
      <c r="AO88" s="2">
        <f t="shared" si="38"/>
        <v>2611</v>
      </c>
      <c r="AP88" s="2">
        <f t="shared" si="39"/>
        <v>27560</v>
      </c>
      <c r="AQ88" s="2">
        <f t="shared" si="40"/>
        <v>41340</v>
      </c>
      <c r="AR88" s="2">
        <f t="shared" si="41"/>
        <v>45365</v>
      </c>
      <c r="AS88" s="2">
        <f t="shared" si="42"/>
        <v>8133</v>
      </c>
      <c r="AT88" s="2">
        <f t="shared" si="43"/>
        <v>5597</v>
      </c>
      <c r="AU88" s="2">
        <f t="shared" si="44"/>
        <v>4329</v>
      </c>
      <c r="AV88" s="2">
        <f t="shared" si="45"/>
        <v>3569</v>
      </c>
      <c r="AW88" s="2">
        <f t="shared" si="46"/>
        <v>3061</v>
      </c>
      <c r="AX88" s="2">
        <f t="shared" si="47"/>
        <v>2427</v>
      </c>
    </row>
    <row r="89" ht="14.25" customHeight="1">
      <c r="A89" s="2" t="str">
        <f t="array" ref="A89">IFERROR(INDEX('Product Price'!A:A,SMALL('Product Price'!$D:$D,87)),"")</f>
        <v>SAMSUNG Galaxy Z Fold6 12/1TB GB</v>
      </c>
      <c r="B89" s="2">
        <f t="array" ref="B89">IFERROR(INDEX('Product Price'!B:B,SMALL('Product Price'!$D:$D,87)),"")</f>
        <v>78900</v>
      </c>
      <c r="C89" s="2">
        <f t="array" ref="C89">IFERROR(INDEX('Product Price'!C:C,SMALL('Product Price'!$D:$D,87)),"")</f>
        <v>77</v>
      </c>
      <c r="D89" s="2">
        <f t="shared" si="1"/>
        <v>4025</v>
      </c>
      <c r="E89" s="2">
        <f t="shared" si="2"/>
        <v>82925</v>
      </c>
      <c r="F89" s="2">
        <f t="shared" si="48"/>
        <v>11835</v>
      </c>
      <c r="G89" s="2">
        <f t="shared" si="4"/>
        <v>67065</v>
      </c>
      <c r="H89" s="2">
        <f t="shared" si="5"/>
        <v>71090</v>
      </c>
      <c r="I89" s="2">
        <f t="shared" si="6"/>
        <v>12717</v>
      </c>
      <c r="J89" s="2">
        <f t="shared" si="7"/>
        <v>8751</v>
      </c>
      <c r="K89" s="2">
        <f t="shared" si="8"/>
        <v>6769</v>
      </c>
      <c r="L89" s="2">
        <f t="shared" si="9"/>
        <v>5579</v>
      </c>
      <c r="M89" s="2">
        <f t="shared" si="10"/>
        <v>4786</v>
      </c>
      <c r="N89" s="2">
        <f t="shared" si="11"/>
        <v>3795</v>
      </c>
      <c r="O89" s="2">
        <f t="shared" si="12"/>
        <v>15780</v>
      </c>
      <c r="P89" s="2">
        <f t="shared" si="13"/>
        <v>63120</v>
      </c>
      <c r="Q89" s="2">
        <f t="shared" si="14"/>
        <v>67145</v>
      </c>
      <c r="R89" s="2">
        <f t="shared" si="15"/>
        <v>12014</v>
      </c>
      <c r="S89" s="2">
        <f t="shared" si="16"/>
        <v>8268</v>
      </c>
      <c r="T89" s="2">
        <f t="shared" si="17"/>
        <v>6395</v>
      </c>
      <c r="U89" s="2">
        <f t="shared" si="18"/>
        <v>5271</v>
      </c>
      <c r="V89" s="2">
        <f t="shared" si="19"/>
        <v>4522</v>
      </c>
      <c r="W89" s="2">
        <f t="shared" si="20"/>
        <v>3585</v>
      </c>
      <c r="X89" s="2">
        <f t="shared" si="21"/>
        <v>19725</v>
      </c>
      <c r="Y89" s="2">
        <f t="shared" si="22"/>
        <v>59175</v>
      </c>
      <c r="Z89" s="2">
        <f t="shared" si="23"/>
        <v>63200</v>
      </c>
      <c r="AA89" s="2">
        <f t="shared" si="24"/>
        <v>11311</v>
      </c>
      <c r="AB89" s="2">
        <f t="shared" si="25"/>
        <v>7784</v>
      </c>
      <c r="AC89" s="2">
        <f t="shared" si="26"/>
        <v>6021</v>
      </c>
      <c r="AD89" s="2">
        <f t="shared" si="27"/>
        <v>4963</v>
      </c>
      <c r="AE89" s="2">
        <f t="shared" si="28"/>
        <v>4257</v>
      </c>
      <c r="AF89" s="2">
        <f t="shared" si="29"/>
        <v>3376</v>
      </c>
      <c r="AG89" s="2">
        <f t="shared" si="30"/>
        <v>27615</v>
      </c>
      <c r="AH89" s="2">
        <f t="shared" si="31"/>
        <v>51285</v>
      </c>
      <c r="AI89" s="2">
        <f t="shared" si="32"/>
        <v>55310</v>
      </c>
      <c r="AJ89" s="2">
        <f t="shared" si="33"/>
        <v>9905</v>
      </c>
      <c r="AK89" s="2">
        <f t="shared" si="34"/>
        <v>6817</v>
      </c>
      <c r="AL89" s="2">
        <f t="shared" si="35"/>
        <v>5272</v>
      </c>
      <c r="AM89" s="2">
        <f t="shared" si="36"/>
        <v>4346</v>
      </c>
      <c r="AN89" s="2">
        <f t="shared" si="37"/>
        <v>3728</v>
      </c>
      <c r="AO89" s="2">
        <f t="shared" si="38"/>
        <v>2956</v>
      </c>
      <c r="AP89" s="2">
        <f t="shared" si="39"/>
        <v>31560</v>
      </c>
      <c r="AQ89" s="2">
        <f t="shared" si="40"/>
        <v>47340</v>
      </c>
      <c r="AR89" s="2">
        <f t="shared" si="41"/>
        <v>51365</v>
      </c>
      <c r="AS89" s="2">
        <f t="shared" si="42"/>
        <v>9202</v>
      </c>
      <c r="AT89" s="2">
        <f t="shared" si="43"/>
        <v>6333</v>
      </c>
      <c r="AU89" s="2">
        <f t="shared" si="44"/>
        <v>4898</v>
      </c>
      <c r="AV89" s="2">
        <f t="shared" si="45"/>
        <v>4038</v>
      </c>
      <c r="AW89" s="2">
        <f t="shared" si="46"/>
        <v>3464</v>
      </c>
      <c r="AX89" s="2">
        <f t="shared" si="47"/>
        <v>2746</v>
      </c>
    </row>
    <row r="90" ht="14.25" customHeight="1">
      <c r="A90" s="2" t="str">
        <f t="array" ref="A90">IFERROR(INDEX('Product Price'!A:A,SMALL('Product Price'!$D:$D,88)),"")</f>
        <v>SAMSUNG Galaxy Z Fold7 12/256 GB</v>
      </c>
      <c r="B90" s="2">
        <f t="array" ref="B90">IFERROR(INDEX('Product Price'!B:B,SMALL('Product Price'!$D:$D,88)),"")</f>
        <v>67900</v>
      </c>
      <c r="C90" s="2">
        <f t="array" ref="C90">IFERROR(INDEX('Product Price'!C:C,SMALL('Product Price'!$D:$D,88)),"")</f>
        <v>78</v>
      </c>
      <c r="D90" s="2">
        <f t="shared" si="1"/>
        <v>4025</v>
      </c>
      <c r="E90" s="2">
        <f t="shared" si="2"/>
        <v>71925</v>
      </c>
      <c r="F90" s="2">
        <f t="shared" si="48"/>
        <v>10185</v>
      </c>
      <c r="G90" s="2">
        <f t="shared" si="4"/>
        <v>57715</v>
      </c>
      <c r="H90" s="2">
        <f t="shared" si="5"/>
        <v>61740</v>
      </c>
      <c r="I90" s="2">
        <f t="shared" si="6"/>
        <v>11051</v>
      </c>
      <c r="J90" s="2">
        <f t="shared" si="7"/>
        <v>7605</v>
      </c>
      <c r="K90" s="2">
        <f t="shared" si="8"/>
        <v>5882</v>
      </c>
      <c r="L90" s="2">
        <f t="shared" si="9"/>
        <v>4849</v>
      </c>
      <c r="M90" s="2">
        <f t="shared" si="10"/>
        <v>4159</v>
      </c>
      <c r="N90" s="2">
        <f t="shared" si="11"/>
        <v>3298</v>
      </c>
      <c r="O90" s="2">
        <f t="shared" si="12"/>
        <v>13580</v>
      </c>
      <c r="P90" s="2">
        <f t="shared" si="13"/>
        <v>54320</v>
      </c>
      <c r="Q90" s="2">
        <f t="shared" si="14"/>
        <v>58345</v>
      </c>
      <c r="R90" s="2">
        <f t="shared" si="15"/>
        <v>10446</v>
      </c>
      <c r="S90" s="2">
        <f t="shared" si="16"/>
        <v>7189</v>
      </c>
      <c r="T90" s="2">
        <f t="shared" si="17"/>
        <v>5560</v>
      </c>
      <c r="U90" s="2">
        <f t="shared" si="18"/>
        <v>4583</v>
      </c>
      <c r="V90" s="2">
        <f t="shared" si="19"/>
        <v>3932</v>
      </c>
      <c r="W90" s="2">
        <f t="shared" si="20"/>
        <v>3117</v>
      </c>
      <c r="X90" s="2">
        <f t="shared" si="21"/>
        <v>16975</v>
      </c>
      <c r="Y90" s="2">
        <f t="shared" si="22"/>
        <v>50925</v>
      </c>
      <c r="Z90" s="2">
        <f t="shared" si="23"/>
        <v>54950</v>
      </c>
      <c r="AA90" s="2">
        <f t="shared" si="24"/>
        <v>9841</v>
      </c>
      <c r="AB90" s="2">
        <f t="shared" si="25"/>
        <v>6773</v>
      </c>
      <c r="AC90" s="2">
        <f t="shared" si="26"/>
        <v>5238</v>
      </c>
      <c r="AD90" s="2">
        <f t="shared" si="27"/>
        <v>4318</v>
      </c>
      <c r="AE90" s="2">
        <f t="shared" si="28"/>
        <v>3704</v>
      </c>
      <c r="AF90" s="2">
        <f t="shared" si="29"/>
        <v>2937</v>
      </c>
      <c r="AG90" s="2">
        <f t="shared" si="30"/>
        <v>23765</v>
      </c>
      <c r="AH90" s="2">
        <f t="shared" si="31"/>
        <v>44135</v>
      </c>
      <c r="AI90" s="2">
        <f t="shared" si="32"/>
        <v>48160</v>
      </c>
      <c r="AJ90" s="2">
        <f t="shared" si="33"/>
        <v>8631</v>
      </c>
      <c r="AK90" s="2">
        <f t="shared" si="34"/>
        <v>5940</v>
      </c>
      <c r="AL90" s="2">
        <f t="shared" si="35"/>
        <v>4594</v>
      </c>
      <c r="AM90" s="2">
        <f t="shared" si="36"/>
        <v>3787</v>
      </c>
      <c r="AN90" s="2">
        <f t="shared" si="37"/>
        <v>3249</v>
      </c>
      <c r="AO90" s="2">
        <f t="shared" si="38"/>
        <v>2576</v>
      </c>
      <c r="AP90" s="2">
        <f t="shared" si="39"/>
        <v>27160</v>
      </c>
      <c r="AQ90" s="2">
        <f t="shared" si="40"/>
        <v>40740</v>
      </c>
      <c r="AR90" s="2">
        <f t="shared" si="41"/>
        <v>44765</v>
      </c>
      <c r="AS90" s="2">
        <f t="shared" si="42"/>
        <v>8026</v>
      </c>
      <c r="AT90" s="2">
        <f t="shared" si="43"/>
        <v>5524</v>
      </c>
      <c r="AU90" s="2">
        <f t="shared" si="44"/>
        <v>4272</v>
      </c>
      <c r="AV90" s="2">
        <f t="shared" si="45"/>
        <v>3522</v>
      </c>
      <c r="AW90" s="2">
        <f t="shared" si="46"/>
        <v>3021</v>
      </c>
      <c r="AX90" s="2">
        <f t="shared" si="47"/>
        <v>2395</v>
      </c>
    </row>
    <row r="91" ht="14.25" customHeight="1">
      <c r="A91" s="2" t="str">
        <f t="array" ref="A91">IFERROR(INDEX('Product Price'!A:A,SMALL('Product Price'!$D:$D,89)),"")</f>
        <v>SAMSUNG Galaxy Z Fold7 12/512 GB</v>
      </c>
      <c r="B91" s="2">
        <f t="array" ref="B91">IFERROR(INDEX('Product Price'!B:B,SMALL('Product Price'!$D:$D,89)),"")</f>
        <v>75900</v>
      </c>
      <c r="C91" s="2">
        <f t="array" ref="C91">IFERROR(INDEX('Product Price'!C:C,SMALL('Product Price'!$D:$D,89)),"")</f>
        <v>79</v>
      </c>
      <c r="D91" s="2">
        <f t="shared" si="1"/>
        <v>4025</v>
      </c>
      <c r="E91" s="2">
        <f t="shared" si="2"/>
        <v>79925</v>
      </c>
      <c r="F91" s="2">
        <f t="shared" si="48"/>
        <v>11385</v>
      </c>
      <c r="G91" s="2">
        <f t="shared" si="4"/>
        <v>64515</v>
      </c>
      <c r="H91" s="2">
        <f t="shared" si="5"/>
        <v>68540</v>
      </c>
      <c r="I91" s="2">
        <f t="shared" si="6"/>
        <v>12262</v>
      </c>
      <c r="J91" s="2">
        <f t="shared" si="7"/>
        <v>8439</v>
      </c>
      <c r="K91" s="2">
        <f t="shared" si="8"/>
        <v>6527</v>
      </c>
      <c r="L91" s="2">
        <f t="shared" si="9"/>
        <v>5380</v>
      </c>
      <c r="M91" s="2">
        <f t="shared" si="10"/>
        <v>4615</v>
      </c>
      <c r="N91" s="2">
        <f t="shared" si="11"/>
        <v>3660</v>
      </c>
      <c r="O91" s="2">
        <f t="shared" si="12"/>
        <v>15180</v>
      </c>
      <c r="P91" s="2">
        <f t="shared" si="13"/>
        <v>60720</v>
      </c>
      <c r="Q91" s="2">
        <f t="shared" si="14"/>
        <v>64745</v>
      </c>
      <c r="R91" s="2">
        <f t="shared" si="15"/>
        <v>11586</v>
      </c>
      <c r="S91" s="2">
        <f t="shared" si="16"/>
        <v>7974</v>
      </c>
      <c r="T91" s="2">
        <f t="shared" si="17"/>
        <v>6167</v>
      </c>
      <c r="U91" s="2">
        <f t="shared" si="18"/>
        <v>5083</v>
      </c>
      <c r="V91" s="2">
        <f t="shared" si="19"/>
        <v>4361</v>
      </c>
      <c r="W91" s="2">
        <f t="shared" si="20"/>
        <v>3458</v>
      </c>
      <c r="X91" s="2">
        <f t="shared" si="21"/>
        <v>18975</v>
      </c>
      <c r="Y91" s="2">
        <f t="shared" si="22"/>
        <v>56925</v>
      </c>
      <c r="Z91" s="2">
        <f t="shared" si="23"/>
        <v>60950</v>
      </c>
      <c r="AA91" s="2">
        <f t="shared" si="24"/>
        <v>10910</v>
      </c>
      <c r="AB91" s="2">
        <f t="shared" si="25"/>
        <v>7508</v>
      </c>
      <c r="AC91" s="2">
        <f t="shared" si="26"/>
        <v>5807</v>
      </c>
      <c r="AD91" s="2">
        <f t="shared" si="27"/>
        <v>4787</v>
      </c>
      <c r="AE91" s="2">
        <f t="shared" si="28"/>
        <v>4106</v>
      </c>
      <c r="AF91" s="2">
        <f t="shared" si="29"/>
        <v>3256</v>
      </c>
      <c r="AG91" s="2">
        <f t="shared" si="30"/>
        <v>26565</v>
      </c>
      <c r="AH91" s="2">
        <f t="shared" si="31"/>
        <v>49335</v>
      </c>
      <c r="AI91" s="2">
        <f t="shared" si="32"/>
        <v>53360</v>
      </c>
      <c r="AJ91" s="2">
        <f t="shared" si="33"/>
        <v>9558</v>
      </c>
      <c r="AK91" s="2">
        <f t="shared" si="34"/>
        <v>6578</v>
      </c>
      <c r="AL91" s="2">
        <f t="shared" si="35"/>
        <v>5088</v>
      </c>
      <c r="AM91" s="2">
        <f t="shared" si="36"/>
        <v>4193</v>
      </c>
      <c r="AN91" s="2">
        <f t="shared" si="37"/>
        <v>3597</v>
      </c>
      <c r="AO91" s="2">
        <f t="shared" si="38"/>
        <v>2852</v>
      </c>
      <c r="AP91" s="2">
        <f t="shared" si="39"/>
        <v>30360</v>
      </c>
      <c r="AQ91" s="2">
        <f t="shared" si="40"/>
        <v>45540</v>
      </c>
      <c r="AR91" s="2">
        <f t="shared" si="41"/>
        <v>49565</v>
      </c>
      <c r="AS91" s="2">
        <f t="shared" si="42"/>
        <v>8882</v>
      </c>
      <c r="AT91" s="2">
        <f t="shared" si="43"/>
        <v>6112</v>
      </c>
      <c r="AU91" s="2">
        <f t="shared" si="44"/>
        <v>4728</v>
      </c>
      <c r="AV91" s="2">
        <f t="shared" si="45"/>
        <v>3897</v>
      </c>
      <c r="AW91" s="2">
        <f t="shared" si="46"/>
        <v>3343</v>
      </c>
      <c r="AX91" s="2">
        <f t="shared" si="47"/>
        <v>2651</v>
      </c>
    </row>
    <row r="92" ht="14.25" customHeight="1">
      <c r="A92" s="2" t="str">
        <f t="array" ref="A92">IFERROR(INDEX('Product Price'!A:A,SMALL('Product Price'!$D:$D,90)),"")</f>
        <v>SAMSUNG Galaxy Z Fold7 16/1TB</v>
      </c>
      <c r="B92" s="2">
        <f t="array" ref="B92">IFERROR(INDEX('Product Price'!B:B,SMALL('Product Price'!$D:$D,90)),"")</f>
        <v>87900</v>
      </c>
      <c r="C92" s="2">
        <f t="array" ref="C92">IFERROR(INDEX('Product Price'!C:C,SMALL('Product Price'!$D:$D,90)),"")</f>
        <v>80</v>
      </c>
      <c r="D92" s="2">
        <f t="shared" si="1"/>
        <v>5175</v>
      </c>
      <c r="E92" s="2">
        <f t="shared" si="2"/>
        <v>93075</v>
      </c>
      <c r="F92" s="2">
        <f t="shared" si="48"/>
        <v>13185</v>
      </c>
      <c r="G92" s="2">
        <f t="shared" si="4"/>
        <v>74715</v>
      </c>
      <c r="H92" s="2">
        <f t="shared" si="5"/>
        <v>79890</v>
      </c>
      <c r="I92" s="2">
        <f t="shared" si="6"/>
        <v>14299</v>
      </c>
      <c r="J92" s="2">
        <f t="shared" si="7"/>
        <v>9840</v>
      </c>
      <c r="K92" s="2">
        <f t="shared" si="8"/>
        <v>7611</v>
      </c>
      <c r="L92" s="2">
        <f t="shared" si="9"/>
        <v>6274</v>
      </c>
      <c r="M92" s="2">
        <f t="shared" si="10"/>
        <v>5382</v>
      </c>
      <c r="N92" s="2">
        <f t="shared" si="11"/>
        <v>4267</v>
      </c>
      <c r="O92" s="2">
        <f t="shared" si="12"/>
        <v>17580</v>
      </c>
      <c r="P92" s="2">
        <f t="shared" si="13"/>
        <v>70320</v>
      </c>
      <c r="Q92" s="2">
        <f t="shared" si="14"/>
        <v>75495</v>
      </c>
      <c r="R92" s="2">
        <f t="shared" si="15"/>
        <v>13516</v>
      </c>
      <c r="S92" s="2">
        <f t="shared" si="16"/>
        <v>9301</v>
      </c>
      <c r="T92" s="2">
        <f t="shared" si="17"/>
        <v>7194</v>
      </c>
      <c r="U92" s="2">
        <f t="shared" si="18"/>
        <v>5930</v>
      </c>
      <c r="V92" s="2">
        <f t="shared" si="19"/>
        <v>5087</v>
      </c>
      <c r="W92" s="2">
        <f t="shared" si="20"/>
        <v>4034</v>
      </c>
      <c r="X92" s="2">
        <f t="shared" si="21"/>
        <v>21975</v>
      </c>
      <c r="Y92" s="2">
        <f t="shared" si="22"/>
        <v>65925</v>
      </c>
      <c r="Z92" s="2">
        <f t="shared" si="23"/>
        <v>71100</v>
      </c>
      <c r="AA92" s="2">
        <f t="shared" si="24"/>
        <v>12733</v>
      </c>
      <c r="AB92" s="2">
        <f t="shared" si="25"/>
        <v>8763</v>
      </c>
      <c r="AC92" s="2">
        <f t="shared" si="26"/>
        <v>6778</v>
      </c>
      <c r="AD92" s="2">
        <f t="shared" si="27"/>
        <v>5586</v>
      </c>
      <c r="AE92" s="2">
        <f t="shared" si="28"/>
        <v>4792</v>
      </c>
      <c r="AF92" s="2">
        <f t="shared" si="29"/>
        <v>3800</v>
      </c>
      <c r="AG92" s="2">
        <f t="shared" si="30"/>
        <v>30765</v>
      </c>
      <c r="AH92" s="2">
        <f t="shared" si="31"/>
        <v>57135</v>
      </c>
      <c r="AI92" s="2">
        <f t="shared" si="32"/>
        <v>62310</v>
      </c>
      <c r="AJ92" s="2">
        <f t="shared" si="33"/>
        <v>11167</v>
      </c>
      <c r="AK92" s="2">
        <f t="shared" si="34"/>
        <v>7685</v>
      </c>
      <c r="AL92" s="2">
        <f t="shared" si="35"/>
        <v>5944</v>
      </c>
      <c r="AM92" s="2">
        <f t="shared" si="36"/>
        <v>4899</v>
      </c>
      <c r="AN92" s="2">
        <f t="shared" si="37"/>
        <v>4203</v>
      </c>
      <c r="AO92" s="2">
        <f t="shared" si="38"/>
        <v>3333</v>
      </c>
      <c r="AP92" s="2">
        <f t="shared" si="39"/>
        <v>35160</v>
      </c>
      <c r="AQ92" s="2">
        <f t="shared" si="40"/>
        <v>52740</v>
      </c>
      <c r="AR92" s="2">
        <f t="shared" si="41"/>
        <v>57915</v>
      </c>
      <c r="AS92" s="2">
        <f t="shared" si="42"/>
        <v>10384</v>
      </c>
      <c r="AT92" s="2">
        <f t="shared" si="43"/>
        <v>7146</v>
      </c>
      <c r="AU92" s="2">
        <f t="shared" si="44"/>
        <v>5527</v>
      </c>
      <c r="AV92" s="2">
        <f t="shared" si="45"/>
        <v>4556</v>
      </c>
      <c r="AW92" s="2">
        <f t="shared" si="46"/>
        <v>3908</v>
      </c>
      <c r="AX92" s="2">
        <f t="shared" si="47"/>
        <v>3099</v>
      </c>
    </row>
    <row r="93" ht="14.25" customHeight="1">
      <c r="A93" s="2" t="str">
        <f t="array" ref="A93">IFERROR(INDEX('Product Price'!A:A,SMALL('Product Price'!$D:$D,91)),"")</f>
        <v>SAMSUNG Galaxy S24 8/256 GB</v>
      </c>
      <c r="B93" s="2">
        <f t="array" ref="B93">IFERROR(INDEX('Product Price'!B:B,SMALL('Product Price'!$D:$D,91)),"")</f>
        <v>27900</v>
      </c>
      <c r="C93" s="2">
        <f t="array" ref="C93">IFERROR(INDEX('Product Price'!C:C,SMALL('Product Price'!$D:$D,91)),"")</f>
        <v>81</v>
      </c>
      <c r="D93" s="2">
        <f t="shared" si="1"/>
        <v>1900</v>
      </c>
      <c r="E93" s="2">
        <f t="shared" si="2"/>
        <v>29800</v>
      </c>
      <c r="F93" s="2">
        <f t="shared" si="48"/>
        <v>4185</v>
      </c>
      <c r="G93" s="2">
        <f t="shared" si="4"/>
        <v>23715</v>
      </c>
      <c r="H93" s="2">
        <f t="shared" si="5"/>
        <v>25615</v>
      </c>
      <c r="I93" s="2">
        <f t="shared" si="6"/>
        <v>4588</v>
      </c>
      <c r="J93" s="2">
        <f t="shared" si="7"/>
        <v>3157</v>
      </c>
      <c r="K93" s="2">
        <f t="shared" si="8"/>
        <v>2442</v>
      </c>
      <c r="L93" s="2">
        <f t="shared" si="9"/>
        <v>2013</v>
      </c>
      <c r="M93" s="2">
        <f t="shared" si="10"/>
        <v>1727</v>
      </c>
      <c r="N93" s="2">
        <f t="shared" si="11"/>
        <v>1369</v>
      </c>
      <c r="O93" s="2">
        <f t="shared" si="12"/>
        <v>5580</v>
      </c>
      <c r="P93" s="2">
        <f t="shared" si="13"/>
        <v>22320</v>
      </c>
      <c r="Q93" s="2">
        <f t="shared" si="14"/>
        <v>24220</v>
      </c>
      <c r="R93" s="2">
        <f t="shared" si="15"/>
        <v>4339</v>
      </c>
      <c r="S93" s="2">
        <f t="shared" si="16"/>
        <v>2986</v>
      </c>
      <c r="T93" s="2">
        <f t="shared" si="17"/>
        <v>2310</v>
      </c>
      <c r="U93" s="2">
        <f t="shared" si="18"/>
        <v>1904</v>
      </c>
      <c r="V93" s="2">
        <f t="shared" si="19"/>
        <v>1634</v>
      </c>
      <c r="W93" s="2">
        <f t="shared" si="20"/>
        <v>1295</v>
      </c>
      <c r="X93" s="2">
        <f t="shared" si="21"/>
        <v>6975</v>
      </c>
      <c r="Y93" s="2">
        <f t="shared" si="22"/>
        <v>20925</v>
      </c>
      <c r="Z93" s="2">
        <f t="shared" si="23"/>
        <v>22825</v>
      </c>
      <c r="AA93" s="2">
        <f t="shared" si="24"/>
        <v>4091</v>
      </c>
      <c r="AB93" s="2">
        <f t="shared" si="25"/>
        <v>2815</v>
      </c>
      <c r="AC93" s="2">
        <f t="shared" si="26"/>
        <v>2178</v>
      </c>
      <c r="AD93" s="2">
        <f t="shared" si="27"/>
        <v>1795</v>
      </c>
      <c r="AE93" s="2">
        <f t="shared" si="28"/>
        <v>1540</v>
      </c>
      <c r="AF93" s="2">
        <f t="shared" si="29"/>
        <v>1221</v>
      </c>
      <c r="AG93" s="2">
        <f t="shared" si="30"/>
        <v>9765</v>
      </c>
      <c r="AH93" s="2">
        <f t="shared" si="31"/>
        <v>18135</v>
      </c>
      <c r="AI93" s="2">
        <f t="shared" si="32"/>
        <v>20035</v>
      </c>
      <c r="AJ93" s="2">
        <f t="shared" si="33"/>
        <v>3594</v>
      </c>
      <c r="AK93" s="2">
        <f t="shared" si="34"/>
        <v>2473</v>
      </c>
      <c r="AL93" s="2">
        <f t="shared" si="35"/>
        <v>1913</v>
      </c>
      <c r="AM93" s="2">
        <f t="shared" si="36"/>
        <v>1577</v>
      </c>
      <c r="AN93" s="2">
        <f t="shared" si="37"/>
        <v>1353</v>
      </c>
      <c r="AO93" s="2">
        <f t="shared" si="38"/>
        <v>1073</v>
      </c>
      <c r="AP93" s="2">
        <f t="shared" si="39"/>
        <v>11160</v>
      </c>
      <c r="AQ93" s="2">
        <f t="shared" si="40"/>
        <v>16740</v>
      </c>
      <c r="AR93" s="2">
        <f t="shared" si="41"/>
        <v>18640</v>
      </c>
      <c r="AS93" s="2">
        <f t="shared" si="42"/>
        <v>3345</v>
      </c>
      <c r="AT93" s="2">
        <f t="shared" si="43"/>
        <v>2302</v>
      </c>
      <c r="AU93" s="2">
        <f t="shared" si="44"/>
        <v>1781</v>
      </c>
      <c r="AV93" s="2">
        <f t="shared" si="45"/>
        <v>1468</v>
      </c>
      <c r="AW93" s="2">
        <f t="shared" si="46"/>
        <v>1259</v>
      </c>
      <c r="AX93" s="2">
        <f t="shared" si="47"/>
        <v>999</v>
      </c>
    </row>
    <row r="94" ht="14.25" customHeight="1">
      <c r="A94" s="2" t="str">
        <f t="array" ref="A94">IFERROR(INDEX('Product Price'!A:A,SMALL('Product Price'!$D:$D,92)),"")</f>
        <v>SAMSUNG Galaxy S24 8/512 GB</v>
      </c>
      <c r="B94" s="2">
        <f t="array" ref="B94">IFERROR(INDEX('Product Price'!B:B,SMALL('Product Price'!$D:$D,92)),"")</f>
        <v>32900</v>
      </c>
      <c r="C94" s="2">
        <f t="array" ref="C94">IFERROR(INDEX('Product Price'!C:C,SMALL('Product Price'!$D:$D,92)),"")</f>
        <v>82</v>
      </c>
      <c r="D94" s="2">
        <f t="shared" si="1"/>
        <v>1900</v>
      </c>
      <c r="E94" s="2">
        <f t="shared" si="2"/>
        <v>34800</v>
      </c>
      <c r="F94" s="2">
        <f t="shared" si="48"/>
        <v>4935</v>
      </c>
      <c r="G94" s="2">
        <f t="shared" si="4"/>
        <v>27965</v>
      </c>
      <c r="H94" s="2">
        <f t="shared" si="5"/>
        <v>29865</v>
      </c>
      <c r="I94" s="2">
        <f t="shared" si="6"/>
        <v>5345</v>
      </c>
      <c r="J94" s="2">
        <f t="shared" si="7"/>
        <v>3679</v>
      </c>
      <c r="K94" s="2">
        <f t="shared" si="8"/>
        <v>2845</v>
      </c>
      <c r="L94" s="2">
        <f t="shared" si="9"/>
        <v>2345</v>
      </c>
      <c r="M94" s="2">
        <f t="shared" si="10"/>
        <v>2012</v>
      </c>
      <c r="N94" s="2">
        <f t="shared" si="11"/>
        <v>1595</v>
      </c>
      <c r="O94" s="2">
        <f t="shared" si="12"/>
        <v>6580</v>
      </c>
      <c r="P94" s="2">
        <f t="shared" si="13"/>
        <v>26320</v>
      </c>
      <c r="Q94" s="2">
        <f t="shared" si="14"/>
        <v>28220</v>
      </c>
      <c r="R94" s="2">
        <f t="shared" si="15"/>
        <v>5052</v>
      </c>
      <c r="S94" s="2">
        <f t="shared" si="16"/>
        <v>3477</v>
      </c>
      <c r="T94" s="2">
        <f t="shared" si="17"/>
        <v>2689</v>
      </c>
      <c r="U94" s="2">
        <f t="shared" si="18"/>
        <v>2217</v>
      </c>
      <c r="V94" s="2">
        <f t="shared" si="19"/>
        <v>1902</v>
      </c>
      <c r="W94" s="2">
        <f t="shared" si="20"/>
        <v>1508</v>
      </c>
      <c r="X94" s="2">
        <f t="shared" si="21"/>
        <v>8225</v>
      </c>
      <c r="Y94" s="2">
        <f t="shared" si="22"/>
        <v>24675</v>
      </c>
      <c r="Z94" s="2">
        <f t="shared" si="23"/>
        <v>26575</v>
      </c>
      <c r="AA94" s="2">
        <f t="shared" si="24"/>
        <v>4759</v>
      </c>
      <c r="AB94" s="2">
        <f t="shared" si="25"/>
        <v>3275</v>
      </c>
      <c r="AC94" s="2">
        <f t="shared" si="26"/>
        <v>2533</v>
      </c>
      <c r="AD94" s="2">
        <f t="shared" si="27"/>
        <v>2088</v>
      </c>
      <c r="AE94" s="2">
        <f t="shared" si="28"/>
        <v>1791</v>
      </c>
      <c r="AF94" s="2">
        <f t="shared" si="29"/>
        <v>1420</v>
      </c>
      <c r="AG94" s="2">
        <f t="shared" si="30"/>
        <v>11515</v>
      </c>
      <c r="AH94" s="2">
        <f t="shared" si="31"/>
        <v>21385</v>
      </c>
      <c r="AI94" s="2">
        <f t="shared" si="32"/>
        <v>23285</v>
      </c>
      <c r="AJ94" s="2">
        <f t="shared" si="33"/>
        <v>4173</v>
      </c>
      <c r="AK94" s="2">
        <f t="shared" si="34"/>
        <v>2872</v>
      </c>
      <c r="AL94" s="2">
        <f t="shared" si="35"/>
        <v>2221</v>
      </c>
      <c r="AM94" s="2">
        <f t="shared" si="36"/>
        <v>1831</v>
      </c>
      <c r="AN94" s="2">
        <f t="shared" si="37"/>
        <v>1571</v>
      </c>
      <c r="AO94" s="2">
        <f t="shared" si="38"/>
        <v>1246</v>
      </c>
      <c r="AP94" s="2">
        <f t="shared" si="39"/>
        <v>13160</v>
      </c>
      <c r="AQ94" s="2">
        <f t="shared" si="40"/>
        <v>19740</v>
      </c>
      <c r="AR94" s="2">
        <f t="shared" si="41"/>
        <v>21640</v>
      </c>
      <c r="AS94" s="2">
        <f t="shared" si="42"/>
        <v>3880</v>
      </c>
      <c r="AT94" s="2">
        <f t="shared" si="43"/>
        <v>2670</v>
      </c>
      <c r="AU94" s="2">
        <f t="shared" si="44"/>
        <v>2065</v>
      </c>
      <c r="AV94" s="2">
        <f t="shared" si="45"/>
        <v>1702</v>
      </c>
      <c r="AW94" s="2">
        <f t="shared" si="46"/>
        <v>1461</v>
      </c>
      <c r="AX94" s="2">
        <f t="shared" si="47"/>
        <v>1158</v>
      </c>
    </row>
    <row r="95" ht="14.25" customHeight="1">
      <c r="A95" s="2" t="str">
        <f t="array" ref="A95">IFERROR(INDEX('Product Price'!A:A,SMALL('Product Price'!$D:$D,93)),"")</f>
        <v>SAMSUNG Galaxy S24+ 12/256 GB</v>
      </c>
      <c r="B95" s="2">
        <f t="array" ref="B95">IFERROR(INDEX('Product Price'!B:B,SMALL('Product Price'!$D:$D,93)),"")</f>
        <v>33900</v>
      </c>
      <c r="C95" s="2">
        <f t="array" ref="C95">IFERROR(INDEX('Product Price'!C:C,SMALL('Product Price'!$D:$D,93)),"")</f>
        <v>83</v>
      </c>
      <c r="D95" s="2">
        <f t="shared" si="1"/>
        <v>1900</v>
      </c>
      <c r="E95" s="2">
        <f t="shared" si="2"/>
        <v>35800</v>
      </c>
      <c r="F95" s="2">
        <f t="shared" si="48"/>
        <v>5085</v>
      </c>
      <c r="G95" s="2">
        <f t="shared" si="4"/>
        <v>28815</v>
      </c>
      <c r="H95" s="2">
        <f t="shared" si="5"/>
        <v>30715</v>
      </c>
      <c r="I95" s="2">
        <f t="shared" si="6"/>
        <v>5497</v>
      </c>
      <c r="J95" s="2">
        <f t="shared" si="7"/>
        <v>3783</v>
      </c>
      <c r="K95" s="2">
        <f t="shared" si="8"/>
        <v>2926</v>
      </c>
      <c r="L95" s="2">
        <f t="shared" si="9"/>
        <v>2412</v>
      </c>
      <c r="M95" s="2">
        <f t="shared" si="10"/>
        <v>2069</v>
      </c>
      <c r="N95" s="2">
        <f t="shared" si="11"/>
        <v>1641</v>
      </c>
      <c r="O95" s="2">
        <f t="shared" si="12"/>
        <v>6780</v>
      </c>
      <c r="P95" s="2">
        <f t="shared" si="13"/>
        <v>27120</v>
      </c>
      <c r="Q95" s="2">
        <f t="shared" si="14"/>
        <v>29020</v>
      </c>
      <c r="R95" s="2">
        <f t="shared" si="15"/>
        <v>5195</v>
      </c>
      <c r="S95" s="2">
        <f t="shared" si="16"/>
        <v>3575</v>
      </c>
      <c r="T95" s="2">
        <f t="shared" si="17"/>
        <v>2765</v>
      </c>
      <c r="U95" s="2">
        <f t="shared" si="18"/>
        <v>2279</v>
      </c>
      <c r="V95" s="2">
        <f t="shared" si="19"/>
        <v>1955</v>
      </c>
      <c r="W95" s="2">
        <f t="shared" si="20"/>
        <v>1550</v>
      </c>
      <c r="X95" s="2">
        <f t="shared" si="21"/>
        <v>8475</v>
      </c>
      <c r="Y95" s="2">
        <f t="shared" si="22"/>
        <v>25425</v>
      </c>
      <c r="Z95" s="2">
        <f t="shared" si="23"/>
        <v>27325</v>
      </c>
      <c r="AA95" s="2">
        <f t="shared" si="24"/>
        <v>4893</v>
      </c>
      <c r="AB95" s="2">
        <f t="shared" si="25"/>
        <v>3367</v>
      </c>
      <c r="AC95" s="2">
        <f t="shared" si="26"/>
        <v>2604</v>
      </c>
      <c r="AD95" s="2">
        <f t="shared" si="27"/>
        <v>2147</v>
      </c>
      <c r="AE95" s="2">
        <f t="shared" si="28"/>
        <v>1842</v>
      </c>
      <c r="AF95" s="2">
        <f t="shared" si="29"/>
        <v>1460</v>
      </c>
      <c r="AG95" s="2">
        <f t="shared" si="30"/>
        <v>11865</v>
      </c>
      <c r="AH95" s="2">
        <f t="shared" si="31"/>
        <v>22035</v>
      </c>
      <c r="AI95" s="2">
        <f t="shared" si="32"/>
        <v>23935</v>
      </c>
      <c r="AJ95" s="2">
        <f t="shared" si="33"/>
        <v>4289</v>
      </c>
      <c r="AK95" s="2">
        <f t="shared" si="34"/>
        <v>2952</v>
      </c>
      <c r="AL95" s="2">
        <f t="shared" si="35"/>
        <v>2283</v>
      </c>
      <c r="AM95" s="2">
        <f t="shared" si="36"/>
        <v>1882</v>
      </c>
      <c r="AN95" s="2">
        <f t="shared" si="37"/>
        <v>1614</v>
      </c>
      <c r="AO95" s="2">
        <f t="shared" si="38"/>
        <v>1280</v>
      </c>
      <c r="AP95" s="2">
        <f t="shared" si="39"/>
        <v>13560</v>
      </c>
      <c r="AQ95" s="2">
        <f t="shared" si="40"/>
        <v>20340</v>
      </c>
      <c r="AR95" s="2">
        <f t="shared" si="41"/>
        <v>22240</v>
      </c>
      <c r="AS95" s="2">
        <f t="shared" si="42"/>
        <v>3987</v>
      </c>
      <c r="AT95" s="2">
        <f t="shared" si="43"/>
        <v>2744</v>
      </c>
      <c r="AU95" s="2">
        <f t="shared" si="44"/>
        <v>2122</v>
      </c>
      <c r="AV95" s="2">
        <f t="shared" si="45"/>
        <v>1749</v>
      </c>
      <c r="AW95" s="2">
        <f t="shared" si="46"/>
        <v>1501</v>
      </c>
      <c r="AX95" s="2">
        <f t="shared" si="47"/>
        <v>1190</v>
      </c>
    </row>
    <row r="96" ht="14.25" customHeight="1">
      <c r="A96" s="2" t="str">
        <f t="array" ref="A96">IFERROR(INDEX('Product Price'!A:A,SMALL('Product Price'!$D:$D,94)),"")</f>
        <v>SAMSUNG Galaxy S24+ 12/512 GB</v>
      </c>
      <c r="B96" s="2">
        <f t="array" ref="B96">IFERROR(INDEX('Product Price'!B:B,SMALL('Product Price'!$D:$D,94)),"")</f>
        <v>38900</v>
      </c>
      <c r="C96" s="2">
        <f t="array" ref="C96">IFERROR(INDEX('Product Price'!C:C,SMALL('Product Price'!$D:$D,94)),"")</f>
        <v>84</v>
      </c>
      <c r="D96" s="2">
        <f t="shared" si="1"/>
        <v>1900</v>
      </c>
      <c r="E96" s="2">
        <f t="shared" si="2"/>
        <v>40800</v>
      </c>
      <c r="F96" s="2">
        <f t="shared" si="48"/>
        <v>5835</v>
      </c>
      <c r="G96" s="2">
        <f t="shared" si="4"/>
        <v>33065</v>
      </c>
      <c r="H96" s="2">
        <f t="shared" si="5"/>
        <v>34965</v>
      </c>
      <c r="I96" s="2">
        <f t="shared" si="6"/>
        <v>6254</v>
      </c>
      <c r="J96" s="2">
        <f t="shared" si="7"/>
        <v>4304</v>
      </c>
      <c r="K96" s="2">
        <f t="shared" si="8"/>
        <v>3329</v>
      </c>
      <c r="L96" s="2">
        <f t="shared" si="9"/>
        <v>2744</v>
      </c>
      <c r="M96" s="2">
        <f t="shared" si="10"/>
        <v>2354</v>
      </c>
      <c r="N96" s="2">
        <f t="shared" si="11"/>
        <v>1867</v>
      </c>
      <c r="O96" s="2">
        <f t="shared" si="12"/>
        <v>7780</v>
      </c>
      <c r="P96" s="2">
        <f t="shared" si="13"/>
        <v>31120</v>
      </c>
      <c r="Q96" s="2">
        <f t="shared" si="14"/>
        <v>33020</v>
      </c>
      <c r="R96" s="2">
        <f t="shared" si="15"/>
        <v>5907</v>
      </c>
      <c r="S96" s="2">
        <f t="shared" si="16"/>
        <v>4065</v>
      </c>
      <c r="T96" s="2">
        <f t="shared" si="17"/>
        <v>3145</v>
      </c>
      <c r="U96" s="2">
        <f t="shared" si="18"/>
        <v>2592</v>
      </c>
      <c r="V96" s="2">
        <f t="shared" si="19"/>
        <v>2224</v>
      </c>
      <c r="W96" s="2">
        <f t="shared" si="20"/>
        <v>1763</v>
      </c>
      <c r="X96" s="2">
        <f t="shared" si="21"/>
        <v>9725</v>
      </c>
      <c r="Y96" s="2">
        <f t="shared" si="22"/>
        <v>29175</v>
      </c>
      <c r="Z96" s="2">
        <f t="shared" si="23"/>
        <v>31075</v>
      </c>
      <c r="AA96" s="2">
        <f t="shared" si="24"/>
        <v>5561</v>
      </c>
      <c r="AB96" s="2">
        <f t="shared" si="25"/>
        <v>3827</v>
      </c>
      <c r="AC96" s="2">
        <f t="shared" si="26"/>
        <v>2960</v>
      </c>
      <c r="AD96" s="2">
        <f t="shared" si="27"/>
        <v>2440</v>
      </c>
      <c r="AE96" s="2">
        <f t="shared" si="28"/>
        <v>2093</v>
      </c>
      <c r="AF96" s="2">
        <f t="shared" si="29"/>
        <v>1660</v>
      </c>
      <c r="AG96" s="2">
        <f t="shared" si="30"/>
        <v>13615</v>
      </c>
      <c r="AH96" s="2">
        <f t="shared" si="31"/>
        <v>25285</v>
      </c>
      <c r="AI96" s="2">
        <f t="shared" si="32"/>
        <v>27185</v>
      </c>
      <c r="AJ96" s="2">
        <f t="shared" si="33"/>
        <v>4868</v>
      </c>
      <c r="AK96" s="2">
        <f t="shared" si="34"/>
        <v>3350</v>
      </c>
      <c r="AL96" s="2">
        <f t="shared" si="35"/>
        <v>2591</v>
      </c>
      <c r="AM96" s="2">
        <f t="shared" si="36"/>
        <v>2136</v>
      </c>
      <c r="AN96" s="2">
        <f t="shared" si="37"/>
        <v>1832</v>
      </c>
      <c r="AO96" s="2">
        <f t="shared" si="38"/>
        <v>1453</v>
      </c>
      <c r="AP96" s="2">
        <f t="shared" si="39"/>
        <v>15560</v>
      </c>
      <c r="AQ96" s="2">
        <f t="shared" si="40"/>
        <v>23340</v>
      </c>
      <c r="AR96" s="2">
        <f t="shared" si="41"/>
        <v>25240</v>
      </c>
      <c r="AS96" s="2">
        <f t="shared" si="42"/>
        <v>4521</v>
      </c>
      <c r="AT96" s="2">
        <f t="shared" si="43"/>
        <v>3112</v>
      </c>
      <c r="AU96" s="2">
        <f t="shared" si="44"/>
        <v>2407</v>
      </c>
      <c r="AV96" s="2">
        <f t="shared" si="45"/>
        <v>1984</v>
      </c>
      <c r="AW96" s="2">
        <f t="shared" si="46"/>
        <v>1702</v>
      </c>
      <c r="AX96" s="2">
        <f t="shared" si="47"/>
        <v>1349</v>
      </c>
    </row>
    <row r="97" ht="14.25" customHeight="1">
      <c r="A97" s="2" t="str">
        <f t="array" ref="A97">IFERROR(INDEX('Product Price'!A:A,SMALL('Product Price'!$D:$D,95)),"")</f>
        <v>SAMSUNG Galaxy S24 Ultra 12/512 GB</v>
      </c>
      <c r="B97" s="2">
        <f t="array" ref="B97">IFERROR(INDEX('Product Price'!B:B,SMALL('Product Price'!$D:$D,95)),"")</f>
        <v>48900</v>
      </c>
      <c r="C97" s="2">
        <f t="array" ref="C97">IFERROR(INDEX('Product Price'!C:C,SMALL('Product Price'!$D:$D,95)),"")</f>
        <v>85</v>
      </c>
      <c r="D97" s="2">
        <f t="shared" si="1"/>
        <v>2475</v>
      </c>
      <c r="E97" s="2">
        <f t="shared" si="2"/>
        <v>51375</v>
      </c>
      <c r="F97" s="2">
        <f t="shared" si="48"/>
        <v>7335</v>
      </c>
      <c r="G97" s="2">
        <f t="shared" si="4"/>
        <v>41565</v>
      </c>
      <c r="H97" s="2">
        <f t="shared" si="5"/>
        <v>44040</v>
      </c>
      <c r="I97" s="2">
        <f t="shared" si="6"/>
        <v>7878</v>
      </c>
      <c r="J97" s="2">
        <f t="shared" si="7"/>
        <v>5422</v>
      </c>
      <c r="K97" s="2">
        <f t="shared" si="8"/>
        <v>4193</v>
      </c>
      <c r="L97" s="2">
        <f t="shared" si="9"/>
        <v>3457</v>
      </c>
      <c r="M97" s="2">
        <f t="shared" si="10"/>
        <v>2965</v>
      </c>
      <c r="N97" s="2">
        <f t="shared" si="11"/>
        <v>2351</v>
      </c>
      <c r="O97" s="2">
        <f t="shared" si="12"/>
        <v>9780</v>
      </c>
      <c r="P97" s="2">
        <f t="shared" si="13"/>
        <v>39120</v>
      </c>
      <c r="Q97" s="2">
        <f t="shared" si="14"/>
        <v>41595</v>
      </c>
      <c r="R97" s="2">
        <f t="shared" si="15"/>
        <v>7442</v>
      </c>
      <c r="S97" s="2">
        <f t="shared" si="16"/>
        <v>5122</v>
      </c>
      <c r="T97" s="2">
        <f t="shared" si="17"/>
        <v>3962</v>
      </c>
      <c r="U97" s="2">
        <f t="shared" si="18"/>
        <v>3265</v>
      </c>
      <c r="V97" s="2">
        <f t="shared" si="19"/>
        <v>2801</v>
      </c>
      <c r="W97" s="2">
        <f t="shared" si="20"/>
        <v>2221</v>
      </c>
      <c r="X97" s="2">
        <f t="shared" si="21"/>
        <v>12225</v>
      </c>
      <c r="Y97" s="2">
        <f t="shared" si="22"/>
        <v>36675</v>
      </c>
      <c r="Z97" s="2">
        <f t="shared" si="23"/>
        <v>39150</v>
      </c>
      <c r="AA97" s="2">
        <f t="shared" si="24"/>
        <v>7007</v>
      </c>
      <c r="AB97" s="2">
        <f t="shared" si="25"/>
        <v>4822</v>
      </c>
      <c r="AC97" s="2">
        <f t="shared" si="26"/>
        <v>3730</v>
      </c>
      <c r="AD97" s="2">
        <f t="shared" si="27"/>
        <v>3074</v>
      </c>
      <c r="AE97" s="2">
        <f t="shared" si="28"/>
        <v>2637</v>
      </c>
      <c r="AF97" s="2">
        <f t="shared" si="29"/>
        <v>2091</v>
      </c>
      <c r="AG97" s="2">
        <f t="shared" si="30"/>
        <v>17115</v>
      </c>
      <c r="AH97" s="2">
        <f t="shared" si="31"/>
        <v>31785</v>
      </c>
      <c r="AI97" s="2">
        <f t="shared" si="32"/>
        <v>34260</v>
      </c>
      <c r="AJ97" s="2">
        <f t="shared" si="33"/>
        <v>6135</v>
      </c>
      <c r="AK97" s="2">
        <f t="shared" si="34"/>
        <v>4222</v>
      </c>
      <c r="AL97" s="2">
        <f t="shared" si="35"/>
        <v>3266</v>
      </c>
      <c r="AM97" s="2">
        <f t="shared" si="36"/>
        <v>2692</v>
      </c>
      <c r="AN97" s="2">
        <f t="shared" si="37"/>
        <v>2309</v>
      </c>
      <c r="AO97" s="2">
        <f t="shared" si="38"/>
        <v>1831</v>
      </c>
      <c r="AP97" s="2">
        <f t="shared" si="39"/>
        <v>19560</v>
      </c>
      <c r="AQ97" s="2">
        <f t="shared" si="40"/>
        <v>29340</v>
      </c>
      <c r="AR97" s="2">
        <f t="shared" si="41"/>
        <v>31815</v>
      </c>
      <c r="AS97" s="2">
        <f t="shared" si="42"/>
        <v>5700</v>
      </c>
      <c r="AT97" s="2">
        <f t="shared" si="43"/>
        <v>3923</v>
      </c>
      <c r="AU97" s="2">
        <f t="shared" si="44"/>
        <v>3034</v>
      </c>
      <c r="AV97" s="2">
        <f t="shared" si="45"/>
        <v>2501</v>
      </c>
      <c r="AW97" s="2">
        <f t="shared" si="46"/>
        <v>2145</v>
      </c>
      <c r="AX97" s="2">
        <f t="shared" si="47"/>
        <v>1701</v>
      </c>
    </row>
    <row r="98" ht="14.25" customHeight="1">
      <c r="A98" s="2" t="str">
        <f t="array" ref="A98">IFERROR(INDEX('Product Price'!A:A,SMALL('Product Price'!$D:$D,96)),"")</f>
        <v>SAMSUNG Galaxy S24 Ultra 12/1TB</v>
      </c>
      <c r="B98" s="2">
        <f t="array" ref="B98">IFERROR(INDEX('Product Price'!B:B,SMALL('Product Price'!$D:$D,96)),"")</f>
        <v>58900</v>
      </c>
      <c r="C98" s="2">
        <f t="array" ref="C98">IFERROR(INDEX('Product Price'!C:C,SMALL('Product Price'!$D:$D,96)),"")</f>
        <v>86</v>
      </c>
      <c r="D98" s="2">
        <f t="shared" si="1"/>
        <v>2475</v>
      </c>
      <c r="E98" s="2">
        <f t="shared" si="2"/>
        <v>61375</v>
      </c>
      <c r="F98" s="2">
        <f t="shared" si="48"/>
        <v>8835</v>
      </c>
      <c r="G98" s="2">
        <f t="shared" si="4"/>
        <v>50065</v>
      </c>
      <c r="H98" s="2">
        <f t="shared" si="5"/>
        <v>52540</v>
      </c>
      <c r="I98" s="2">
        <f t="shared" si="6"/>
        <v>9392</v>
      </c>
      <c r="J98" s="2">
        <f t="shared" si="7"/>
        <v>6464</v>
      </c>
      <c r="K98" s="2">
        <f t="shared" si="8"/>
        <v>4999</v>
      </c>
      <c r="L98" s="2">
        <f t="shared" si="9"/>
        <v>4121</v>
      </c>
      <c r="M98" s="2">
        <f t="shared" si="10"/>
        <v>3535</v>
      </c>
      <c r="N98" s="2">
        <f t="shared" si="11"/>
        <v>2803</v>
      </c>
      <c r="O98" s="2">
        <f t="shared" si="12"/>
        <v>11780</v>
      </c>
      <c r="P98" s="2">
        <f t="shared" si="13"/>
        <v>47120</v>
      </c>
      <c r="Q98" s="2">
        <f t="shared" si="14"/>
        <v>49595</v>
      </c>
      <c r="R98" s="2">
        <f t="shared" si="15"/>
        <v>8868</v>
      </c>
      <c r="S98" s="2">
        <f t="shared" si="16"/>
        <v>6103</v>
      </c>
      <c r="T98" s="2">
        <f t="shared" si="17"/>
        <v>4720</v>
      </c>
      <c r="U98" s="2">
        <f t="shared" si="18"/>
        <v>3891</v>
      </c>
      <c r="V98" s="2">
        <f t="shared" si="19"/>
        <v>3338</v>
      </c>
      <c r="W98" s="2">
        <f t="shared" si="20"/>
        <v>2647</v>
      </c>
      <c r="X98" s="2">
        <f t="shared" si="21"/>
        <v>14725</v>
      </c>
      <c r="Y98" s="2">
        <f t="shared" si="22"/>
        <v>44175</v>
      </c>
      <c r="Z98" s="2">
        <f t="shared" si="23"/>
        <v>46650</v>
      </c>
      <c r="AA98" s="2">
        <f t="shared" si="24"/>
        <v>8343</v>
      </c>
      <c r="AB98" s="2">
        <f t="shared" si="25"/>
        <v>5742</v>
      </c>
      <c r="AC98" s="2">
        <f t="shared" si="26"/>
        <v>4441</v>
      </c>
      <c r="AD98" s="2">
        <f t="shared" si="27"/>
        <v>3661</v>
      </c>
      <c r="AE98" s="2">
        <f t="shared" si="28"/>
        <v>3140</v>
      </c>
      <c r="AF98" s="2">
        <f t="shared" si="29"/>
        <v>2490</v>
      </c>
      <c r="AG98" s="2">
        <f t="shared" si="30"/>
        <v>20615</v>
      </c>
      <c r="AH98" s="2">
        <f t="shared" si="31"/>
        <v>38285</v>
      </c>
      <c r="AI98" s="2">
        <f t="shared" si="32"/>
        <v>40760</v>
      </c>
      <c r="AJ98" s="2">
        <f t="shared" si="33"/>
        <v>7293</v>
      </c>
      <c r="AK98" s="2">
        <f t="shared" si="34"/>
        <v>5019</v>
      </c>
      <c r="AL98" s="2">
        <f t="shared" si="35"/>
        <v>3882</v>
      </c>
      <c r="AM98" s="2">
        <f t="shared" si="36"/>
        <v>3200</v>
      </c>
      <c r="AN98" s="2">
        <f t="shared" si="37"/>
        <v>2745</v>
      </c>
      <c r="AO98" s="2">
        <f t="shared" si="38"/>
        <v>2177</v>
      </c>
      <c r="AP98" s="2">
        <f t="shared" si="39"/>
        <v>23560</v>
      </c>
      <c r="AQ98" s="2">
        <f t="shared" si="40"/>
        <v>35340</v>
      </c>
      <c r="AR98" s="2">
        <f t="shared" si="41"/>
        <v>37815</v>
      </c>
      <c r="AS98" s="2">
        <f t="shared" si="42"/>
        <v>6769</v>
      </c>
      <c r="AT98" s="2">
        <f t="shared" si="43"/>
        <v>4658</v>
      </c>
      <c r="AU98" s="2">
        <f t="shared" si="44"/>
        <v>3603</v>
      </c>
      <c r="AV98" s="2">
        <f t="shared" si="45"/>
        <v>2970</v>
      </c>
      <c r="AW98" s="2">
        <f t="shared" si="46"/>
        <v>2548</v>
      </c>
      <c r="AX98" s="2">
        <f t="shared" si="47"/>
        <v>2020</v>
      </c>
    </row>
    <row r="99" ht="14.25" customHeight="1">
      <c r="A99" s="2" t="str">
        <f t="array" ref="A99">IFERROR(INDEX('Product Price'!A:A,SMALL('Product Price'!$D:$D,97)),"")</f>
        <v>SAMSUNG Galaxy S24 FE 8/128 GB</v>
      </c>
      <c r="B99" s="2">
        <f t="array" ref="B99">IFERROR(INDEX('Product Price'!B:B,SMALL('Product Price'!$D:$D,97)),"")</f>
        <v>22900</v>
      </c>
      <c r="C99" s="2">
        <f t="array" ref="C99">IFERROR(INDEX('Product Price'!C:C,SMALL('Product Price'!$D:$D,97)),"")</f>
        <v>87</v>
      </c>
      <c r="D99" s="2">
        <f t="shared" si="1"/>
        <v>1900</v>
      </c>
      <c r="E99" s="2">
        <f t="shared" si="2"/>
        <v>24800</v>
      </c>
      <c r="F99" s="2">
        <f t="shared" si="48"/>
        <v>3435</v>
      </c>
      <c r="G99" s="2">
        <f t="shared" si="4"/>
        <v>19465</v>
      </c>
      <c r="H99" s="2">
        <f t="shared" si="5"/>
        <v>21365</v>
      </c>
      <c r="I99" s="2">
        <f t="shared" si="6"/>
        <v>3831</v>
      </c>
      <c r="J99" s="2">
        <f t="shared" si="7"/>
        <v>2636</v>
      </c>
      <c r="K99" s="2">
        <f t="shared" si="8"/>
        <v>2039</v>
      </c>
      <c r="L99" s="2">
        <f t="shared" si="9"/>
        <v>1681</v>
      </c>
      <c r="M99" s="2">
        <f t="shared" si="10"/>
        <v>1442</v>
      </c>
      <c r="N99" s="2">
        <f t="shared" si="11"/>
        <v>1143</v>
      </c>
      <c r="O99" s="2">
        <f t="shared" si="12"/>
        <v>4580</v>
      </c>
      <c r="P99" s="2">
        <f t="shared" si="13"/>
        <v>18320</v>
      </c>
      <c r="Q99" s="2">
        <f t="shared" si="14"/>
        <v>20220</v>
      </c>
      <c r="R99" s="2">
        <f t="shared" si="15"/>
        <v>3627</v>
      </c>
      <c r="S99" s="2">
        <f t="shared" si="16"/>
        <v>2496</v>
      </c>
      <c r="T99" s="2">
        <f t="shared" si="17"/>
        <v>1931</v>
      </c>
      <c r="U99" s="2">
        <f t="shared" si="18"/>
        <v>1591</v>
      </c>
      <c r="V99" s="2">
        <f t="shared" si="19"/>
        <v>1365</v>
      </c>
      <c r="W99" s="2">
        <f t="shared" si="20"/>
        <v>1083</v>
      </c>
      <c r="X99" s="2">
        <f t="shared" si="21"/>
        <v>5725</v>
      </c>
      <c r="Y99" s="2">
        <f t="shared" si="22"/>
        <v>17175</v>
      </c>
      <c r="Z99" s="2">
        <f t="shared" si="23"/>
        <v>19075</v>
      </c>
      <c r="AA99" s="2">
        <f t="shared" si="24"/>
        <v>3423</v>
      </c>
      <c r="AB99" s="2">
        <f t="shared" si="25"/>
        <v>2356</v>
      </c>
      <c r="AC99" s="2">
        <f t="shared" si="26"/>
        <v>1822</v>
      </c>
      <c r="AD99" s="2">
        <f t="shared" si="27"/>
        <v>1502</v>
      </c>
      <c r="AE99" s="2">
        <f t="shared" si="28"/>
        <v>1289</v>
      </c>
      <c r="AF99" s="2">
        <f t="shared" si="29"/>
        <v>1022</v>
      </c>
      <c r="AG99" s="2">
        <f t="shared" si="30"/>
        <v>8015</v>
      </c>
      <c r="AH99" s="2">
        <f t="shared" si="31"/>
        <v>14885</v>
      </c>
      <c r="AI99" s="2">
        <f t="shared" si="32"/>
        <v>16785</v>
      </c>
      <c r="AJ99" s="2">
        <f t="shared" si="33"/>
        <v>3015</v>
      </c>
      <c r="AK99" s="2">
        <f t="shared" si="34"/>
        <v>2075</v>
      </c>
      <c r="AL99" s="2">
        <f t="shared" si="35"/>
        <v>1605</v>
      </c>
      <c r="AM99" s="2">
        <f t="shared" si="36"/>
        <v>1323</v>
      </c>
      <c r="AN99" s="2">
        <f t="shared" si="37"/>
        <v>1135</v>
      </c>
      <c r="AO99" s="2">
        <f t="shared" si="38"/>
        <v>900</v>
      </c>
      <c r="AP99" s="2">
        <f t="shared" si="39"/>
        <v>9160</v>
      </c>
      <c r="AQ99" s="2">
        <f t="shared" si="40"/>
        <v>13740</v>
      </c>
      <c r="AR99" s="2">
        <f t="shared" si="41"/>
        <v>15640</v>
      </c>
      <c r="AS99" s="2">
        <f t="shared" si="42"/>
        <v>2811</v>
      </c>
      <c r="AT99" s="2">
        <f t="shared" si="43"/>
        <v>1934</v>
      </c>
      <c r="AU99" s="2">
        <f t="shared" si="44"/>
        <v>1496</v>
      </c>
      <c r="AV99" s="2">
        <f t="shared" si="45"/>
        <v>1233</v>
      </c>
      <c r="AW99" s="2">
        <f t="shared" si="46"/>
        <v>1058</v>
      </c>
      <c r="AX99" s="2">
        <f t="shared" si="47"/>
        <v>839</v>
      </c>
    </row>
    <row r="100" ht="14.25" customHeight="1">
      <c r="A100" s="2" t="str">
        <f t="array" ref="A100">IFERROR(INDEX('Product Price'!A:A,SMALL('Product Price'!$D:$D,98)),"")</f>
        <v>SAMSUNG Galaxy S24 FE 8/256 GB</v>
      </c>
      <c r="B100" s="2">
        <f t="array" ref="B100">IFERROR(INDEX('Product Price'!B:B,SMALL('Product Price'!$D:$D,98)),"")</f>
        <v>25900</v>
      </c>
      <c r="C100" s="2">
        <f t="array" ref="C100">IFERROR(INDEX('Product Price'!C:C,SMALL('Product Price'!$D:$D,98)),"")</f>
        <v>88</v>
      </c>
      <c r="D100" s="2">
        <f t="shared" si="1"/>
        <v>1900</v>
      </c>
      <c r="E100" s="2">
        <f t="shared" si="2"/>
        <v>27800</v>
      </c>
      <c r="F100" s="2">
        <f t="shared" si="48"/>
        <v>3885</v>
      </c>
      <c r="G100" s="2">
        <f t="shared" si="4"/>
        <v>22015</v>
      </c>
      <c r="H100" s="2">
        <f t="shared" si="5"/>
        <v>23915</v>
      </c>
      <c r="I100" s="2">
        <f t="shared" si="6"/>
        <v>4285</v>
      </c>
      <c r="J100" s="2">
        <f t="shared" si="7"/>
        <v>2949</v>
      </c>
      <c r="K100" s="2">
        <f t="shared" si="8"/>
        <v>2281</v>
      </c>
      <c r="L100" s="2">
        <f t="shared" si="9"/>
        <v>1880</v>
      </c>
      <c r="M100" s="2">
        <f t="shared" si="10"/>
        <v>1613</v>
      </c>
      <c r="N100" s="2">
        <f t="shared" si="11"/>
        <v>1279</v>
      </c>
      <c r="O100" s="2">
        <f t="shared" si="12"/>
        <v>5180</v>
      </c>
      <c r="P100" s="2">
        <f t="shared" si="13"/>
        <v>20720</v>
      </c>
      <c r="Q100" s="2">
        <f t="shared" si="14"/>
        <v>22620</v>
      </c>
      <c r="R100" s="2">
        <f t="shared" si="15"/>
        <v>4054</v>
      </c>
      <c r="S100" s="2">
        <f t="shared" si="16"/>
        <v>2790</v>
      </c>
      <c r="T100" s="2">
        <f t="shared" si="17"/>
        <v>2158</v>
      </c>
      <c r="U100" s="2">
        <f t="shared" si="18"/>
        <v>1779</v>
      </c>
      <c r="V100" s="2">
        <f t="shared" si="19"/>
        <v>1526</v>
      </c>
      <c r="W100" s="2">
        <f t="shared" si="20"/>
        <v>1210</v>
      </c>
      <c r="X100" s="2">
        <f t="shared" si="21"/>
        <v>6475</v>
      </c>
      <c r="Y100" s="2">
        <f t="shared" si="22"/>
        <v>19425</v>
      </c>
      <c r="Z100" s="2">
        <f t="shared" si="23"/>
        <v>21325</v>
      </c>
      <c r="AA100" s="2">
        <f t="shared" si="24"/>
        <v>3824</v>
      </c>
      <c r="AB100" s="2">
        <f t="shared" si="25"/>
        <v>2631</v>
      </c>
      <c r="AC100" s="2">
        <f t="shared" si="26"/>
        <v>2035</v>
      </c>
      <c r="AD100" s="2">
        <f t="shared" si="27"/>
        <v>1678</v>
      </c>
      <c r="AE100" s="2">
        <f t="shared" si="28"/>
        <v>1439</v>
      </c>
      <c r="AF100" s="2">
        <f t="shared" si="29"/>
        <v>1141</v>
      </c>
      <c r="AG100" s="2">
        <f t="shared" si="30"/>
        <v>9065</v>
      </c>
      <c r="AH100" s="2">
        <f t="shared" si="31"/>
        <v>16835</v>
      </c>
      <c r="AI100" s="2">
        <f t="shared" si="32"/>
        <v>18735</v>
      </c>
      <c r="AJ100" s="2">
        <f t="shared" si="33"/>
        <v>3362</v>
      </c>
      <c r="AK100" s="2">
        <f t="shared" si="34"/>
        <v>2314</v>
      </c>
      <c r="AL100" s="2">
        <f t="shared" si="35"/>
        <v>1790</v>
      </c>
      <c r="AM100" s="2">
        <f t="shared" si="36"/>
        <v>1475</v>
      </c>
      <c r="AN100" s="2">
        <f t="shared" si="37"/>
        <v>1266</v>
      </c>
      <c r="AO100" s="2">
        <f t="shared" si="38"/>
        <v>1004</v>
      </c>
      <c r="AP100" s="2">
        <f t="shared" si="39"/>
        <v>10360</v>
      </c>
      <c r="AQ100" s="2">
        <f t="shared" si="40"/>
        <v>15540</v>
      </c>
      <c r="AR100" s="2">
        <f t="shared" si="41"/>
        <v>17440</v>
      </c>
      <c r="AS100" s="2">
        <f t="shared" si="42"/>
        <v>3131</v>
      </c>
      <c r="AT100" s="2">
        <f t="shared" si="43"/>
        <v>2155</v>
      </c>
      <c r="AU100" s="2">
        <f t="shared" si="44"/>
        <v>1667</v>
      </c>
      <c r="AV100" s="2">
        <f t="shared" si="45"/>
        <v>1374</v>
      </c>
      <c r="AW100" s="2">
        <f t="shared" si="46"/>
        <v>1179</v>
      </c>
      <c r="AX100" s="2">
        <f t="shared" si="47"/>
        <v>935</v>
      </c>
    </row>
    <row r="101" ht="14.25" customHeight="1">
      <c r="A101" s="2" t="str">
        <f t="array" ref="A101">IFERROR(INDEX('Product Price'!A:A,SMALL('Product Price'!$D:$D,99)),"")</f>
        <v>SAMSUNG Galaxy S25 12/256 GB</v>
      </c>
      <c r="B101" s="2">
        <f t="array" ref="B101">IFERROR(INDEX('Product Price'!B:B,SMALL('Product Price'!$D:$D,99)),"")</f>
        <v>29900</v>
      </c>
      <c r="C101" s="2">
        <f t="array" ref="C101">IFERROR(INDEX('Product Price'!C:C,SMALL('Product Price'!$D:$D,99)),"")</f>
        <v>89</v>
      </c>
      <c r="D101" s="2">
        <f t="shared" si="1"/>
        <v>1900</v>
      </c>
      <c r="E101" s="2">
        <f t="shared" si="2"/>
        <v>31800</v>
      </c>
      <c r="F101" s="2">
        <f t="shared" si="48"/>
        <v>4485</v>
      </c>
      <c r="G101" s="2">
        <f t="shared" si="4"/>
        <v>25415</v>
      </c>
      <c r="H101" s="2">
        <f t="shared" si="5"/>
        <v>27315</v>
      </c>
      <c r="I101" s="2">
        <f t="shared" si="6"/>
        <v>4891</v>
      </c>
      <c r="J101" s="2">
        <f t="shared" si="7"/>
        <v>3366</v>
      </c>
      <c r="K101" s="2">
        <f t="shared" si="8"/>
        <v>2603</v>
      </c>
      <c r="L101" s="2">
        <f t="shared" si="9"/>
        <v>2146</v>
      </c>
      <c r="M101" s="2">
        <f t="shared" si="10"/>
        <v>1841</v>
      </c>
      <c r="N101" s="2">
        <f t="shared" si="11"/>
        <v>1460</v>
      </c>
      <c r="O101" s="2">
        <f t="shared" si="12"/>
        <v>5980</v>
      </c>
      <c r="P101" s="2">
        <f t="shared" si="13"/>
        <v>23920</v>
      </c>
      <c r="Q101" s="2">
        <f t="shared" si="14"/>
        <v>25820</v>
      </c>
      <c r="R101" s="2">
        <f t="shared" si="15"/>
        <v>4624</v>
      </c>
      <c r="S101" s="2">
        <f t="shared" si="16"/>
        <v>3183</v>
      </c>
      <c r="T101" s="2">
        <f t="shared" si="17"/>
        <v>2462</v>
      </c>
      <c r="U101" s="2">
        <f t="shared" si="18"/>
        <v>2029</v>
      </c>
      <c r="V101" s="2">
        <f t="shared" si="19"/>
        <v>1741</v>
      </c>
      <c r="W101" s="2">
        <f t="shared" si="20"/>
        <v>1380</v>
      </c>
      <c r="X101" s="2">
        <f t="shared" si="21"/>
        <v>7475</v>
      </c>
      <c r="Y101" s="2">
        <f t="shared" si="22"/>
        <v>22425</v>
      </c>
      <c r="Z101" s="2">
        <f t="shared" si="23"/>
        <v>24325</v>
      </c>
      <c r="AA101" s="2">
        <f t="shared" si="24"/>
        <v>4358</v>
      </c>
      <c r="AB101" s="2">
        <f t="shared" si="25"/>
        <v>2999</v>
      </c>
      <c r="AC101" s="2">
        <f t="shared" si="26"/>
        <v>2320</v>
      </c>
      <c r="AD101" s="2">
        <f t="shared" si="27"/>
        <v>1912</v>
      </c>
      <c r="AE101" s="2">
        <f t="shared" si="28"/>
        <v>1641</v>
      </c>
      <c r="AF101" s="2">
        <f t="shared" si="29"/>
        <v>1301</v>
      </c>
      <c r="AG101" s="2">
        <f t="shared" si="30"/>
        <v>10465</v>
      </c>
      <c r="AH101" s="2">
        <f t="shared" si="31"/>
        <v>19435</v>
      </c>
      <c r="AI101" s="2">
        <f t="shared" si="32"/>
        <v>21335</v>
      </c>
      <c r="AJ101" s="2">
        <f t="shared" si="33"/>
        <v>3825</v>
      </c>
      <c r="AK101" s="2">
        <f t="shared" si="34"/>
        <v>2633</v>
      </c>
      <c r="AL101" s="2">
        <f t="shared" si="35"/>
        <v>2036</v>
      </c>
      <c r="AM101" s="2">
        <f t="shared" si="36"/>
        <v>1679</v>
      </c>
      <c r="AN101" s="2">
        <f t="shared" si="37"/>
        <v>1440</v>
      </c>
      <c r="AO101" s="2">
        <f t="shared" si="38"/>
        <v>1142</v>
      </c>
      <c r="AP101" s="2">
        <f t="shared" si="39"/>
        <v>11960</v>
      </c>
      <c r="AQ101" s="2">
        <f t="shared" si="40"/>
        <v>17940</v>
      </c>
      <c r="AR101" s="2">
        <f t="shared" si="41"/>
        <v>19840</v>
      </c>
      <c r="AS101" s="2">
        <f t="shared" si="42"/>
        <v>3559</v>
      </c>
      <c r="AT101" s="2">
        <f t="shared" si="43"/>
        <v>2449</v>
      </c>
      <c r="AU101" s="2">
        <f t="shared" si="44"/>
        <v>1895</v>
      </c>
      <c r="AV101" s="2">
        <f t="shared" si="45"/>
        <v>1562</v>
      </c>
      <c r="AW101" s="2">
        <f t="shared" si="46"/>
        <v>1340</v>
      </c>
      <c r="AX101" s="2">
        <f t="shared" si="47"/>
        <v>1062</v>
      </c>
    </row>
    <row r="102" ht="14.25" customHeight="1">
      <c r="A102" s="2" t="str">
        <f t="array" ref="A102">IFERROR(INDEX('Product Price'!A:A,SMALL('Product Price'!$D:$D,100)),"")</f>
        <v>SAMSUNG Galaxy S25 12/512 GB</v>
      </c>
      <c r="B102" s="2">
        <f t="array" ref="B102">IFERROR(INDEX('Product Price'!B:B,SMALL('Product Price'!$D:$D,100)),"")</f>
        <v>34900</v>
      </c>
      <c r="C102" s="2">
        <f t="array" ref="C102">IFERROR(INDEX('Product Price'!C:C,SMALL('Product Price'!$D:$D,100)),"")</f>
        <v>90</v>
      </c>
      <c r="D102" s="2">
        <f t="shared" si="1"/>
        <v>1900</v>
      </c>
      <c r="E102" s="2">
        <f t="shared" si="2"/>
        <v>36800</v>
      </c>
      <c r="F102" s="2">
        <f t="shared" si="48"/>
        <v>5235</v>
      </c>
      <c r="G102" s="2">
        <f t="shared" si="4"/>
        <v>29665</v>
      </c>
      <c r="H102" s="2">
        <f t="shared" si="5"/>
        <v>31565</v>
      </c>
      <c r="I102" s="2">
        <f t="shared" si="6"/>
        <v>5648</v>
      </c>
      <c r="J102" s="2">
        <f t="shared" si="7"/>
        <v>3887</v>
      </c>
      <c r="K102" s="2">
        <f t="shared" si="8"/>
        <v>3007</v>
      </c>
      <c r="L102" s="2">
        <f t="shared" si="9"/>
        <v>2478</v>
      </c>
      <c r="M102" s="2">
        <f t="shared" si="10"/>
        <v>2126</v>
      </c>
      <c r="N102" s="2">
        <f t="shared" si="11"/>
        <v>1686</v>
      </c>
      <c r="O102" s="2">
        <f t="shared" si="12"/>
        <v>6980</v>
      </c>
      <c r="P102" s="2">
        <f t="shared" si="13"/>
        <v>27920</v>
      </c>
      <c r="Q102" s="2">
        <f t="shared" si="14"/>
        <v>29820</v>
      </c>
      <c r="R102" s="2">
        <f t="shared" si="15"/>
        <v>5337</v>
      </c>
      <c r="S102" s="2">
        <f t="shared" si="16"/>
        <v>3673</v>
      </c>
      <c r="T102" s="2">
        <f t="shared" si="17"/>
        <v>2841</v>
      </c>
      <c r="U102" s="2">
        <f t="shared" si="18"/>
        <v>2342</v>
      </c>
      <c r="V102" s="2">
        <f t="shared" si="19"/>
        <v>2009</v>
      </c>
      <c r="W102" s="2">
        <f t="shared" si="20"/>
        <v>1593</v>
      </c>
      <c r="X102" s="2">
        <f t="shared" si="21"/>
        <v>8725</v>
      </c>
      <c r="Y102" s="2">
        <f t="shared" si="22"/>
        <v>26175</v>
      </c>
      <c r="Z102" s="2">
        <f t="shared" si="23"/>
        <v>28075</v>
      </c>
      <c r="AA102" s="2">
        <f t="shared" si="24"/>
        <v>5026</v>
      </c>
      <c r="AB102" s="2">
        <f t="shared" si="25"/>
        <v>3459</v>
      </c>
      <c r="AC102" s="2">
        <f t="shared" si="26"/>
        <v>2676</v>
      </c>
      <c r="AD102" s="2">
        <f t="shared" si="27"/>
        <v>2205</v>
      </c>
      <c r="AE102" s="2">
        <f t="shared" si="28"/>
        <v>1892</v>
      </c>
      <c r="AF102" s="2">
        <f t="shared" si="29"/>
        <v>1500</v>
      </c>
      <c r="AG102" s="2">
        <f t="shared" si="30"/>
        <v>12215</v>
      </c>
      <c r="AH102" s="2">
        <f t="shared" si="31"/>
        <v>22685</v>
      </c>
      <c r="AI102" s="2">
        <f t="shared" si="32"/>
        <v>24585</v>
      </c>
      <c r="AJ102" s="2">
        <f t="shared" si="33"/>
        <v>4404</v>
      </c>
      <c r="AK102" s="2">
        <f t="shared" si="34"/>
        <v>3031</v>
      </c>
      <c r="AL102" s="2">
        <f t="shared" si="35"/>
        <v>2345</v>
      </c>
      <c r="AM102" s="2">
        <f t="shared" si="36"/>
        <v>1933</v>
      </c>
      <c r="AN102" s="2">
        <f t="shared" si="37"/>
        <v>1658</v>
      </c>
      <c r="AO102" s="2">
        <f t="shared" si="38"/>
        <v>1315</v>
      </c>
      <c r="AP102" s="2">
        <f t="shared" si="39"/>
        <v>13960</v>
      </c>
      <c r="AQ102" s="2">
        <f t="shared" si="40"/>
        <v>20940</v>
      </c>
      <c r="AR102" s="2">
        <f t="shared" si="41"/>
        <v>22840</v>
      </c>
      <c r="AS102" s="2">
        <f t="shared" si="42"/>
        <v>4094</v>
      </c>
      <c r="AT102" s="2">
        <f t="shared" si="43"/>
        <v>2817</v>
      </c>
      <c r="AU102" s="2">
        <f t="shared" si="44"/>
        <v>2179</v>
      </c>
      <c r="AV102" s="2">
        <f t="shared" si="45"/>
        <v>1796</v>
      </c>
      <c r="AW102" s="2">
        <f t="shared" si="46"/>
        <v>1541</v>
      </c>
      <c r="AX102" s="2">
        <f t="shared" si="47"/>
        <v>1222</v>
      </c>
    </row>
    <row r="103" ht="14.25" customHeight="1">
      <c r="A103" s="2" t="str">
        <f t="array" ref="A103">IFERROR(INDEX('Product Price'!A:A,SMALL('Product Price'!$D:$D,101)),"")</f>
        <v>SAMSUNG Galaxy S25+ 12/256 GB</v>
      </c>
      <c r="B103" s="2">
        <f t="array" ref="B103">IFERROR(INDEX('Product Price'!B:B,SMALL('Product Price'!$D:$D,101)),"")</f>
        <v>36900</v>
      </c>
      <c r="C103" s="2">
        <f t="array" ref="C103">IFERROR(INDEX('Product Price'!C:C,SMALL('Product Price'!$D:$D,101)),"")</f>
        <v>91</v>
      </c>
      <c r="D103" s="2">
        <f t="shared" si="1"/>
        <v>1900</v>
      </c>
      <c r="E103" s="2">
        <f t="shared" si="2"/>
        <v>38800</v>
      </c>
      <c r="F103" s="2">
        <f t="shared" si="48"/>
        <v>5535</v>
      </c>
      <c r="G103" s="2">
        <f t="shared" si="4"/>
        <v>31365</v>
      </c>
      <c r="H103" s="2">
        <f t="shared" si="5"/>
        <v>33265</v>
      </c>
      <c r="I103" s="2">
        <f t="shared" si="6"/>
        <v>5951</v>
      </c>
      <c r="J103" s="2">
        <f t="shared" si="7"/>
        <v>4095</v>
      </c>
      <c r="K103" s="2">
        <f t="shared" si="8"/>
        <v>3168</v>
      </c>
      <c r="L103" s="2">
        <f t="shared" si="9"/>
        <v>2611</v>
      </c>
      <c r="M103" s="2">
        <f t="shared" si="10"/>
        <v>2240</v>
      </c>
      <c r="N103" s="2">
        <f t="shared" si="11"/>
        <v>1776</v>
      </c>
      <c r="O103" s="2">
        <f t="shared" si="12"/>
        <v>7380</v>
      </c>
      <c r="P103" s="2">
        <f t="shared" si="13"/>
        <v>29520</v>
      </c>
      <c r="Q103" s="2">
        <f t="shared" si="14"/>
        <v>31420</v>
      </c>
      <c r="R103" s="2">
        <f t="shared" si="15"/>
        <v>5622</v>
      </c>
      <c r="S103" s="2">
        <f t="shared" si="16"/>
        <v>3869</v>
      </c>
      <c r="T103" s="2">
        <f t="shared" si="17"/>
        <v>2993</v>
      </c>
      <c r="U103" s="2">
        <f t="shared" si="18"/>
        <v>2467</v>
      </c>
      <c r="V103" s="2">
        <f t="shared" si="19"/>
        <v>2116</v>
      </c>
      <c r="W103" s="2">
        <f t="shared" si="20"/>
        <v>1678</v>
      </c>
      <c r="X103" s="2">
        <f t="shared" si="21"/>
        <v>9225</v>
      </c>
      <c r="Y103" s="2">
        <f t="shared" si="22"/>
        <v>27675</v>
      </c>
      <c r="Z103" s="2">
        <f t="shared" si="23"/>
        <v>29575</v>
      </c>
      <c r="AA103" s="2">
        <f t="shared" si="24"/>
        <v>5293</v>
      </c>
      <c r="AB103" s="2">
        <f t="shared" si="25"/>
        <v>3643</v>
      </c>
      <c r="AC103" s="2">
        <f t="shared" si="26"/>
        <v>2818</v>
      </c>
      <c r="AD103" s="2">
        <f t="shared" si="27"/>
        <v>2323</v>
      </c>
      <c r="AE103" s="2">
        <f t="shared" si="28"/>
        <v>1993</v>
      </c>
      <c r="AF103" s="2">
        <f t="shared" si="29"/>
        <v>1580</v>
      </c>
      <c r="AG103" s="2">
        <f t="shared" si="30"/>
        <v>12915</v>
      </c>
      <c r="AH103" s="2">
        <f t="shared" si="31"/>
        <v>23985</v>
      </c>
      <c r="AI103" s="2">
        <f t="shared" si="32"/>
        <v>25885</v>
      </c>
      <c r="AJ103" s="2">
        <f t="shared" si="33"/>
        <v>4636</v>
      </c>
      <c r="AK103" s="2">
        <f t="shared" si="34"/>
        <v>3191</v>
      </c>
      <c r="AL103" s="2">
        <f t="shared" si="35"/>
        <v>2468</v>
      </c>
      <c r="AM103" s="2">
        <f t="shared" si="36"/>
        <v>2034</v>
      </c>
      <c r="AN103" s="2">
        <f t="shared" si="37"/>
        <v>1745</v>
      </c>
      <c r="AO103" s="2">
        <f t="shared" si="38"/>
        <v>1384</v>
      </c>
      <c r="AP103" s="2">
        <f t="shared" si="39"/>
        <v>14760</v>
      </c>
      <c r="AQ103" s="2">
        <f t="shared" si="40"/>
        <v>22140</v>
      </c>
      <c r="AR103" s="2">
        <f t="shared" si="41"/>
        <v>24040</v>
      </c>
      <c r="AS103" s="2">
        <f t="shared" si="42"/>
        <v>4307</v>
      </c>
      <c r="AT103" s="2">
        <f t="shared" si="43"/>
        <v>2964</v>
      </c>
      <c r="AU103" s="2">
        <f t="shared" si="44"/>
        <v>2293</v>
      </c>
      <c r="AV103" s="2">
        <f t="shared" si="45"/>
        <v>1890</v>
      </c>
      <c r="AW103" s="2">
        <f t="shared" si="46"/>
        <v>1621</v>
      </c>
      <c r="AX103" s="2">
        <f t="shared" si="47"/>
        <v>1286</v>
      </c>
    </row>
    <row r="104" ht="14.25" customHeight="1">
      <c r="A104" s="2" t="str">
        <f t="array" ref="A104">IFERROR(INDEX('Product Price'!A:A,SMALL('Product Price'!$D:$D,102)),"")</f>
        <v>SAMSUNG Galaxy S25+ 12/512 GB</v>
      </c>
      <c r="B104" s="2">
        <f t="array" ref="B104">IFERROR(INDEX('Product Price'!B:B,SMALL('Product Price'!$D:$D,102)),"")</f>
        <v>41900</v>
      </c>
      <c r="C104" s="2">
        <f t="array" ref="C104">IFERROR(INDEX('Product Price'!C:C,SMALL('Product Price'!$D:$D,102)),"")</f>
        <v>92</v>
      </c>
      <c r="D104" s="2">
        <f t="shared" si="1"/>
        <v>2475</v>
      </c>
      <c r="E104" s="2">
        <f t="shared" si="2"/>
        <v>44375</v>
      </c>
      <c r="F104" s="2">
        <f t="shared" si="48"/>
        <v>6285</v>
      </c>
      <c r="G104" s="2">
        <f t="shared" si="4"/>
        <v>35615</v>
      </c>
      <c r="H104" s="2">
        <f t="shared" si="5"/>
        <v>38090</v>
      </c>
      <c r="I104" s="2">
        <f t="shared" si="6"/>
        <v>6818</v>
      </c>
      <c r="J104" s="2">
        <f t="shared" si="7"/>
        <v>4692</v>
      </c>
      <c r="K104" s="2">
        <f t="shared" si="8"/>
        <v>3629</v>
      </c>
      <c r="L104" s="2">
        <f t="shared" si="9"/>
        <v>2991</v>
      </c>
      <c r="M104" s="2">
        <f t="shared" si="10"/>
        <v>2566</v>
      </c>
      <c r="N104" s="2">
        <f t="shared" si="11"/>
        <v>2035</v>
      </c>
      <c r="O104" s="2">
        <f t="shared" si="12"/>
        <v>8380</v>
      </c>
      <c r="P104" s="2">
        <f t="shared" si="13"/>
        <v>33520</v>
      </c>
      <c r="Q104" s="2">
        <f t="shared" si="14"/>
        <v>35995</v>
      </c>
      <c r="R104" s="2">
        <f t="shared" si="15"/>
        <v>6444</v>
      </c>
      <c r="S104" s="2">
        <f t="shared" si="16"/>
        <v>4435</v>
      </c>
      <c r="T104" s="2">
        <f t="shared" si="17"/>
        <v>3430</v>
      </c>
      <c r="U104" s="2">
        <f t="shared" si="18"/>
        <v>2828</v>
      </c>
      <c r="V104" s="2">
        <f t="shared" si="19"/>
        <v>2426</v>
      </c>
      <c r="W104" s="2">
        <f t="shared" si="20"/>
        <v>1923</v>
      </c>
      <c r="X104" s="2">
        <f t="shared" si="21"/>
        <v>10475</v>
      </c>
      <c r="Y104" s="2">
        <f t="shared" si="22"/>
        <v>31425</v>
      </c>
      <c r="Z104" s="2">
        <f t="shared" si="23"/>
        <v>33900</v>
      </c>
      <c r="AA104" s="2">
        <f t="shared" si="24"/>
        <v>6071</v>
      </c>
      <c r="AB104" s="2">
        <f t="shared" si="25"/>
        <v>4178</v>
      </c>
      <c r="AC104" s="2">
        <f t="shared" si="26"/>
        <v>3232</v>
      </c>
      <c r="AD104" s="2">
        <f t="shared" si="27"/>
        <v>2664</v>
      </c>
      <c r="AE104" s="2">
        <f t="shared" si="28"/>
        <v>2285</v>
      </c>
      <c r="AF104" s="2">
        <f t="shared" si="29"/>
        <v>1812</v>
      </c>
      <c r="AG104" s="2">
        <f t="shared" si="30"/>
        <v>14665</v>
      </c>
      <c r="AH104" s="2">
        <f t="shared" si="31"/>
        <v>27235</v>
      </c>
      <c r="AI104" s="2">
        <f t="shared" si="32"/>
        <v>29710</v>
      </c>
      <c r="AJ104" s="2">
        <f t="shared" si="33"/>
        <v>5325</v>
      </c>
      <c r="AK104" s="2">
        <f t="shared" si="34"/>
        <v>3665</v>
      </c>
      <c r="AL104" s="2">
        <f t="shared" si="35"/>
        <v>2834</v>
      </c>
      <c r="AM104" s="2">
        <f t="shared" si="36"/>
        <v>2336</v>
      </c>
      <c r="AN104" s="2">
        <f t="shared" si="37"/>
        <v>2004</v>
      </c>
      <c r="AO104" s="2">
        <f t="shared" si="38"/>
        <v>1589</v>
      </c>
      <c r="AP104" s="2">
        <f t="shared" si="39"/>
        <v>16760</v>
      </c>
      <c r="AQ104" s="2">
        <f t="shared" si="40"/>
        <v>25140</v>
      </c>
      <c r="AR104" s="2">
        <f t="shared" si="41"/>
        <v>27615</v>
      </c>
      <c r="AS104" s="2">
        <f t="shared" si="42"/>
        <v>4951</v>
      </c>
      <c r="AT104" s="2">
        <f t="shared" si="43"/>
        <v>3408</v>
      </c>
      <c r="AU104" s="2">
        <f t="shared" si="44"/>
        <v>2636</v>
      </c>
      <c r="AV104" s="2">
        <f t="shared" si="45"/>
        <v>2173</v>
      </c>
      <c r="AW104" s="2">
        <f t="shared" si="46"/>
        <v>1864</v>
      </c>
      <c r="AX104" s="2">
        <f t="shared" si="47"/>
        <v>1478</v>
      </c>
    </row>
    <row r="105" ht="14.25" customHeight="1">
      <c r="A105" s="2" t="str">
        <f t="array" ref="A105">IFERROR(INDEX('Product Price'!A:A,SMALL('Product Price'!$D:$D,103)),"")</f>
        <v>SAMSUNG Galaxy S25 Ultra 12/256 GB</v>
      </c>
      <c r="B105" s="2">
        <f t="array" ref="B105">IFERROR(INDEX('Product Price'!B:B,SMALL('Product Price'!$D:$D,103)),"")</f>
        <v>42900</v>
      </c>
      <c r="C105" s="2">
        <f t="array" ref="C105">IFERROR(INDEX('Product Price'!C:C,SMALL('Product Price'!$D:$D,103)),"")</f>
        <v>93</v>
      </c>
      <c r="D105" s="2">
        <f t="shared" si="1"/>
        <v>2475</v>
      </c>
      <c r="E105" s="2">
        <f t="shared" si="2"/>
        <v>45375</v>
      </c>
      <c r="F105" s="2">
        <f t="shared" si="48"/>
        <v>6435</v>
      </c>
      <c r="G105" s="2">
        <f t="shared" si="4"/>
        <v>36465</v>
      </c>
      <c r="H105" s="2">
        <f t="shared" si="5"/>
        <v>38940</v>
      </c>
      <c r="I105" s="2">
        <f t="shared" si="6"/>
        <v>6969</v>
      </c>
      <c r="J105" s="2">
        <f t="shared" si="7"/>
        <v>4796</v>
      </c>
      <c r="K105" s="2">
        <f t="shared" si="8"/>
        <v>3710</v>
      </c>
      <c r="L105" s="2">
        <f t="shared" si="9"/>
        <v>3058</v>
      </c>
      <c r="M105" s="2">
        <f t="shared" si="10"/>
        <v>2623</v>
      </c>
      <c r="N105" s="2">
        <f t="shared" si="11"/>
        <v>2080</v>
      </c>
      <c r="O105" s="2">
        <f t="shared" si="12"/>
        <v>8580</v>
      </c>
      <c r="P105" s="2">
        <f t="shared" si="13"/>
        <v>34320</v>
      </c>
      <c r="Q105" s="2">
        <f t="shared" si="14"/>
        <v>36795</v>
      </c>
      <c r="R105" s="2">
        <f t="shared" si="15"/>
        <v>6587</v>
      </c>
      <c r="S105" s="2">
        <f t="shared" si="16"/>
        <v>4533</v>
      </c>
      <c r="T105" s="2">
        <f t="shared" si="17"/>
        <v>3506</v>
      </c>
      <c r="U105" s="2">
        <f t="shared" si="18"/>
        <v>2890</v>
      </c>
      <c r="V105" s="2">
        <f t="shared" si="19"/>
        <v>2479</v>
      </c>
      <c r="W105" s="2">
        <f t="shared" si="20"/>
        <v>1966</v>
      </c>
      <c r="X105" s="2">
        <f t="shared" si="21"/>
        <v>10725</v>
      </c>
      <c r="Y105" s="2">
        <f t="shared" si="22"/>
        <v>32175</v>
      </c>
      <c r="Z105" s="2">
        <f t="shared" si="23"/>
        <v>34650</v>
      </c>
      <c r="AA105" s="2">
        <f t="shared" si="24"/>
        <v>6205</v>
      </c>
      <c r="AB105" s="2">
        <f t="shared" si="25"/>
        <v>4270</v>
      </c>
      <c r="AC105" s="2">
        <f t="shared" si="26"/>
        <v>3303</v>
      </c>
      <c r="AD105" s="2">
        <f t="shared" si="27"/>
        <v>2723</v>
      </c>
      <c r="AE105" s="2">
        <f t="shared" si="28"/>
        <v>2336</v>
      </c>
      <c r="AF105" s="2">
        <f t="shared" si="29"/>
        <v>1852</v>
      </c>
      <c r="AG105" s="2">
        <f t="shared" si="30"/>
        <v>15015</v>
      </c>
      <c r="AH105" s="2">
        <f t="shared" si="31"/>
        <v>27885</v>
      </c>
      <c r="AI105" s="2">
        <f t="shared" si="32"/>
        <v>30360</v>
      </c>
      <c r="AJ105" s="2">
        <f t="shared" si="33"/>
        <v>5441</v>
      </c>
      <c r="AK105" s="2">
        <f t="shared" si="34"/>
        <v>3744</v>
      </c>
      <c r="AL105" s="2">
        <f t="shared" si="35"/>
        <v>2896</v>
      </c>
      <c r="AM105" s="2">
        <f t="shared" si="36"/>
        <v>2387</v>
      </c>
      <c r="AN105" s="2">
        <f t="shared" si="37"/>
        <v>2048</v>
      </c>
      <c r="AO105" s="2">
        <f t="shared" si="38"/>
        <v>1624</v>
      </c>
      <c r="AP105" s="2">
        <f t="shared" si="39"/>
        <v>17160</v>
      </c>
      <c r="AQ105" s="2">
        <f t="shared" si="40"/>
        <v>25740</v>
      </c>
      <c r="AR105" s="2">
        <f t="shared" si="41"/>
        <v>28215</v>
      </c>
      <c r="AS105" s="2">
        <f t="shared" si="42"/>
        <v>5058</v>
      </c>
      <c r="AT105" s="2">
        <f t="shared" si="43"/>
        <v>3481</v>
      </c>
      <c r="AU105" s="2">
        <f t="shared" si="44"/>
        <v>2693</v>
      </c>
      <c r="AV105" s="2">
        <f t="shared" si="45"/>
        <v>2220</v>
      </c>
      <c r="AW105" s="2">
        <f t="shared" si="46"/>
        <v>1904</v>
      </c>
      <c r="AX105" s="2">
        <f t="shared" si="47"/>
        <v>1510</v>
      </c>
    </row>
    <row r="106" ht="14.25" customHeight="1">
      <c r="A106" s="2" t="str">
        <f t="array" ref="A106">IFERROR(INDEX('Product Price'!A:A,SMALL('Product Price'!$D:$D,104)),"")</f>
        <v>SAMSUNG Galaxy S26 12/256 GB</v>
      </c>
      <c r="B106" s="2">
        <f t="array" ref="B106">IFERROR(INDEX('Product Price'!B:B,SMALL('Product Price'!$D:$D,104)),"")</f>
        <v>33900</v>
      </c>
      <c r="C106" s="2">
        <f t="array" ref="C106">IFERROR(INDEX('Product Price'!C:C,SMALL('Product Price'!$D:$D,104)),"")</f>
        <v>94</v>
      </c>
      <c r="D106" s="2">
        <f t="shared" si="1"/>
        <v>1900</v>
      </c>
      <c r="E106" s="2">
        <f t="shared" si="2"/>
        <v>35800</v>
      </c>
      <c r="F106" s="2">
        <f t="shared" si="48"/>
        <v>5085</v>
      </c>
      <c r="G106" s="2">
        <f t="shared" si="4"/>
        <v>28815</v>
      </c>
      <c r="H106" s="2">
        <f t="shared" si="5"/>
        <v>30715</v>
      </c>
      <c r="I106" s="2">
        <f t="shared" si="6"/>
        <v>5497</v>
      </c>
      <c r="J106" s="2">
        <f t="shared" si="7"/>
        <v>3783</v>
      </c>
      <c r="K106" s="2">
        <f t="shared" si="8"/>
        <v>2926</v>
      </c>
      <c r="L106" s="2">
        <f t="shared" si="9"/>
        <v>2412</v>
      </c>
      <c r="M106" s="2">
        <f t="shared" si="10"/>
        <v>2069</v>
      </c>
      <c r="N106" s="2">
        <f t="shared" si="11"/>
        <v>1641</v>
      </c>
      <c r="O106" s="2">
        <f t="shared" si="12"/>
        <v>6780</v>
      </c>
      <c r="P106" s="2">
        <f t="shared" si="13"/>
        <v>27120</v>
      </c>
      <c r="Q106" s="2">
        <f t="shared" si="14"/>
        <v>29020</v>
      </c>
      <c r="R106" s="2">
        <f t="shared" si="15"/>
        <v>5195</v>
      </c>
      <c r="S106" s="2">
        <f t="shared" si="16"/>
        <v>3575</v>
      </c>
      <c r="T106" s="2">
        <f t="shared" si="17"/>
        <v>2765</v>
      </c>
      <c r="U106" s="2">
        <f t="shared" si="18"/>
        <v>2279</v>
      </c>
      <c r="V106" s="2">
        <f t="shared" si="19"/>
        <v>1955</v>
      </c>
      <c r="W106" s="2">
        <f t="shared" si="20"/>
        <v>1550</v>
      </c>
      <c r="X106" s="2">
        <f t="shared" si="21"/>
        <v>8475</v>
      </c>
      <c r="Y106" s="2">
        <f t="shared" si="22"/>
        <v>25425</v>
      </c>
      <c r="Z106" s="2">
        <f t="shared" si="23"/>
        <v>27325</v>
      </c>
      <c r="AA106" s="2">
        <f t="shared" si="24"/>
        <v>4893</v>
      </c>
      <c r="AB106" s="2">
        <f t="shared" si="25"/>
        <v>3367</v>
      </c>
      <c r="AC106" s="2">
        <f t="shared" si="26"/>
        <v>2604</v>
      </c>
      <c r="AD106" s="2">
        <f t="shared" si="27"/>
        <v>2147</v>
      </c>
      <c r="AE106" s="2">
        <f t="shared" si="28"/>
        <v>1842</v>
      </c>
      <c r="AF106" s="2">
        <f t="shared" si="29"/>
        <v>1460</v>
      </c>
      <c r="AG106" s="2">
        <f t="shared" si="30"/>
        <v>11865</v>
      </c>
      <c r="AH106" s="2">
        <f t="shared" si="31"/>
        <v>22035</v>
      </c>
      <c r="AI106" s="2">
        <f t="shared" si="32"/>
        <v>23935</v>
      </c>
      <c r="AJ106" s="2">
        <f t="shared" si="33"/>
        <v>4289</v>
      </c>
      <c r="AK106" s="2">
        <f t="shared" si="34"/>
        <v>2952</v>
      </c>
      <c r="AL106" s="2">
        <f t="shared" si="35"/>
        <v>2283</v>
      </c>
      <c r="AM106" s="2">
        <f t="shared" si="36"/>
        <v>1882</v>
      </c>
      <c r="AN106" s="2">
        <f t="shared" si="37"/>
        <v>1614</v>
      </c>
      <c r="AO106" s="2">
        <f t="shared" si="38"/>
        <v>1280</v>
      </c>
      <c r="AP106" s="2">
        <f t="shared" si="39"/>
        <v>13560</v>
      </c>
      <c r="AQ106" s="2">
        <f t="shared" si="40"/>
        <v>20340</v>
      </c>
      <c r="AR106" s="2">
        <f t="shared" si="41"/>
        <v>22240</v>
      </c>
      <c r="AS106" s="2">
        <f t="shared" si="42"/>
        <v>3987</v>
      </c>
      <c r="AT106" s="2">
        <f t="shared" si="43"/>
        <v>2744</v>
      </c>
      <c r="AU106" s="2">
        <f t="shared" si="44"/>
        <v>2122</v>
      </c>
      <c r="AV106" s="2">
        <f t="shared" si="45"/>
        <v>1749</v>
      </c>
      <c r="AW106" s="2">
        <f t="shared" si="46"/>
        <v>1501</v>
      </c>
      <c r="AX106" s="2">
        <f t="shared" si="47"/>
        <v>1190</v>
      </c>
    </row>
    <row r="107" ht="14.25" customHeight="1">
      <c r="A107" s="2" t="str">
        <f t="array" ref="A107">IFERROR(INDEX('Product Price'!A:A,SMALL('Product Price'!$D:$D,105)),"")</f>
        <v>SAMSUNG Galaxy S26 12/512 GB</v>
      </c>
      <c r="B107" s="2">
        <f t="array" ref="B107">IFERROR(INDEX('Product Price'!B:B,SMALL('Product Price'!$D:$D,105)),"")</f>
        <v>41900</v>
      </c>
      <c r="C107" s="2">
        <f t="array" ref="C107">IFERROR(INDEX('Product Price'!C:C,SMALL('Product Price'!$D:$D,105)),"")</f>
        <v>95</v>
      </c>
      <c r="D107" s="2">
        <f t="shared" si="1"/>
        <v>2475</v>
      </c>
      <c r="E107" s="2">
        <f t="shared" si="2"/>
        <v>44375</v>
      </c>
      <c r="F107" s="2">
        <f t="shared" si="48"/>
        <v>6285</v>
      </c>
      <c r="G107" s="2">
        <f t="shared" si="4"/>
        <v>35615</v>
      </c>
      <c r="H107" s="2">
        <f t="shared" si="5"/>
        <v>38090</v>
      </c>
      <c r="I107" s="2">
        <f t="shared" si="6"/>
        <v>6818</v>
      </c>
      <c r="J107" s="2">
        <f t="shared" si="7"/>
        <v>4692</v>
      </c>
      <c r="K107" s="2">
        <f t="shared" si="8"/>
        <v>3629</v>
      </c>
      <c r="L107" s="2">
        <f t="shared" si="9"/>
        <v>2991</v>
      </c>
      <c r="M107" s="2">
        <f t="shared" si="10"/>
        <v>2566</v>
      </c>
      <c r="N107" s="2">
        <f t="shared" si="11"/>
        <v>2035</v>
      </c>
      <c r="O107" s="2">
        <f t="shared" si="12"/>
        <v>8380</v>
      </c>
      <c r="P107" s="2">
        <f t="shared" si="13"/>
        <v>33520</v>
      </c>
      <c r="Q107" s="2">
        <f t="shared" si="14"/>
        <v>35995</v>
      </c>
      <c r="R107" s="2">
        <f t="shared" si="15"/>
        <v>6444</v>
      </c>
      <c r="S107" s="2">
        <f t="shared" si="16"/>
        <v>4435</v>
      </c>
      <c r="T107" s="2">
        <f t="shared" si="17"/>
        <v>3430</v>
      </c>
      <c r="U107" s="2">
        <f t="shared" si="18"/>
        <v>2828</v>
      </c>
      <c r="V107" s="2">
        <f t="shared" si="19"/>
        <v>2426</v>
      </c>
      <c r="W107" s="2">
        <f t="shared" si="20"/>
        <v>1923</v>
      </c>
      <c r="X107" s="2">
        <f t="shared" si="21"/>
        <v>10475</v>
      </c>
      <c r="Y107" s="2">
        <f t="shared" si="22"/>
        <v>31425</v>
      </c>
      <c r="Z107" s="2">
        <f t="shared" si="23"/>
        <v>33900</v>
      </c>
      <c r="AA107" s="2">
        <f t="shared" si="24"/>
        <v>6071</v>
      </c>
      <c r="AB107" s="2">
        <f t="shared" si="25"/>
        <v>4178</v>
      </c>
      <c r="AC107" s="2">
        <f t="shared" si="26"/>
        <v>3232</v>
      </c>
      <c r="AD107" s="2">
        <f t="shared" si="27"/>
        <v>2664</v>
      </c>
      <c r="AE107" s="2">
        <f t="shared" si="28"/>
        <v>2285</v>
      </c>
      <c r="AF107" s="2">
        <f t="shared" si="29"/>
        <v>1812</v>
      </c>
      <c r="AG107" s="2">
        <f t="shared" si="30"/>
        <v>14665</v>
      </c>
      <c r="AH107" s="2">
        <f t="shared" si="31"/>
        <v>27235</v>
      </c>
      <c r="AI107" s="2">
        <f t="shared" si="32"/>
        <v>29710</v>
      </c>
      <c r="AJ107" s="2">
        <f t="shared" si="33"/>
        <v>5325</v>
      </c>
      <c r="AK107" s="2">
        <f t="shared" si="34"/>
        <v>3665</v>
      </c>
      <c r="AL107" s="2">
        <f t="shared" si="35"/>
        <v>2834</v>
      </c>
      <c r="AM107" s="2">
        <f t="shared" si="36"/>
        <v>2336</v>
      </c>
      <c r="AN107" s="2">
        <f t="shared" si="37"/>
        <v>2004</v>
      </c>
      <c r="AO107" s="2">
        <f t="shared" si="38"/>
        <v>1589</v>
      </c>
      <c r="AP107" s="2">
        <f t="shared" si="39"/>
        <v>16760</v>
      </c>
      <c r="AQ107" s="2">
        <f t="shared" si="40"/>
        <v>25140</v>
      </c>
      <c r="AR107" s="2">
        <f t="shared" si="41"/>
        <v>27615</v>
      </c>
      <c r="AS107" s="2">
        <f t="shared" si="42"/>
        <v>4951</v>
      </c>
      <c r="AT107" s="2">
        <f t="shared" si="43"/>
        <v>3408</v>
      </c>
      <c r="AU107" s="2">
        <f t="shared" si="44"/>
        <v>2636</v>
      </c>
      <c r="AV107" s="2">
        <f t="shared" si="45"/>
        <v>2173</v>
      </c>
      <c r="AW107" s="2">
        <f t="shared" si="46"/>
        <v>1864</v>
      </c>
      <c r="AX107" s="2">
        <f t="shared" si="47"/>
        <v>1478</v>
      </c>
    </row>
    <row r="108" ht="14.25" customHeight="1">
      <c r="A108" s="2" t="str">
        <f t="array" ref="A108">IFERROR(INDEX('Product Price'!A:A,SMALL('Product Price'!$D:$D,106)),"")</f>
        <v>SAMSUNG Galaxy S26+ 12/256 GB</v>
      </c>
      <c r="B108" s="2">
        <f t="array" ref="B108">IFERROR(INDEX('Product Price'!B:B,SMALL('Product Price'!$D:$D,106)),"")</f>
        <v>40900</v>
      </c>
      <c r="C108" s="2">
        <f t="array" ref="C108">IFERROR(INDEX('Product Price'!C:C,SMALL('Product Price'!$D:$D,106)),"")</f>
        <v>96</v>
      </c>
      <c r="D108" s="2">
        <f t="shared" si="1"/>
        <v>2475</v>
      </c>
      <c r="E108" s="2">
        <f t="shared" si="2"/>
        <v>43375</v>
      </c>
      <c r="F108" s="2">
        <f t="shared" si="48"/>
        <v>6135</v>
      </c>
      <c r="G108" s="2">
        <f t="shared" si="4"/>
        <v>34765</v>
      </c>
      <c r="H108" s="2">
        <f t="shared" si="5"/>
        <v>37240</v>
      </c>
      <c r="I108" s="2">
        <f t="shared" si="6"/>
        <v>6666</v>
      </c>
      <c r="J108" s="2">
        <f t="shared" si="7"/>
        <v>4588</v>
      </c>
      <c r="K108" s="2">
        <f t="shared" si="8"/>
        <v>3549</v>
      </c>
      <c r="L108" s="2">
        <f t="shared" si="9"/>
        <v>2925</v>
      </c>
      <c r="M108" s="2">
        <f t="shared" si="10"/>
        <v>2509</v>
      </c>
      <c r="N108" s="2">
        <f t="shared" si="11"/>
        <v>1990</v>
      </c>
      <c r="O108" s="2">
        <f t="shared" si="12"/>
        <v>8180</v>
      </c>
      <c r="P108" s="2">
        <f t="shared" si="13"/>
        <v>32720</v>
      </c>
      <c r="Q108" s="2">
        <f t="shared" si="14"/>
        <v>35195</v>
      </c>
      <c r="R108" s="2">
        <f t="shared" si="15"/>
        <v>6302</v>
      </c>
      <c r="S108" s="2">
        <f t="shared" si="16"/>
        <v>4337</v>
      </c>
      <c r="T108" s="2">
        <f t="shared" si="17"/>
        <v>3355</v>
      </c>
      <c r="U108" s="2">
        <f t="shared" si="18"/>
        <v>2765</v>
      </c>
      <c r="V108" s="2">
        <f t="shared" si="19"/>
        <v>2372</v>
      </c>
      <c r="W108" s="2">
        <f t="shared" si="20"/>
        <v>1881</v>
      </c>
      <c r="X108" s="2">
        <f t="shared" si="21"/>
        <v>10225</v>
      </c>
      <c r="Y108" s="2">
        <f t="shared" si="22"/>
        <v>30675</v>
      </c>
      <c r="Z108" s="2">
        <f t="shared" si="23"/>
        <v>33150</v>
      </c>
      <c r="AA108" s="2">
        <f t="shared" si="24"/>
        <v>5938</v>
      </c>
      <c r="AB108" s="2">
        <f t="shared" si="25"/>
        <v>4086</v>
      </c>
      <c r="AC108" s="2">
        <f t="shared" si="26"/>
        <v>3161</v>
      </c>
      <c r="AD108" s="2">
        <f t="shared" si="27"/>
        <v>2605</v>
      </c>
      <c r="AE108" s="2">
        <f t="shared" si="28"/>
        <v>2235</v>
      </c>
      <c r="AF108" s="2">
        <f t="shared" si="29"/>
        <v>1772</v>
      </c>
      <c r="AG108" s="2">
        <f t="shared" si="30"/>
        <v>14315</v>
      </c>
      <c r="AH108" s="2">
        <f t="shared" si="31"/>
        <v>26585</v>
      </c>
      <c r="AI108" s="2">
        <f t="shared" si="32"/>
        <v>29060</v>
      </c>
      <c r="AJ108" s="2">
        <f t="shared" si="33"/>
        <v>5209</v>
      </c>
      <c r="AK108" s="2">
        <f t="shared" si="34"/>
        <v>3585</v>
      </c>
      <c r="AL108" s="2">
        <f t="shared" si="35"/>
        <v>2773</v>
      </c>
      <c r="AM108" s="2">
        <f t="shared" si="36"/>
        <v>2286</v>
      </c>
      <c r="AN108" s="2">
        <f t="shared" si="37"/>
        <v>1961</v>
      </c>
      <c r="AO108" s="2">
        <f t="shared" si="38"/>
        <v>1555</v>
      </c>
      <c r="AP108" s="2">
        <f t="shared" si="39"/>
        <v>16360</v>
      </c>
      <c r="AQ108" s="2">
        <f t="shared" si="40"/>
        <v>24540</v>
      </c>
      <c r="AR108" s="2">
        <f t="shared" si="41"/>
        <v>27015</v>
      </c>
      <c r="AS108" s="2">
        <f t="shared" si="42"/>
        <v>4845</v>
      </c>
      <c r="AT108" s="2">
        <f t="shared" si="43"/>
        <v>3334</v>
      </c>
      <c r="AU108" s="2">
        <f t="shared" si="44"/>
        <v>2579</v>
      </c>
      <c r="AV108" s="2">
        <f t="shared" si="45"/>
        <v>2126</v>
      </c>
      <c r="AW108" s="2">
        <f t="shared" si="46"/>
        <v>1824</v>
      </c>
      <c r="AX108" s="2">
        <f t="shared" si="47"/>
        <v>1446</v>
      </c>
    </row>
    <row r="109" ht="14.25" customHeight="1">
      <c r="A109" s="2" t="str">
        <f t="array" ref="A109">IFERROR(INDEX('Product Price'!A:A,SMALL('Product Price'!$D:$D,107)),"")</f>
        <v>SAMSUNG Galaxy S26+ 12/512 GB</v>
      </c>
      <c r="B109" s="2">
        <f t="array" ref="B109">IFERROR(INDEX('Product Price'!B:B,SMALL('Product Price'!$D:$D,107)),"")</f>
        <v>48900</v>
      </c>
      <c r="C109" s="2">
        <f t="array" ref="C109">IFERROR(INDEX('Product Price'!C:C,SMALL('Product Price'!$D:$D,107)),"")</f>
        <v>97</v>
      </c>
      <c r="D109" s="2">
        <f t="shared" si="1"/>
        <v>2475</v>
      </c>
      <c r="E109" s="2">
        <f t="shared" si="2"/>
        <v>51375</v>
      </c>
      <c r="F109" s="2">
        <f t="shared" si="48"/>
        <v>7335</v>
      </c>
      <c r="G109" s="2">
        <f t="shared" si="4"/>
        <v>41565</v>
      </c>
      <c r="H109" s="2">
        <f t="shared" si="5"/>
        <v>44040</v>
      </c>
      <c r="I109" s="2">
        <f t="shared" si="6"/>
        <v>7878</v>
      </c>
      <c r="J109" s="2">
        <f t="shared" si="7"/>
        <v>5422</v>
      </c>
      <c r="K109" s="2">
        <f t="shared" si="8"/>
        <v>4193</v>
      </c>
      <c r="L109" s="2">
        <f t="shared" si="9"/>
        <v>3457</v>
      </c>
      <c r="M109" s="2">
        <f t="shared" si="10"/>
        <v>2965</v>
      </c>
      <c r="N109" s="2">
        <f t="shared" si="11"/>
        <v>2351</v>
      </c>
      <c r="O109" s="2">
        <f t="shared" si="12"/>
        <v>9780</v>
      </c>
      <c r="P109" s="2">
        <f t="shared" si="13"/>
        <v>39120</v>
      </c>
      <c r="Q109" s="2">
        <f t="shared" si="14"/>
        <v>41595</v>
      </c>
      <c r="R109" s="2">
        <f t="shared" si="15"/>
        <v>7442</v>
      </c>
      <c r="S109" s="2">
        <f t="shared" si="16"/>
        <v>5122</v>
      </c>
      <c r="T109" s="2">
        <f t="shared" si="17"/>
        <v>3962</v>
      </c>
      <c r="U109" s="2">
        <f t="shared" si="18"/>
        <v>3265</v>
      </c>
      <c r="V109" s="2">
        <f t="shared" si="19"/>
        <v>2801</v>
      </c>
      <c r="W109" s="2">
        <f t="shared" si="20"/>
        <v>2221</v>
      </c>
      <c r="X109" s="2">
        <f t="shared" si="21"/>
        <v>12225</v>
      </c>
      <c r="Y109" s="2">
        <f t="shared" si="22"/>
        <v>36675</v>
      </c>
      <c r="Z109" s="2">
        <f t="shared" si="23"/>
        <v>39150</v>
      </c>
      <c r="AA109" s="2">
        <f t="shared" si="24"/>
        <v>7007</v>
      </c>
      <c r="AB109" s="2">
        <f t="shared" si="25"/>
        <v>4822</v>
      </c>
      <c r="AC109" s="2">
        <f t="shared" si="26"/>
        <v>3730</v>
      </c>
      <c r="AD109" s="2">
        <f t="shared" si="27"/>
        <v>3074</v>
      </c>
      <c r="AE109" s="2">
        <f t="shared" si="28"/>
        <v>2637</v>
      </c>
      <c r="AF109" s="2">
        <f t="shared" si="29"/>
        <v>2091</v>
      </c>
      <c r="AG109" s="2">
        <f t="shared" si="30"/>
        <v>17115</v>
      </c>
      <c r="AH109" s="2">
        <f t="shared" si="31"/>
        <v>31785</v>
      </c>
      <c r="AI109" s="2">
        <f t="shared" si="32"/>
        <v>34260</v>
      </c>
      <c r="AJ109" s="2">
        <f t="shared" si="33"/>
        <v>6135</v>
      </c>
      <c r="AK109" s="2">
        <f t="shared" si="34"/>
        <v>4222</v>
      </c>
      <c r="AL109" s="2">
        <f t="shared" si="35"/>
        <v>3266</v>
      </c>
      <c r="AM109" s="2">
        <f t="shared" si="36"/>
        <v>2692</v>
      </c>
      <c r="AN109" s="2">
        <f t="shared" si="37"/>
        <v>2309</v>
      </c>
      <c r="AO109" s="2">
        <f t="shared" si="38"/>
        <v>1831</v>
      </c>
      <c r="AP109" s="2">
        <f t="shared" si="39"/>
        <v>19560</v>
      </c>
      <c r="AQ109" s="2">
        <f t="shared" si="40"/>
        <v>29340</v>
      </c>
      <c r="AR109" s="2">
        <f t="shared" si="41"/>
        <v>31815</v>
      </c>
      <c r="AS109" s="2">
        <f t="shared" si="42"/>
        <v>5700</v>
      </c>
      <c r="AT109" s="2">
        <f t="shared" si="43"/>
        <v>3923</v>
      </c>
      <c r="AU109" s="2">
        <f t="shared" si="44"/>
        <v>3034</v>
      </c>
      <c r="AV109" s="2">
        <f t="shared" si="45"/>
        <v>2501</v>
      </c>
      <c r="AW109" s="2">
        <f t="shared" si="46"/>
        <v>2145</v>
      </c>
      <c r="AX109" s="2">
        <f t="shared" si="47"/>
        <v>1701</v>
      </c>
    </row>
    <row r="110" ht="14.25" customHeight="1">
      <c r="A110" s="2" t="str">
        <f t="array" ref="A110">IFERROR(INDEX('Product Price'!A:A,SMALL('Product Price'!$D:$D,108)),"")</f>
        <v>SAMSUNG Galaxy S26 Ultra 12/256 GB</v>
      </c>
      <c r="B110" s="2">
        <f t="array" ref="B110">IFERROR(INDEX('Product Price'!B:B,SMALL('Product Price'!$D:$D,108)),"")</f>
        <v>46900</v>
      </c>
      <c r="C110" s="2">
        <f t="array" ref="C110">IFERROR(INDEX('Product Price'!C:C,SMALL('Product Price'!$D:$D,108)),"")</f>
        <v>98</v>
      </c>
      <c r="D110" s="2">
        <f t="shared" si="1"/>
        <v>2475</v>
      </c>
      <c r="E110" s="2">
        <f t="shared" si="2"/>
        <v>49375</v>
      </c>
      <c r="F110" s="2">
        <f t="shared" si="48"/>
        <v>7035</v>
      </c>
      <c r="G110" s="2">
        <f t="shared" si="4"/>
        <v>39865</v>
      </c>
      <c r="H110" s="2">
        <f t="shared" si="5"/>
        <v>42340</v>
      </c>
      <c r="I110" s="2">
        <f t="shared" si="6"/>
        <v>7575</v>
      </c>
      <c r="J110" s="2">
        <f t="shared" si="7"/>
        <v>5213</v>
      </c>
      <c r="K110" s="2">
        <f t="shared" si="8"/>
        <v>4032</v>
      </c>
      <c r="L110" s="2">
        <f t="shared" si="9"/>
        <v>3324</v>
      </c>
      <c r="M110" s="2">
        <f t="shared" si="10"/>
        <v>2851</v>
      </c>
      <c r="N110" s="2">
        <f t="shared" si="11"/>
        <v>2261</v>
      </c>
      <c r="O110" s="2">
        <f t="shared" si="12"/>
        <v>9380</v>
      </c>
      <c r="P110" s="2">
        <f t="shared" si="13"/>
        <v>37520</v>
      </c>
      <c r="Q110" s="2">
        <f t="shared" si="14"/>
        <v>39995</v>
      </c>
      <c r="R110" s="2">
        <f t="shared" si="15"/>
        <v>7157</v>
      </c>
      <c r="S110" s="2">
        <f t="shared" si="16"/>
        <v>4926</v>
      </c>
      <c r="T110" s="2">
        <f t="shared" si="17"/>
        <v>3810</v>
      </c>
      <c r="U110" s="2">
        <f t="shared" si="18"/>
        <v>3140</v>
      </c>
      <c r="V110" s="2">
        <f t="shared" si="19"/>
        <v>2694</v>
      </c>
      <c r="W110" s="2">
        <f t="shared" si="20"/>
        <v>2136</v>
      </c>
      <c r="X110" s="2">
        <f t="shared" si="21"/>
        <v>11725</v>
      </c>
      <c r="Y110" s="2">
        <f t="shared" si="22"/>
        <v>35175</v>
      </c>
      <c r="Z110" s="2">
        <f t="shared" si="23"/>
        <v>37650</v>
      </c>
      <c r="AA110" s="2">
        <f t="shared" si="24"/>
        <v>6739</v>
      </c>
      <c r="AB110" s="2">
        <f t="shared" si="25"/>
        <v>4638</v>
      </c>
      <c r="AC110" s="2">
        <f t="shared" si="26"/>
        <v>3587</v>
      </c>
      <c r="AD110" s="2">
        <f t="shared" si="27"/>
        <v>2957</v>
      </c>
      <c r="AE110" s="2">
        <f t="shared" si="28"/>
        <v>2537</v>
      </c>
      <c r="AF110" s="2">
        <f t="shared" si="29"/>
        <v>2011</v>
      </c>
      <c r="AG110" s="2">
        <f t="shared" si="30"/>
        <v>16415</v>
      </c>
      <c r="AH110" s="2">
        <f t="shared" si="31"/>
        <v>30485</v>
      </c>
      <c r="AI110" s="2">
        <f t="shared" si="32"/>
        <v>32960</v>
      </c>
      <c r="AJ110" s="2">
        <f t="shared" si="33"/>
        <v>5904</v>
      </c>
      <c r="AK110" s="2">
        <f t="shared" si="34"/>
        <v>4063</v>
      </c>
      <c r="AL110" s="2">
        <f t="shared" si="35"/>
        <v>3143</v>
      </c>
      <c r="AM110" s="2">
        <f t="shared" si="36"/>
        <v>2590</v>
      </c>
      <c r="AN110" s="2">
        <f t="shared" si="37"/>
        <v>2222</v>
      </c>
      <c r="AO110" s="2">
        <f t="shared" si="38"/>
        <v>1762</v>
      </c>
      <c r="AP110" s="2">
        <f t="shared" si="39"/>
        <v>18760</v>
      </c>
      <c r="AQ110" s="2">
        <f t="shared" si="40"/>
        <v>28140</v>
      </c>
      <c r="AR110" s="2">
        <f t="shared" si="41"/>
        <v>30615</v>
      </c>
      <c r="AS110" s="2">
        <f t="shared" si="42"/>
        <v>5486</v>
      </c>
      <c r="AT110" s="2">
        <f t="shared" si="43"/>
        <v>3775</v>
      </c>
      <c r="AU110" s="2">
        <f t="shared" si="44"/>
        <v>2920</v>
      </c>
      <c r="AV110" s="2">
        <f t="shared" si="45"/>
        <v>2407</v>
      </c>
      <c r="AW110" s="2">
        <f t="shared" si="46"/>
        <v>2065</v>
      </c>
      <c r="AX110" s="2">
        <f t="shared" si="47"/>
        <v>1637</v>
      </c>
    </row>
    <row r="111" ht="14.25" customHeight="1">
      <c r="A111" s="2" t="str">
        <f t="array" ref="A111">IFERROR(INDEX('Product Price'!A:A,SMALL('Product Price'!$D:$D,109)),"")</f>
        <v>SAMSUNG Galaxy S26 Ultra 12/512 GB</v>
      </c>
      <c r="B111" s="2">
        <f t="array" ref="B111">IFERROR(INDEX('Product Price'!B:B,SMALL('Product Price'!$D:$D,109)),"")</f>
        <v>54900</v>
      </c>
      <c r="C111" s="2">
        <f t="array" ref="C111">IFERROR(INDEX('Product Price'!C:C,SMALL('Product Price'!$D:$D,109)),"")</f>
        <v>99</v>
      </c>
      <c r="D111" s="2">
        <f t="shared" si="1"/>
        <v>2475</v>
      </c>
      <c r="E111" s="2">
        <f t="shared" si="2"/>
        <v>57375</v>
      </c>
      <c r="F111" s="2">
        <f t="shared" si="48"/>
        <v>8235</v>
      </c>
      <c r="G111" s="2">
        <f t="shared" si="4"/>
        <v>46665</v>
      </c>
      <c r="H111" s="2">
        <f t="shared" si="5"/>
        <v>49140</v>
      </c>
      <c r="I111" s="2">
        <f t="shared" si="6"/>
        <v>8786</v>
      </c>
      <c r="J111" s="2">
        <f t="shared" si="7"/>
        <v>6047</v>
      </c>
      <c r="K111" s="2">
        <f t="shared" si="8"/>
        <v>4677</v>
      </c>
      <c r="L111" s="2">
        <f t="shared" si="9"/>
        <v>3855</v>
      </c>
      <c r="M111" s="2">
        <f t="shared" si="10"/>
        <v>3307</v>
      </c>
      <c r="N111" s="2">
        <f t="shared" si="11"/>
        <v>2622</v>
      </c>
      <c r="O111" s="2">
        <f t="shared" si="12"/>
        <v>10980</v>
      </c>
      <c r="P111" s="2">
        <f t="shared" si="13"/>
        <v>43920</v>
      </c>
      <c r="Q111" s="2">
        <f t="shared" si="14"/>
        <v>46395</v>
      </c>
      <c r="R111" s="2">
        <f t="shared" si="15"/>
        <v>8297</v>
      </c>
      <c r="S111" s="2">
        <f t="shared" si="16"/>
        <v>5710</v>
      </c>
      <c r="T111" s="2">
        <f t="shared" si="17"/>
        <v>4417</v>
      </c>
      <c r="U111" s="2">
        <f t="shared" si="18"/>
        <v>3641</v>
      </c>
      <c r="V111" s="2">
        <f t="shared" si="19"/>
        <v>3123</v>
      </c>
      <c r="W111" s="2">
        <f t="shared" si="20"/>
        <v>2476</v>
      </c>
      <c r="X111" s="2">
        <f t="shared" si="21"/>
        <v>13725</v>
      </c>
      <c r="Y111" s="2">
        <f t="shared" si="22"/>
        <v>41175</v>
      </c>
      <c r="Z111" s="2">
        <f t="shared" si="23"/>
        <v>43650</v>
      </c>
      <c r="AA111" s="2">
        <f t="shared" si="24"/>
        <v>7808</v>
      </c>
      <c r="AB111" s="2">
        <f t="shared" si="25"/>
        <v>5374</v>
      </c>
      <c r="AC111" s="2">
        <f t="shared" si="26"/>
        <v>4156</v>
      </c>
      <c r="AD111" s="2">
        <f t="shared" si="27"/>
        <v>3426</v>
      </c>
      <c r="AE111" s="2">
        <f t="shared" si="28"/>
        <v>2939</v>
      </c>
      <c r="AF111" s="2">
        <f t="shared" si="29"/>
        <v>2330</v>
      </c>
      <c r="AG111" s="2">
        <f t="shared" si="30"/>
        <v>19215</v>
      </c>
      <c r="AH111" s="2">
        <f t="shared" si="31"/>
        <v>35685</v>
      </c>
      <c r="AI111" s="2">
        <f t="shared" si="32"/>
        <v>38160</v>
      </c>
      <c r="AJ111" s="2">
        <f t="shared" si="33"/>
        <v>6830</v>
      </c>
      <c r="AK111" s="2">
        <f t="shared" si="34"/>
        <v>4701</v>
      </c>
      <c r="AL111" s="2">
        <f t="shared" si="35"/>
        <v>3636</v>
      </c>
      <c r="AM111" s="2">
        <f t="shared" si="36"/>
        <v>2997</v>
      </c>
      <c r="AN111" s="2">
        <f t="shared" si="37"/>
        <v>2571</v>
      </c>
      <c r="AO111" s="2">
        <f t="shared" si="38"/>
        <v>2039</v>
      </c>
      <c r="AP111" s="2">
        <f t="shared" si="39"/>
        <v>21960</v>
      </c>
      <c r="AQ111" s="2">
        <f t="shared" si="40"/>
        <v>32940</v>
      </c>
      <c r="AR111" s="2">
        <f t="shared" si="41"/>
        <v>35415</v>
      </c>
      <c r="AS111" s="2">
        <f t="shared" si="42"/>
        <v>6341</v>
      </c>
      <c r="AT111" s="2">
        <f t="shared" si="43"/>
        <v>4364</v>
      </c>
      <c r="AU111" s="2">
        <f t="shared" si="44"/>
        <v>3375</v>
      </c>
      <c r="AV111" s="2">
        <f t="shared" si="45"/>
        <v>2782</v>
      </c>
      <c r="AW111" s="2">
        <f t="shared" si="46"/>
        <v>2387</v>
      </c>
      <c r="AX111" s="2">
        <f t="shared" si="47"/>
        <v>1893</v>
      </c>
    </row>
    <row r="112" ht="14.25" customHeight="1">
      <c r="A112" s="2" t="str">
        <f t="array" ref="A112">IFERROR(INDEX('Product Price'!A:A,SMALL('Product Price'!$D:$D,110)),"")</f>
        <v>SAMSUNG Galaxy S26 Ultra 16/1TB</v>
      </c>
      <c r="B112" s="2">
        <f t="array" ref="B112">IFERROR(INDEX('Product Price'!B:B,SMALL('Product Price'!$D:$D,110)),"")</f>
        <v>66900</v>
      </c>
      <c r="C112" s="2">
        <f t="array" ref="C112">IFERROR(INDEX('Product Price'!C:C,SMALL('Product Price'!$D:$D,110)),"")</f>
        <v>100</v>
      </c>
      <c r="D112" s="2">
        <f t="shared" si="1"/>
        <v>4025</v>
      </c>
      <c r="E112" s="2">
        <f t="shared" si="2"/>
        <v>70925</v>
      </c>
      <c r="F112" s="2">
        <f t="shared" si="48"/>
        <v>10035</v>
      </c>
      <c r="G112" s="2">
        <f t="shared" si="4"/>
        <v>56865</v>
      </c>
      <c r="H112" s="2">
        <f t="shared" si="5"/>
        <v>60890</v>
      </c>
      <c r="I112" s="2">
        <f t="shared" si="6"/>
        <v>10899</v>
      </c>
      <c r="J112" s="2">
        <f t="shared" si="7"/>
        <v>7501</v>
      </c>
      <c r="K112" s="2">
        <f t="shared" si="8"/>
        <v>5802</v>
      </c>
      <c r="L112" s="2">
        <f t="shared" si="9"/>
        <v>4782</v>
      </c>
      <c r="M112" s="2">
        <f t="shared" si="10"/>
        <v>4102</v>
      </c>
      <c r="N112" s="2">
        <f t="shared" si="11"/>
        <v>3253</v>
      </c>
      <c r="O112" s="2">
        <f t="shared" si="12"/>
        <v>13380</v>
      </c>
      <c r="P112" s="2">
        <f t="shared" si="13"/>
        <v>53520</v>
      </c>
      <c r="Q112" s="2">
        <f t="shared" si="14"/>
        <v>57545</v>
      </c>
      <c r="R112" s="2">
        <f t="shared" si="15"/>
        <v>10303</v>
      </c>
      <c r="S112" s="2">
        <f t="shared" si="16"/>
        <v>7091</v>
      </c>
      <c r="T112" s="2">
        <f t="shared" si="17"/>
        <v>5484</v>
      </c>
      <c r="U112" s="2">
        <f t="shared" si="18"/>
        <v>4521</v>
      </c>
      <c r="V112" s="2">
        <f t="shared" si="19"/>
        <v>3878</v>
      </c>
      <c r="W112" s="2">
        <f t="shared" si="20"/>
        <v>3075</v>
      </c>
      <c r="X112" s="2">
        <f t="shared" si="21"/>
        <v>16725</v>
      </c>
      <c r="Y112" s="2">
        <f t="shared" si="22"/>
        <v>50175</v>
      </c>
      <c r="Z112" s="2">
        <f t="shared" si="23"/>
        <v>54200</v>
      </c>
      <c r="AA112" s="2">
        <f t="shared" si="24"/>
        <v>9707</v>
      </c>
      <c r="AB112" s="2">
        <f t="shared" si="25"/>
        <v>6681</v>
      </c>
      <c r="AC112" s="2">
        <f t="shared" si="26"/>
        <v>5167</v>
      </c>
      <c r="AD112" s="2">
        <f t="shared" si="27"/>
        <v>4259</v>
      </c>
      <c r="AE112" s="2">
        <f t="shared" si="28"/>
        <v>3654</v>
      </c>
      <c r="AF112" s="2">
        <f t="shared" si="29"/>
        <v>2897</v>
      </c>
      <c r="AG112" s="2">
        <f t="shared" si="30"/>
        <v>23415</v>
      </c>
      <c r="AH112" s="2">
        <f t="shared" si="31"/>
        <v>43485</v>
      </c>
      <c r="AI112" s="2">
        <f t="shared" si="32"/>
        <v>47510</v>
      </c>
      <c r="AJ112" s="2">
        <f t="shared" si="33"/>
        <v>8515</v>
      </c>
      <c r="AK112" s="2">
        <f t="shared" si="34"/>
        <v>5860</v>
      </c>
      <c r="AL112" s="2">
        <f t="shared" si="35"/>
        <v>4533</v>
      </c>
      <c r="AM112" s="2">
        <f t="shared" si="36"/>
        <v>3736</v>
      </c>
      <c r="AN112" s="2">
        <f t="shared" si="37"/>
        <v>3205</v>
      </c>
      <c r="AO112" s="2">
        <f t="shared" si="38"/>
        <v>2541</v>
      </c>
      <c r="AP112" s="2">
        <f t="shared" si="39"/>
        <v>26760</v>
      </c>
      <c r="AQ112" s="2">
        <f t="shared" si="40"/>
        <v>40140</v>
      </c>
      <c r="AR112" s="2">
        <f t="shared" si="41"/>
        <v>44165</v>
      </c>
      <c r="AS112" s="2">
        <f t="shared" si="42"/>
        <v>7919</v>
      </c>
      <c r="AT112" s="2">
        <f t="shared" si="43"/>
        <v>5450</v>
      </c>
      <c r="AU112" s="2">
        <f t="shared" si="44"/>
        <v>4216</v>
      </c>
      <c r="AV112" s="2">
        <f t="shared" si="45"/>
        <v>3475</v>
      </c>
      <c r="AW112" s="2">
        <f t="shared" si="46"/>
        <v>2981</v>
      </c>
      <c r="AX112" s="2">
        <f t="shared" si="47"/>
        <v>2364</v>
      </c>
    </row>
    <row r="113" ht="14.25" customHeight="1">
      <c r="A113" s="2" t="str">
        <f t="array" ref="A113">IFERROR(INDEX('Product Price'!A:A,SMALL('Product Price'!$D:$D,111)),"")</f>
        <v>SAMSUNG Galaxy S25 FE 8/128 GB</v>
      </c>
      <c r="B113" s="2">
        <f t="array" ref="B113">IFERROR(INDEX('Product Price'!B:B,SMALL('Product Price'!$D:$D,111)),"")</f>
        <v>22900</v>
      </c>
      <c r="C113" s="2">
        <f t="array" ref="C113">IFERROR(INDEX('Product Price'!C:C,SMALL('Product Price'!$D:$D,111)),"")</f>
        <v>101</v>
      </c>
      <c r="D113" s="2">
        <f t="shared" si="1"/>
        <v>1900</v>
      </c>
      <c r="E113" s="2">
        <f t="shared" si="2"/>
        <v>24800</v>
      </c>
      <c r="F113" s="2">
        <f t="shared" si="48"/>
        <v>3435</v>
      </c>
      <c r="G113" s="2">
        <f t="shared" si="4"/>
        <v>19465</v>
      </c>
      <c r="H113" s="2">
        <f t="shared" si="5"/>
        <v>21365</v>
      </c>
      <c r="I113" s="2">
        <f t="shared" si="6"/>
        <v>3831</v>
      </c>
      <c r="J113" s="2">
        <f t="shared" si="7"/>
        <v>2636</v>
      </c>
      <c r="K113" s="2">
        <f t="shared" si="8"/>
        <v>2039</v>
      </c>
      <c r="L113" s="2">
        <f t="shared" si="9"/>
        <v>1681</v>
      </c>
      <c r="M113" s="2">
        <f t="shared" si="10"/>
        <v>1442</v>
      </c>
      <c r="N113" s="2">
        <f t="shared" si="11"/>
        <v>1143</v>
      </c>
      <c r="O113" s="2">
        <f t="shared" si="12"/>
        <v>4580</v>
      </c>
      <c r="P113" s="2">
        <f t="shared" si="13"/>
        <v>18320</v>
      </c>
      <c r="Q113" s="2">
        <f t="shared" si="14"/>
        <v>20220</v>
      </c>
      <c r="R113" s="2">
        <f t="shared" si="15"/>
        <v>3627</v>
      </c>
      <c r="S113" s="2">
        <f t="shared" si="16"/>
        <v>2496</v>
      </c>
      <c r="T113" s="2">
        <f t="shared" si="17"/>
        <v>1931</v>
      </c>
      <c r="U113" s="2">
        <f t="shared" si="18"/>
        <v>1591</v>
      </c>
      <c r="V113" s="2">
        <f t="shared" si="19"/>
        <v>1365</v>
      </c>
      <c r="W113" s="2">
        <f t="shared" si="20"/>
        <v>1083</v>
      </c>
      <c r="X113" s="2">
        <f t="shared" si="21"/>
        <v>5725</v>
      </c>
      <c r="Y113" s="2">
        <f t="shared" si="22"/>
        <v>17175</v>
      </c>
      <c r="Z113" s="2">
        <f t="shared" si="23"/>
        <v>19075</v>
      </c>
      <c r="AA113" s="2">
        <f t="shared" si="24"/>
        <v>3423</v>
      </c>
      <c r="AB113" s="2">
        <f t="shared" si="25"/>
        <v>2356</v>
      </c>
      <c r="AC113" s="2">
        <f t="shared" si="26"/>
        <v>1822</v>
      </c>
      <c r="AD113" s="2">
        <f t="shared" si="27"/>
        <v>1502</v>
      </c>
      <c r="AE113" s="2">
        <f t="shared" si="28"/>
        <v>1289</v>
      </c>
      <c r="AF113" s="2">
        <f t="shared" si="29"/>
        <v>1022</v>
      </c>
      <c r="AG113" s="2">
        <f t="shared" si="30"/>
        <v>8015</v>
      </c>
      <c r="AH113" s="2">
        <f t="shared" si="31"/>
        <v>14885</v>
      </c>
      <c r="AI113" s="2">
        <f t="shared" si="32"/>
        <v>16785</v>
      </c>
      <c r="AJ113" s="2">
        <f t="shared" si="33"/>
        <v>3015</v>
      </c>
      <c r="AK113" s="2">
        <f t="shared" si="34"/>
        <v>2075</v>
      </c>
      <c r="AL113" s="2">
        <f t="shared" si="35"/>
        <v>1605</v>
      </c>
      <c r="AM113" s="2">
        <f t="shared" si="36"/>
        <v>1323</v>
      </c>
      <c r="AN113" s="2">
        <f t="shared" si="37"/>
        <v>1135</v>
      </c>
      <c r="AO113" s="2">
        <f t="shared" si="38"/>
        <v>900</v>
      </c>
      <c r="AP113" s="2">
        <f t="shared" si="39"/>
        <v>9160</v>
      </c>
      <c r="AQ113" s="2">
        <f t="shared" si="40"/>
        <v>13740</v>
      </c>
      <c r="AR113" s="2">
        <f t="shared" si="41"/>
        <v>15640</v>
      </c>
      <c r="AS113" s="2">
        <f t="shared" si="42"/>
        <v>2811</v>
      </c>
      <c r="AT113" s="2">
        <f t="shared" si="43"/>
        <v>1934</v>
      </c>
      <c r="AU113" s="2">
        <f t="shared" si="44"/>
        <v>1496</v>
      </c>
      <c r="AV113" s="2">
        <f t="shared" si="45"/>
        <v>1233</v>
      </c>
      <c r="AW113" s="2">
        <f t="shared" si="46"/>
        <v>1058</v>
      </c>
      <c r="AX113" s="2">
        <f t="shared" si="47"/>
        <v>839</v>
      </c>
    </row>
    <row r="114" ht="14.25" customHeight="1">
      <c r="A114" s="2" t="str">
        <f t="array" ref="A114">IFERROR(INDEX('Product Price'!A:A,SMALL('Product Price'!$D:$D,112)),"")</f>
        <v>SAMSUNG Galaxy S25 FE 8/256 GB</v>
      </c>
      <c r="B114" s="2">
        <f t="array" ref="B114">IFERROR(INDEX('Product Price'!B:B,SMALL('Product Price'!$D:$D,112)),"")</f>
        <v>26900</v>
      </c>
      <c r="C114" s="2">
        <f t="array" ref="C114">IFERROR(INDEX('Product Price'!C:C,SMALL('Product Price'!$D:$D,112)),"")</f>
        <v>102</v>
      </c>
      <c r="D114" s="2">
        <f t="shared" si="1"/>
        <v>1900</v>
      </c>
      <c r="E114" s="2">
        <f t="shared" si="2"/>
        <v>28800</v>
      </c>
      <c r="F114" s="2">
        <f t="shared" si="48"/>
        <v>4035</v>
      </c>
      <c r="G114" s="2">
        <f t="shared" si="4"/>
        <v>22865</v>
      </c>
      <c r="H114" s="2">
        <f t="shared" si="5"/>
        <v>24765</v>
      </c>
      <c r="I114" s="2">
        <f t="shared" si="6"/>
        <v>4436</v>
      </c>
      <c r="J114" s="2">
        <f t="shared" si="7"/>
        <v>3053</v>
      </c>
      <c r="K114" s="2">
        <f t="shared" si="8"/>
        <v>2362</v>
      </c>
      <c r="L114" s="2">
        <f t="shared" si="9"/>
        <v>1947</v>
      </c>
      <c r="M114" s="2">
        <f t="shared" si="10"/>
        <v>1670</v>
      </c>
      <c r="N114" s="2">
        <f t="shared" si="11"/>
        <v>1324</v>
      </c>
      <c r="O114" s="2">
        <f t="shared" si="12"/>
        <v>5380</v>
      </c>
      <c r="P114" s="2">
        <f t="shared" si="13"/>
        <v>21520</v>
      </c>
      <c r="Q114" s="2">
        <f t="shared" si="14"/>
        <v>23420</v>
      </c>
      <c r="R114" s="2">
        <f t="shared" si="15"/>
        <v>4197</v>
      </c>
      <c r="S114" s="2">
        <f t="shared" si="16"/>
        <v>2888</v>
      </c>
      <c r="T114" s="2">
        <f t="shared" si="17"/>
        <v>2234</v>
      </c>
      <c r="U114" s="2">
        <f t="shared" si="18"/>
        <v>1842</v>
      </c>
      <c r="V114" s="2">
        <f t="shared" si="19"/>
        <v>1580</v>
      </c>
      <c r="W114" s="2">
        <f t="shared" si="20"/>
        <v>1253</v>
      </c>
      <c r="X114" s="2">
        <f t="shared" si="21"/>
        <v>6725</v>
      </c>
      <c r="Y114" s="2">
        <f t="shared" si="22"/>
        <v>20175</v>
      </c>
      <c r="Z114" s="2">
        <f t="shared" si="23"/>
        <v>22075</v>
      </c>
      <c r="AA114" s="2">
        <f t="shared" si="24"/>
        <v>3957</v>
      </c>
      <c r="AB114" s="2">
        <f t="shared" si="25"/>
        <v>2723</v>
      </c>
      <c r="AC114" s="2">
        <f t="shared" si="26"/>
        <v>2107</v>
      </c>
      <c r="AD114" s="2">
        <f t="shared" si="27"/>
        <v>1736</v>
      </c>
      <c r="AE114" s="2">
        <f t="shared" si="28"/>
        <v>1490</v>
      </c>
      <c r="AF114" s="2">
        <f t="shared" si="29"/>
        <v>1181</v>
      </c>
      <c r="AG114" s="2">
        <f t="shared" si="30"/>
        <v>9415</v>
      </c>
      <c r="AH114" s="2">
        <f t="shared" si="31"/>
        <v>17485</v>
      </c>
      <c r="AI114" s="2">
        <f t="shared" si="32"/>
        <v>19385</v>
      </c>
      <c r="AJ114" s="2">
        <f t="shared" si="33"/>
        <v>3478</v>
      </c>
      <c r="AK114" s="2">
        <f t="shared" si="34"/>
        <v>2394</v>
      </c>
      <c r="AL114" s="2">
        <f t="shared" si="35"/>
        <v>1851</v>
      </c>
      <c r="AM114" s="2">
        <f t="shared" si="36"/>
        <v>1526</v>
      </c>
      <c r="AN114" s="2">
        <f t="shared" si="37"/>
        <v>1309</v>
      </c>
      <c r="AO114" s="2">
        <f t="shared" si="38"/>
        <v>1038</v>
      </c>
      <c r="AP114" s="2">
        <f t="shared" si="39"/>
        <v>10760</v>
      </c>
      <c r="AQ114" s="2">
        <f t="shared" si="40"/>
        <v>16140</v>
      </c>
      <c r="AR114" s="2">
        <f t="shared" si="41"/>
        <v>18040</v>
      </c>
      <c r="AS114" s="2">
        <f t="shared" si="42"/>
        <v>3238</v>
      </c>
      <c r="AT114" s="2">
        <f t="shared" si="43"/>
        <v>2229</v>
      </c>
      <c r="AU114" s="2">
        <f t="shared" si="44"/>
        <v>1724</v>
      </c>
      <c r="AV114" s="2">
        <f t="shared" si="45"/>
        <v>1421</v>
      </c>
      <c r="AW114" s="2">
        <f t="shared" si="46"/>
        <v>1219</v>
      </c>
      <c r="AX114" s="2">
        <f t="shared" si="47"/>
        <v>967</v>
      </c>
    </row>
    <row r="115" ht="14.25" customHeight="1">
      <c r="A115" s="2" t="str">
        <f t="array" ref="A115">IFERROR(INDEX('Product Price'!A:A,SMALL('Product Price'!$D:$D,113)),"")</f>
        <v>SAMSUNG Galaxy Tab A11 LTE 8/128 GB</v>
      </c>
      <c r="B115" s="2">
        <f t="array" ref="B115">IFERROR(INDEX('Product Price'!B:B,SMALL('Product Price'!$D:$D,113)),"")</f>
        <v>6990</v>
      </c>
      <c r="C115" s="2">
        <f t="array" ref="C115">IFERROR(INDEX('Product Price'!C:C,SMALL('Product Price'!$D:$D,113)),"")</f>
        <v>103</v>
      </c>
      <c r="D115" s="2">
        <f t="shared" si="1"/>
        <v>795</v>
      </c>
      <c r="E115" s="2">
        <f t="shared" si="2"/>
        <v>7785</v>
      </c>
      <c r="F115" s="2">
        <f t="shared" si="48"/>
        <v>1049</v>
      </c>
      <c r="G115" s="2">
        <f t="shared" si="4"/>
        <v>5941</v>
      </c>
      <c r="H115" s="2">
        <f t="shared" si="5"/>
        <v>6736</v>
      </c>
      <c r="I115" s="2">
        <f t="shared" si="6"/>
        <v>1211</v>
      </c>
      <c r="J115" s="2">
        <f t="shared" si="7"/>
        <v>833</v>
      </c>
      <c r="K115" s="2">
        <f t="shared" si="8"/>
        <v>645</v>
      </c>
      <c r="L115" s="2">
        <f t="shared" si="9"/>
        <v>531</v>
      </c>
      <c r="M115" s="2" t="str">
        <f t="shared" si="10"/>
        <v>-</v>
      </c>
      <c r="N115" s="2" t="str">
        <f t="shared" si="11"/>
        <v>-</v>
      </c>
      <c r="O115" s="2">
        <f t="shared" si="12"/>
        <v>1398</v>
      </c>
      <c r="P115" s="2">
        <f t="shared" si="13"/>
        <v>5592</v>
      </c>
      <c r="Q115" s="2">
        <f t="shared" si="14"/>
        <v>6387</v>
      </c>
      <c r="R115" s="2">
        <f t="shared" si="15"/>
        <v>1148</v>
      </c>
      <c r="S115" s="2">
        <f t="shared" si="16"/>
        <v>790</v>
      </c>
      <c r="T115" s="2">
        <f t="shared" si="17"/>
        <v>611</v>
      </c>
      <c r="U115" s="2">
        <f t="shared" si="18"/>
        <v>504</v>
      </c>
      <c r="V115" s="2" t="str">
        <f t="shared" si="19"/>
        <v>-</v>
      </c>
      <c r="W115" s="2" t="str">
        <f t="shared" si="20"/>
        <v>-</v>
      </c>
      <c r="X115" s="2">
        <f t="shared" si="21"/>
        <v>1748</v>
      </c>
      <c r="Y115" s="2">
        <f t="shared" si="22"/>
        <v>5242</v>
      </c>
      <c r="Z115" s="2">
        <f t="shared" si="23"/>
        <v>6037</v>
      </c>
      <c r="AA115" s="2">
        <f t="shared" si="24"/>
        <v>1086</v>
      </c>
      <c r="AB115" s="2">
        <f t="shared" si="25"/>
        <v>748</v>
      </c>
      <c r="AC115" s="2">
        <f t="shared" si="26"/>
        <v>578</v>
      </c>
      <c r="AD115" s="2">
        <f t="shared" si="27"/>
        <v>477</v>
      </c>
      <c r="AE115" s="2" t="str">
        <f t="shared" si="28"/>
        <v>-</v>
      </c>
      <c r="AF115" s="2" t="str">
        <f t="shared" si="29"/>
        <v>-</v>
      </c>
      <c r="AG115" s="2">
        <f t="shared" si="30"/>
        <v>2447</v>
      </c>
      <c r="AH115" s="2">
        <f t="shared" si="31"/>
        <v>4543</v>
      </c>
      <c r="AI115" s="2">
        <f t="shared" si="32"/>
        <v>5338</v>
      </c>
      <c r="AJ115" s="2">
        <f t="shared" si="33"/>
        <v>961</v>
      </c>
      <c r="AK115" s="2">
        <f t="shared" si="34"/>
        <v>662</v>
      </c>
      <c r="AL115" s="2">
        <f t="shared" si="35"/>
        <v>512</v>
      </c>
      <c r="AM115" s="2" t="str">
        <f t="shared" si="36"/>
        <v>-</v>
      </c>
      <c r="AN115" s="2" t="str">
        <f t="shared" si="37"/>
        <v>-</v>
      </c>
      <c r="AO115" s="2" t="str">
        <f t="shared" si="38"/>
        <v>-</v>
      </c>
      <c r="AP115" s="2">
        <f t="shared" si="39"/>
        <v>2796</v>
      </c>
      <c r="AQ115" s="2">
        <f t="shared" si="40"/>
        <v>4194</v>
      </c>
      <c r="AR115" s="2">
        <f t="shared" si="41"/>
        <v>4989</v>
      </c>
      <c r="AS115" s="2">
        <f t="shared" si="42"/>
        <v>899</v>
      </c>
      <c r="AT115" s="2">
        <f t="shared" si="43"/>
        <v>619</v>
      </c>
      <c r="AU115" s="2" t="str">
        <f t="shared" si="44"/>
        <v>-</v>
      </c>
      <c r="AV115" s="2" t="str">
        <f t="shared" si="45"/>
        <v>-</v>
      </c>
      <c r="AW115" s="2" t="str">
        <f t="shared" si="46"/>
        <v>-</v>
      </c>
      <c r="AX115" s="2" t="str">
        <f t="shared" si="47"/>
        <v>-</v>
      </c>
    </row>
    <row r="116" ht="14.25" customHeight="1">
      <c r="A116" s="2" t="str">
        <f t="array" ref="A116">IFERROR(INDEX('Product Price'!A:A,SMALL('Product Price'!$D:$D,114)),"")</f>
        <v>SAMSUNG Galaxy Tab A11+ 5G 6/128 GB</v>
      </c>
      <c r="B116" s="2">
        <f t="array" ref="B116">IFERROR(INDEX('Product Price'!B:B,SMALL('Product Price'!$D:$D,114)),"")</f>
        <v>9990</v>
      </c>
      <c r="C116" s="2">
        <f t="array" ref="C116">IFERROR(INDEX('Product Price'!C:C,SMALL('Product Price'!$D:$D,114)),"")</f>
        <v>104</v>
      </c>
      <c r="D116" s="2">
        <f t="shared" si="1"/>
        <v>795</v>
      </c>
      <c r="E116" s="2">
        <f t="shared" si="2"/>
        <v>10785</v>
      </c>
      <c r="F116" s="2">
        <f t="shared" si="48"/>
        <v>1499</v>
      </c>
      <c r="G116" s="2">
        <f t="shared" si="4"/>
        <v>8491</v>
      </c>
      <c r="H116" s="2">
        <f t="shared" si="5"/>
        <v>9286</v>
      </c>
      <c r="I116" s="2">
        <f t="shared" si="6"/>
        <v>1665</v>
      </c>
      <c r="J116" s="2">
        <f t="shared" si="7"/>
        <v>1146</v>
      </c>
      <c r="K116" s="2">
        <f t="shared" si="8"/>
        <v>886</v>
      </c>
      <c r="L116" s="2">
        <f t="shared" si="9"/>
        <v>731</v>
      </c>
      <c r="M116" s="2">
        <f t="shared" si="10"/>
        <v>627</v>
      </c>
      <c r="N116" s="2">
        <f t="shared" si="11"/>
        <v>497</v>
      </c>
      <c r="O116" s="2">
        <f t="shared" si="12"/>
        <v>1998</v>
      </c>
      <c r="P116" s="2">
        <f t="shared" si="13"/>
        <v>7992</v>
      </c>
      <c r="Q116" s="2">
        <f t="shared" si="14"/>
        <v>8787</v>
      </c>
      <c r="R116" s="2">
        <f t="shared" si="15"/>
        <v>1576</v>
      </c>
      <c r="S116" s="2">
        <f t="shared" si="16"/>
        <v>1085</v>
      </c>
      <c r="T116" s="2">
        <f t="shared" si="17"/>
        <v>839</v>
      </c>
      <c r="U116" s="2">
        <f t="shared" si="18"/>
        <v>692</v>
      </c>
      <c r="V116" s="2">
        <f t="shared" si="19"/>
        <v>593</v>
      </c>
      <c r="W116" s="2">
        <f t="shared" si="20"/>
        <v>471</v>
      </c>
      <c r="X116" s="2">
        <f t="shared" si="21"/>
        <v>2498</v>
      </c>
      <c r="Y116" s="2">
        <f t="shared" si="22"/>
        <v>7492</v>
      </c>
      <c r="Z116" s="2">
        <f t="shared" si="23"/>
        <v>8287</v>
      </c>
      <c r="AA116" s="2">
        <f t="shared" si="24"/>
        <v>1487</v>
      </c>
      <c r="AB116" s="2">
        <f t="shared" si="25"/>
        <v>1023</v>
      </c>
      <c r="AC116" s="2">
        <f t="shared" si="26"/>
        <v>792</v>
      </c>
      <c r="AD116" s="2">
        <f t="shared" si="27"/>
        <v>653</v>
      </c>
      <c r="AE116" s="2">
        <f t="shared" si="28"/>
        <v>560</v>
      </c>
      <c r="AF116" s="2" t="str">
        <f t="shared" si="29"/>
        <v>-</v>
      </c>
      <c r="AG116" s="2">
        <f t="shared" si="30"/>
        <v>3497</v>
      </c>
      <c r="AH116" s="2">
        <f t="shared" si="31"/>
        <v>6493</v>
      </c>
      <c r="AI116" s="2">
        <f t="shared" si="32"/>
        <v>7288</v>
      </c>
      <c r="AJ116" s="2">
        <f t="shared" si="33"/>
        <v>1309</v>
      </c>
      <c r="AK116" s="2">
        <f t="shared" si="34"/>
        <v>901</v>
      </c>
      <c r="AL116" s="2">
        <f t="shared" si="35"/>
        <v>697</v>
      </c>
      <c r="AM116" s="2">
        <f t="shared" si="36"/>
        <v>575</v>
      </c>
      <c r="AN116" s="2">
        <f t="shared" si="37"/>
        <v>493</v>
      </c>
      <c r="AO116" s="2" t="str">
        <f t="shared" si="38"/>
        <v>-</v>
      </c>
      <c r="AP116" s="2">
        <f t="shared" si="39"/>
        <v>3996</v>
      </c>
      <c r="AQ116" s="2">
        <f t="shared" si="40"/>
        <v>5994</v>
      </c>
      <c r="AR116" s="2">
        <f t="shared" si="41"/>
        <v>6789</v>
      </c>
      <c r="AS116" s="2">
        <f t="shared" si="42"/>
        <v>1220</v>
      </c>
      <c r="AT116" s="2">
        <f t="shared" si="43"/>
        <v>840</v>
      </c>
      <c r="AU116" s="2">
        <f t="shared" si="44"/>
        <v>650</v>
      </c>
      <c r="AV116" s="2">
        <f t="shared" si="45"/>
        <v>536</v>
      </c>
      <c r="AW116" s="2">
        <f t="shared" si="46"/>
        <v>459</v>
      </c>
      <c r="AX116" s="2" t="str">
        <f t="shared" si="47"/>
        <v>-</v>
      </c>
    </row>
    <row r="117" ht="14.25" customHeight="1">
      <c r="A117" s="2" t="str">
        <f t="array" ref="A117">IFERROR(INDEX('Product Price'!A:A,SMALL('Product Price'!$D:$D,115)),"")</f>
        <v>SAMSUNG Galaxy Tab A11+ Wifi 6/128 GB</v>
      </c>
      <c r="B117" s="2">
        <f t="array" ref="B117">IFERROR(INDEX('Product Price'!B:B,SMALL('Product Price'!$D:$D,115)),"")</f>
        <v>7990</v>
      </c>
      <c r="C117" s="2">
        <f t="array" ref="C117">IFERROR(INDEX('Product Price'!C:C,SMALL('Product Price'!$D:$D,115)),"")</f>
        <v>105</v>
      </c>
      <c r="D117" s="2">
        <f t="shared" si="1"/>
        <v>795</v>
      </c>
      <c r="E117" s="2">
        <f t="shared" si="2"/>
        <v>8785</v>
      </c>
      <c r="F117" s="2">
        <f t="shared" si="48"/>
        <v>1199</v>
      </c>
      <c r="G117" s="2">
        <f t="shared" si="4"/>
        <v>6791</v>
      </c>
      <c r="H117" s="2">
        <f t="shared" si="5"/>
        <v>7586</v>
      </c>
      <c r="I117" s="2">
        <f t="shared" si="6"/>
        <v>1362</v>
      </c>
      <c r="J117" s="2">
        <f t="shared" si="7"/>
        <v>937</v>
      </c>
      <c r="K117" s="2">
        <f t="shared" si="8"/>
        <v>725</v>
      </c>
      <c r="L117" s="2">
        <f t="shared" si="9"/>
        <v>598</v>
      </c>
      <c r="M117" s="2">
        <f t="shared" si="10"/>
        <v>513</v>
      </c>
      <c r="N117" s="2" t="str">
        <f t="shared" si="11"/>
        <v>-</v>
      </c>
      <c r="O117" s="2">
        <f t="shared" si="12"/>
        <v>1598</v>
      </c>
      <c r="P117" s="2">
        <f t="shared" si="13"/>
        <v>6392</v>
      </c>
      <c r="Q117" s="2">
        <f t="shared" si="14"/>
        <v>7187</v>
      </c>
      <c r="R117" s="2">
        <f t="shared" si="15"/>
        <v>1291</v>
      </c>
      <c r="S117" s="2">
        <f t="shared" si="16"/>
        <v>889</v>
      </c>
      <c r="T117" s="2">
        <f t="shared" si="17"/>
        <v>687</v>
      </c>
      <c r="U117" s="2">
        <f t="shared" si="18"/>
        <v>567</v>
      </c>
      <c r="V117" s="2">
        <f t="shared" si="19"/>
        <v>486</v>
      </c>
      <c r="W117" s="2" t="str">
        <f t="shared" si="20"/>
        <v>-</v>
      </c>
      <c r="X117" s="2">
        <f t="shared" si="21"/>
        <v>1998</v>
      </c>
      <c r="Y117" s="2">
        <f t="shared" si="22"/>
        <v>5992</v>
      </c>
      <c r="Z117" s="2">
        <f t="shared" si="23"/>
        <v>6787</v>
      </c>
      <c r="AA117" s="2">
        <f t="shared" si="24"/>
        <v>1220</v>
      </c>
      <c r="AB117" s="2">
        <f t="shared" si="25"/>
        <v>839</v>
      </c>
      <c r="AC117" s="2">
        <f t="shared" si="26"/>
        <v>649</v>
      </c>
      <c r="AD117" s="2">
        <f t="shared" si="27"/>
        <v>535</v>
      </c>
      <c r="AE117" s="2">
        <f t="shared" si="28"/>
        <v>459</v>
      </c>
      <c r="AF117" s="2" t="str">
        <f t="shared" si="29"/>
        <v>-</v>
      </c>
      <c r="AG117" s="2">
        <f t="shared" si="30"/>
        <v>2797</v>
      </c>
      <c r="AH117" s="2">
        <f t="shared" si="31"/>
        <v>5193</v>
      </c>
      <c r="AI117" s="2">
        <f t="shared" si="32"/>
        <v>5988</v>
      </c>
      <c r="AJ117" s="2">
        <f t="shared" si="33"/>
        <v>1077</v>
      </c>
      <c r="AK117" s="2">
        <f t="shared" si="34"/>
        <v>742</v>
      </c>
      <c r="AL117" s="2">
        <f t="shared" si="35"/>
        <v>574</v>
      </c>
      <c r="AM117" s="2">
        <f t="shared" si="36"/>
        <v>473</v>
      </c>
      <c r="AN117" s="2" t="str">
        <f t="shared" si="37"/>
        <v>-</v>
      </c>
      <c r="AO117" s="2" t="str">
        <f t="shared" si="38"/>
        <v>-</v>
      </c>
      <c r="AP117" s="2">
        <f t="shared" si="39"/>
        <v>3196</v>
      </c>
      <c r="AQ117" s="2">
        <f t="shared" si="40"/>
        <v>4794</v>
      </c>
      <c r="AR117" s="2">
        <f t="shared" si="41"/>
        <v>5589</v>
      </c>
      <c r="AS117" s="2">
        <f t="shared" si="42"/>
        <v>1006</v>
      </c>
      <c r="AT117" s="2">
        <f t="shared" si="43"/>
        <v>693</v>
      </c>
      <c r="AU117" s="2">
        <f t="shared" si="44"/>
        <v>536</v>
      </c>
      <c r="AV117" s="2" t="str">
        <f t="shared" si="45"/>
        <v>-</v>
      </c>
      <c r="AW117" s="2" t="str">
        <f t="shared" si="46"/>
        <v>-</v>
      </c>
      <c r="AX117" s="2" t="str">
        <f t="shared" si="47"/>
        <v>-</v>
      </c>
    </row>
    <row r="118" ht="14.25" customHeight="1">
      <c r="A118" s="2" t="str">
        <f t="array" ref="A118">IFERROR(INDEX('Product Price'!A:A,SMALL('Product Price'!$D:$D,116)),"")</f>
        <v>SAMSUNG Galaxy Tab S10 FE Wi-Fi 8/128 GB</v>
      </c>
      <c r="B118" s="2">
        <f t="array" ref="B118">IFERROR(INDEX('Product Price'!B:B,SMALL('Product Price'!$D:$D,116)),"")</f>
        <v>17900</v>
      </c>
      <c r="C118" s="2">
        <f t="array" ref="C118">IFERROR(INDEX('Product Price'!C:C,SMALL('Product Price'!$D:$D,116)),"")</f>
        <v>106</v>
      </c>
      <c r="D118" s="2">
        <f t="shared" si="1"/>
        <v>1450</v>
      </c>
      <c r="E118" s="2">
        <f t="shared" si="2"/>
        <v>19350</v>
      </c>
      <c r="F118" s="2">
        <f t="shared" si="48"/>
        <v>2685</v>
      </c>
      <c r="G118" s="2">
        <f t="shared" si="4"/>
        <v>15215</v>
      </c>
      <c r="H118" s="2">
        <f t="shared" si="5"/>
        <v>16665</v>
      </c>
      <c r="I118" s="2">
        <f t="shared" si="6"/>
        <v>2988</v>
      </c>
      <c r="J118" s="2">
        <f t="shared" si="7"/>
        <v>2056</v>
      </c>
      <c r="K118" s="2">
        <f t="shared" si="8"/>
        <v>1591</v>
      </c>
      <c r="L118" s="2">
        <f t="shared" si="9"/>
        <v>1311</v>
      </c>
      <c r="M118" s="2">
        <f t="shared" si="10"/>
        <v>1125</v>
      </c>
      <c r="N118" s="2">
        <f t="shared" si="11"/>
        <v>892</v>
      </c>
      <c r="O118" s="2">
        <f t="shared" si="12"/>
        <v>3580</v>
      </c>
      <c r="P118" s="2">
        <f t="shared" si="13"/>
        <v>14320</v>
      </c>
      <c r="Q118" s="2">
        <f t="shared" si="14"/>
        <v>15770</v>
      </c>
      <c r="R118" s="2">
        <f t="shared" si="15"/>
        <v>2828</v>
      </c>
      <c r="S118" s="2">
        <f t="shared" si="16"/>
        <v>1947</v>
      </c>
      <c r="T118" s="2">
        <f t="shared" si="17"/>
        <v>1506</v>
      </c>
      <c r="U118" s="2">
        <f t="shared" si="18"/>
        <v>1241</v>
      </c>
      <c r="V118" s="2">
        <f t="shared" si="19"/>
        <v>1065</v>
      </c>
      <c r="W118" s="2">
        <f t="shared" si="20"/>
        <v>844</v>
      </c>
      <c r="X118" s="2">
        <f t="shared" si="21"/>
        <v>4475</v>
      </c>
      <c r="Y118" s="2">
        <f t="shared" si="22"/>
        <v>13425</v>
      </c>
      <c r="Z118" s="2">
        <f t="shared" si="23"/>
        <v>14875</v>
      </c>
      <c r="AA118" s="2">
        <f t="shared" si="24"/>
        <v>2669</v>
      </c>
      <c r="AB118" s="2">
        <f t="shared" si="25"/>
        <v>1837</v>
      </c>
      <c r="AC118" s="2">
        <f t="shared" si="26"/>
        <v>1421</v>
      </c>
      <c r="AD118" s="2">
        <f t="shared" si="27"/>
        <v>1171</v>
      </c>
      <c r="AE118" s="2">
        <f t="shared" si="28"/>
        <v>1005</v>
      </c>
      <c r="AF118" s="2">
        <f t="shared" si="29"/>
        <v>797</v>
      </c>
      <c r="AG118" s="2">
        <f t="shared" si="30"/>
        <v>6265</v>
      </c>
      <c r="AH118" s="2">
        <f t="shared" si="31"/>
        <v>11635</v>
      </c>
      <c r="AI118" s="2">
        <f t="shared" si="32"/>
        <v>13085</v>
      </c>
      <c r="AJ118" s="2">
        <f t="shared" si="33"/>
        <v>2350</v>
      </c>
      <c r="AK118" s="2">
        <f t="shared" si="34"/>
        <v>1617</v>
      </c>
      <c r="AL118" s="2">
        <f t="shared" si="35"/>
        <v>1251</v>
      </c>
      <c r="AM118" s="2">
        <f t="shared" si="36"/>
        <v>1031</v>
      </c>
      <c r="AN118" s="2">
        <f t="shared" si="37"/>
        <v>885</v>
      </c>
      <c r="AO118" s="2">
        <f t="shared" si="38"/>
        <v>702</v>
      </c>
      <c r="AP118" s="2">
        <f t="shared" si="39"/>
        <v>7160</v>
      </c>
      <c r="AQ118" s="2">
        <f t="shared" si="40"/>
        <v>10740</v>
      </c>
      <c r="AR118" s="2">
        <f t="shared" si="41"/>
        <v>12190</v>
      </c>
      <c r="AS118" s="2">
        <f t="shared" si="42"/>
        <v>2190</v>
      </c>
      <c r="AT118" s="2">
        <f t="shared" si="43"/>
        <v>1508</v>
      </c>
      <c r="AU118" s="2">
        <f t="shared" si="44"/>
        <v>1166</v>
      </c>
      <c r="AV118" s="2">
        <f t="shared" si="45"/>
        <v>961</v>
      </c>
      <c r="AW118" s="2">
        <f t="shared" si="46"/>
        <v>825</v>
      </c>
      <c r="AX118" s="2">
        <f t="shared" si="47"/>
        <v>654</v>
      </c>
    </row>
    <row r="119" ht="14.25" customHeight="1">
      <c r="A119" s="2" t="str">
        <f t="array" ref="A119">IFERROR(INDEX('Product Price'!A:A,SMALL('Product Price'!$D:$D,117)),"")</f>
        <v>SAMSUNG Galaxy Tab S10 FE 5G 8/128 GB</v>
      </c>
      <c r="B119" s="2">
        <f t="array" ref="B119">IFERROR(INDEX('Product Price'!B:B,SMALL('Product Price'!$D:$D,117)),"")</f>
        <v>20900</v>
      </c>
      <c r="C119" s="2">
        <f t="array" ref="C119">IFERROR(INDEX('Product Price'!C:C,SMALL('Product Price'!$D:$D,117)),"")</f>
        <v>107</v>
      </c>
      <c r="D119" s="2">
        <f t="shared" si="1"/>
        <v>1900</v>
      </c>
      <c r="E119" s="2">
        <f t="shared" si="2"/>
        <v>22800</v>
      </c>
      <c r="F119" s="2">
        <f t="shared" si="48"/>
        <v>3135</v>
      </c>
      <c r="G119" s="2">
        <f t="shared" si="4"/>
        <v>17765</v>
      </c>
      <c r="H119" s="2">
        <f t="shared" si="5"/>
        <v>19665</v>
      </c>
      <c r="I119" s="2">
        <f t="shared" si="6"/>
        <v>3528</v>
      </c>
      <c r="J119" s="2">
        <f t="shared" si="7"/>
        <v>2428</v>
      </c>
      <c r="K119" s="2">
        <f t="shared" si="8"/>
        <v>1878</v>
      </c>
      <c r="L119" s="2">
        <f t="shared" si="9"/>
        <v>1548</v>
      </c>
      <c r="M119" s="2">
        <f t="shared" si="10"/>
        <v>1328</v>
      </c>
      <c r="N119" s="2">
        <f t="shared" si="11"/>
        <v>1053</v>
      </c>
      <c r="O119" s="2">
        <f t="shared" si="12"/>
        <v>4180</v>
      </c>
      <c r="P119" s="2">
        <f t="shared" si="13"/>
        <v>16720</v>
      </c>
      <c r="Q119" s="2">
        <f t="shared" si="14"/>
        <v>18620</v>
      </c>
      <c r="R119" s="2">
        <f t="shared" si="15"/>
        <v>3342</v>
      </c>
      <c r="S119" s="2">
        <f t="shared" si="16"/>
        <v>2300</v>
      </c>
      <c r="T119" s="2">
        <f t="shared" si="17"/>
        <v>1779</v>
      </c>
      <c r="U119" s="2">
        <f t="shared" si="18"/>
        <v>1466</v>
      </c>
      <c r="V119" s="2">
        <f t="shared" si="19"/>
        <v>1258</v>
      </c>
      <c r="W119" s="2">
        <f t="shared" si="20"/>
        <v>998</v>
      </c>
      <c r="X119" s="2">
        <f t="shared" si="21"/>
        <v>5225</v>
      </c>
      <c r="Y119" s="2">
        <f t="shared" si="22"/>
        <v>15675</v>
      </c>
      <c r="Z119" s="2">
        <f t="shared" si="23"/>
        <v>17575</v>
      </c>
      <c r="AA119" s="2">
        <f t="shared" si="24"/>
        <v>3155</v>
      </c>
      <c r="AB119" s="2">
        <f t="shared" si="25"/>
        <v>2172</v>
      </c>
      <c r="AC119" s="2">
        <f t="shared" si="26"/>
        <v>1680</v>
      </c>
      <c r="AD119" s="2">
        <f t="shared" si="27"/>
        <v>1385</v>
      </c>
      <c r="AE119" s="2">
        <f t="shared" si="28"/>
        <v>1188</v>
      </c>
      <c r="AF119" s="2">
        <f t="shared" si="29"/>
        <v>942</v>
      </c>
      <c r="AG119" s="2">
        <f t="shared" si="30"/>
        <v>7315</v>
      </c>
      <c r="AH119" s="2">
        <f t="shared" si="31"/>
        <v>13585</v>
      </c>
      <c r="AI119" s="2">
        <f t="shared" si="32"/>
        <v>15485</v>
      </c>
      <c r="AJ119" s="2">
        <f t="shared" si="33"/>
        <v>2783</v>
      </c>
      <c r="AK119" s="2">
        <f t="shared" si="34"/>
        <v>1915</v>
      </c>
      <c r="AL119" s="2">
        <f t="shared" si="35"/>
        <v>1482</v>
      </c>
      <c r="AM119" s="2">
        <f t="shared" si="36"/>
        <v>1221</v>
      </c>
      <c r="AN119" s="2">
        <f t="shared" si="37"/>
        <v>1048</v>
      </c>
      <c r="AO119" s="2">
        <f t="shared" si="38"/>
        <v>831</v>
      </c>
      <c r="AP119" s="2">
        <f t="shared" si="39"/>
        <v>8360</v>
      </c>
      <c r="AQ119" s="2">
        <f t="shared" si="40"/>
        <v>12540</v>
      </c>
      <c r="AR119" s="2">
        <f t="shared" si="41"/>
        <v>14440</v>
      </c>
      <c r="AS119" s="2">
        <f t="shared" si="42"/>
        <v>2597</v>
      </c>
      <c r="AT119" s="2">
        <f t="shared" si="43"/>
        <v>1787</v>
      </c>
      <c r="AU119" s="2">
        <f t="shared" si="44"/>
        <v>1383</v>
      </c>
      <c r="AV119" s="2">
        <f t="shared" si="45"/>
        <v>1140</v>
      </c>
      <c r="AW119" s="2">
        <f t="shared" si="46"/>
        <v>978</v>
      </c>
      <c r="AX119" s="2">
        <f t="shared" si="47"/>
        <v>775</v>
      </c>
    </row>
    <row r="120" ht="14.25" customHeight="1">
      <c r="A120" s="2" t="str">
        <f t="array" ref="A120">IFERROR(INDEX('Product Price'!A:A,SMALL('Product Price'!$D:$D,118)),"")</f>
        <v>SAMSUNG Galaxy Tab S10 FE+ Wi-Fi 12/256 GB</v>
      </c>
      <c r="B120" s="2">
        <f t="array" ref="B120">IFERROR(INDEX('Product Price'!B:B,SMALL('Product Price'!$D:$D,118)),"")</f>
        <v>26900</v>
      </c>
      <c r="C120" s="2">
        <f t="array" ref="C120">IFERROR(INDEX('Product Price'!C:C,SMALL('Product Price'!$D:$D,118)),"")</f>
        <v>108</v>
      </c>
      <c r="D120" s="2">
        <f t="shared" si="1"/>
        <v>1900</v>
      </c>
      <c r="E120" s="2">
        <f t="shared" si="2"/>
        <v>28800</v>
      </c>
      <c r="F120" s="2">
        <f t="shared" si="48"/>
        <v>4035</v>
      </c>
      <c r="G120" s="2">
        <f t="shared" si="4"/>
        <v>22865</v>
      </c>
      <c r="H120" s="2">
        <f t="shared" si="5"/>
        <v>24765</v>
      </c>
      <c r="I120" s="2">
        <f t="shared" si="6"/>
        <v>4436</v>
      </c>
      <c r="J120" s="2">
        <f t="shared" si="7"/>
        <v>3053</v>
      </c>
      <c r="K120" s="2">
        <f t="shared" si="8"/>
        <v>2362</v>
      </c>
      <c r="L120" s="2">
        <f t="shared" si="9"/>
        <v>1947</v>
      </c>
      <c r="M120" s="2">
        <f t="shared" si="10"/>
        <v>1670</v>
      </c>
      <c r="N120" s="2">
        <f t="shared" si="11"/>
        <v>1324</v>
      </c>
      <c r="O120" s="2">
        <f t="shared" si="12"/>
        <v>5380</v>
      </c>
      <c r="P120" s="2">
        <f t="shared" si="13"/>
        <v>21520</v>
      </c>
      <c r="Q120" s="2">
        <f t="shared" si="14"/>
        <v>23420</v>
      </c>
      <c r="R120" s="2">
        <f t="shared" si="15"/>
        <v>4197</v>
      </c>
      <c r="S120" s="2">
        <f t="shared" si="16"/>
        <v>2888</v>
      </c>
      <c r="T120" s="2">
        <f t="shared" si="17"/>
        <v>2234</v>
      </c>
      <c r="U120" s="2">
        <f t="shared" si="18"/>
        <v>1842</v>
      </c>
      <c r="V120" s="2">
        <f t="shared" si="19"/>
        <v>1580</v>
      </c>
      <c r="W120" s="2">
        <f t="shared" si="20"/>
        <v>1253</v>
      </c>
      <c r="X120" s="2">
        <f t="shared" si="21"/>
        <v>6725</v>
      </c>
      <c r="Y120" s="2">
        <f t="shared" si="22"/>
        <v>20175</v>
      </c>
      <c r="Z120" s="2">
        <f t="shared" si="23"/>
        <v>22075</v>
      </c>
      <c r="AA120" s="2">
        <f t="shared" si="24"/>
        <v>3957</v>
      </c>
      <c r="AB120" s="2">
        <f t="shared" si="25"/>
        <v>2723</v>
      </c>
      <c r="AC120" s="2">
        <f t="shared" si="26"/>
        <v>2107</v>
      </c>
      <c r="AD120" s="2">
        <f t="shared" si="27"/>
        <v>1736</v>
      </c>
      <c r="AE120" s="2">
        <f t="shared" si="28"/>
        <v>1490</v>
      </c>
      <c r="AF120" s="2">
        <f t="shared" si="29"/>
        <v>1181</v>
      </c>
      <c r="AG120" s="2">
        <f t="shared" si="30"/>
        <v>9415</v>
      </c>
      <c r="AH120" s="2">
        <f t="shared" si="31"/>
        <v>17485</v>
      </c>
      <c r="AI120" s="2">
        <f t="shared" si="32"/>
        <v>19385</v>
      </c>
      <c r="AJ120" s="2">
        <f t="shared" si="33"/>
        <v>3478</v>
      </c>
      <c r="AK120" s="2">
        <f t="shared" si="34"/>
        <v>2394</v>
      </c>
      <c r="AL120" s="2">
        <f t="shared" si="35"/>
        <v>1851</v>
      </c>
      <c r="AM120" s="2">
        <f t="shared" si="36"/>
        <v>1526</v>
      </c>
      <c r="AN120" s="2">
        <f t="shared" si="37"/>
        <v>1309</v>
      </c>
      <c r="AO120" s="2">
        <f t="shared" si="38"/>
        <v>1038</v>
      </c>
      <c r="AP120" s="2">
        <f t="shared" si="39"/>
        <v>10760</v>
      </c>
      <c r="AQ120" s="2">
        <f t="shared" si="40"/>
        <v>16140</v>
      </c>
      <c r="AR120" s="2">
        <f t="shared" si="41"/>
        <v>18040</v>
      </c>
      <c r="AS120" s="2">
        <f t="shared" si="42"/>
        <v>3238</v>
      </c>
      <c r="AT120" s="2">
        <f t="shared" si="43"/>
        <v>2229</v>
      </c>
      <c r="AU120" s="2">
        <f t="shared" si="44"/>
        <v>1724</v>
      </c>
      <c r="AV120" s="2">
        <f t="shared" si="45"/>
        <v>1421</v>
      </c>
      <c r="AW120" s="2">
        <f t="shared" si="46"/>
        <v>1219</v>
      </c>
      <c r="AX120" s="2">
        <f t="shared" si="47"/>
        <v>967</v>
      </c>
    </row>
    <row r="121" ht="14.25" customHeight="1">
      <c r="A121" s="2" t="str">
        <f t="array" ref="A121">IFERROR(INDEX('Product Price'!A:A,SMALL('Product Price'!$D:$D,119)),"")</f>
        <v>SAMSUNG Galaxy Tab S10 FE+ 5G 12/256 GB</v>
      </c>
      <c r="B121" s="2">
        <f t="array" ref="B121">IFERROR(INDEX('Product Price'!B:B,SMALL('Product Price'!$D:$D,119)),"")</f>
        <v>29900</v>
      </c>
      <c r="C121" s="2">
        <f t="array" ref="C121">IFERROR(INDEX('Product Price'!C:C,SMALL('Product Price'!$D:$D,119)),"")</f>
        <v>109</v>
      </c>
      <c r="D121" s="2">
        <f t="shared" si="1"/>
        <v>1900</v>
      </c>
      <c r="E121" s="2">
        <f t="shared" si="2"/>
        <v>31800</v>
      </c>
      <c r="F121" s="2">
        <f t="shared" si="48"/>
        <v>4485</v>
      </c>
      <c r="G121" s="2">
        <f t="shared" si="4"/>
        <v>25415</v>
      </c>
      <c r="H121" s="2">
        <f t="shared" si="5"/>
        <v>27315</v>
      </c>
      <c r="I121" s="2">
        <f t="shared" si="6"/>
        <v>4891</v>
      </c>
      <c r="J121" s="2">
        <f t="shared" si="7"/>
        <v>3366</v>
      </c>
      <c r="K121" s="2">
        <f t="shared" si="8"/>
        <v>2603</v>
      </c>
      <c r="L121" s="2">
        <f t="shared" si="9"/>
        <v>2146</v>
      </c>
      <c r="M121" s="2">
        <f t="shared" si="10"/>
        <v>1841</v>
      </c>
      <c r="N121" s="2">
        <f t="shared" si="11"/>
        <v>1460</v>
      </c>
      <c r="O121" s="2">
        <f t="shared" si="12"/>
        <v>5980</v>
      </c>
      <c r="P121" s="2">
        <f t="shared" si="13"/>
        <v>23920</v>
      </c>
      <c r="Q121" s="2">
        <f t="shared" si="14"/>
        <v>25820</v>
      </c>
      <c r="R121" s="2">
        <f t="shared" si="15"/>
        <v>4624</v>
      </c>
      <c r="S121" s="2">
        <f t="shared" si="16"/>
        <v>3183</v>
      </c>
      <c r="T121" s="2">
        <f t="shared" si="17"/>
        <v>2462</v>
      </c>
      <c r="U121" s="2">
        <f t="shared" si="18"/>
        <v>2029</v>
      </c>
      <c r="V121" s="2">
        <f t="shared" si="19"/>
        <v>1741</v>
      </c>
      <c r="W121" s="2">
        <f t="shared" si="20"/>
        <v>1380</v>
      </c>
      <c r="X121" s="2">
        <f t="shared" si="21"/>
        <v>7475</v>
      </c>
      <c r="Y121" s="2">
        <f t="shared" si="22"/>
        <v>22425</v>
      </c>
      <c r="Z121" s="2">
        <f t="shared" si="23"/>
        <v>24325</v>
      </c>
      <c r="AA121" s="2">
        <f t="shared" si="24"/>
        <v>4358</v>
      </c>
      <c r="AB121" s="2">
        <f t="shared" si="25"/>
        <v>2999</v>
      </c>
      <c r="AC121" s="2">
        <f t="shared" si="26"/>
        <v>2320</v>
      </c>
      <c r="AD121" s="2">
        <f t="shared" si="27"/>
        <v>1912</v>
      </c>
      <c r="AE121" s="2">
        <f t="shared" si="28"/>
        <v>1641</v>
      </c>
      <c r="AF121" s="2">
        <f t="shared" si="29"/>
        <v>1301</v>
      </c>
      <c r="AG121" s="2">
        <f t="shared" si="30"/>
        <v>10465</v>
      </c>
      <c r="AH121" s="2">
        <f t="shared" si="31"/>
        <v>19435</v>
      </c>
      <c r="AI121" s="2">
        <f t="shared" si="32"/>
        <v>21335</v>
      </c>
      <c r="AJ121" s="2">
        <f t="shared" si="33"/>
        <v>3825</v>
      </c>
      <c r="AK121" s="2">
        <f t="shared" si="34"/>
        <v>2633</v>
      </c>
      <c r="AL121" s="2">
        <f t="shared" si="35"/>
        <v>2036</v>
      </c>
      <c r="AM121" s="2">
        <f t="shared" si="36"/>
        <v>1679</v>
      </c>
      <c r="AN121" s="2">
        <f t="shared" si="37"/>
        <v>1440</v>
      </c>
      <c r="AO121" s="2">
        <f t="shared" si="38"/>
        <v>1142</v>
      </c>
      <c r="AP121" s="2">
        <f t="shared" si="39"/>
        <v>11960</v>
      </c>
      <c r="AQ121" s="2">
        <f t="shared" si="40"/>
        <v>17940</v>
      </c>
      <c r="AR121" s="2">
        <f t="shared" si="41"/>
        <v>19840</v>
      </c>
      <c r="AS121" s="2">
        <f t="shared" si="42"/>
        <v>3559</v>
      </c>
      <c r="AT121" s="2">
        <f t="shared" si="43"/>
        <v>2449</v>
      </c>
      <c r="AU121" s="2">
        <f t="shared" si="44"/>
        <v>1895</v>
      </c>
      <c r="AV121" s="2">
        <f t="shared" si="45"/>
        <v>1562</v>
      </c>
      <c r="AW121" s="2">
        <f t="shared" si="46"/>
        <v>1340</v>
      </c>
      <c r="AX121" s="2">
        <f t="shared" si="47"/>
        <v>1062</v>
      </c>
    </row>
    <row r="122" ht="14.25" customHeight="1">
      <c r="A122" s="2" t="str">
        <f t="array" ref="A122">IFERROR(INDEX('Product Price'!A:A,SMALL('Product Price'!$D:$D,120)),"")</f>
        <v>SAMSUNG Tab S10 Lite 5G</v>
      </c>
      <c r="B122" s="2">
        <f t="array" ref="B122">IFERROR(INDEX('Product Price'!B:B,SMALL('Product Price'!$D:$D,120)),"")</f>
        <v>15990</v>
      </c>
      <c r="C122" s="2">
        <f t="array" ref="C122">IFERROR(INDEX('Product Price'!C:C,SMALL('Product Price'!$D:$D,120)),"")</f>
        <v>110</v>
      </c>
      <c r="D122" s="2">
        <f t="shared" si="1"/>
        <v>1450</v>
      </c>
      <c r="E122" s="2">
        <f t="shared" si="2"/>
        <v>17440</v>
      </c>
      <c r="F122" s="2">
        <f t="shared" si="48"/>
        <v>2399</v>
      </c>
      <c r="G122" s="2">
        <f t="shared" si="4"/>
        <v>13591</v>
      </c>
      <c r="H122" s="2">
        <f t="shared" si="5"/>
        <v>15041</v>
      </c>
      <c r="I122" s="2">
        <f t="shared" si="6"/>
        <v>2698</v>
      </c>
      <c r="J122" s="2">
        <f t="shared" si="7"/>
        <v>1857</v>
      </c>
      <c r="K122" s="2">
        <f t="shared" si="8"/>
        <v>1437</v>
      </c>
      <c r="L122" s="2">
        <f t="shared" si="9"/>
        <v>1184</v>
      </c>
      <c r="M122" s="2">
        <f t="shared" si="10"/>
        <v>1016</v>
      </c>
      <c r="N122" s="2">
        <f t="shared" si="11"/>
        <v>806</v>
      </c>
      <c r="O122" s="2">
        <f t="shared" si="12"/>
        <v>3198</v>
      </c>
      <c r="P122" s="2">
        <f t="shared" si="13"/>
        <v>12792</v>
      </c>
      <c r="Q122" s="2">
        <f t="shared" si="14"/>
        <v>14242</v>
      </c>
      <c r="R122" s="2">
        <f t="shared" si="15"/>
        <v>2556</v>
      </c>
      <c r="S122" s="2">
        <f t="shared" si="16"/>
        <v>1759</v>
      </c>
      <c r="T122" s="2">
        <f t="shared" si="17"/>
        <v>1361</v>
      </c>
      <c r="U122" s="2">
        <f t="shared" si="18"/>
        <v>1122</v>
      </c>
      <c r="V122" s="2">
        <f t="shared" si="19"/>
        <v>962</v>
      </c>
      <c r="W122" s="2">
        <f t="shared" si="20"/>
        <v>763</v>
      </c>
      <c r="X122" s="2">
        <f t="shared" si="21"/>
        <v>3998</v>
      </c>
      <c r="Y122" s="2">
        <f t="shared" si="22"/>
        <v>11992</v>
      </c>
      <c r="Z122" s="2">
        <f t="shared" si="23"/>
        <v>13442</v>
      </c>
      <c r="AA122" s="2">
        <f t="shared" si="24"/>
        <v>2414</v>
      </c>
      <c r="AB122" s="2">
        <f t="shared" si="25"/>
        <v>1661</v>
      </c>
      <c r="AC122" s="2">
        <f t="shared" si="26"/>
        <v>1285</v>
      </c>
      <c r="AD122" s="2">
        <f t="shared" si="27"/>
        <v>1059</v>
      </c>
      <c r="AE122" s="2">
        <f t="shared" si="28"/>
        <v>909</v>
      </c>
      <c r="AF122" s="2">
        <f t="shared" si="29"/>
        <v>721</v>
      </c>
      <c r="AG122" s="2">
        <f t="shared" si="30"/>
        <v>5597</v>
      </c>
      <c r="AH122" s="2">
        <f t="shared" si="31"/>
        <v>10393</v>
      </c>
      <c r="AI122" s="2">
        <f t="shared" si="32"/>
        <v>11843</v>
      </c>
      <c r="AJ122" s="2">
        <f t="shared" si="33"/>
        <v>2129</v>
      </c>
      <c r="AK122" s="2">
        <f t="shared" si="34"/>
        <v>1465</v>
      </c>
      <c r="AL122" s="2">
        <f t="shared" si="35"/>
        <v>1133</v>
      </c>
      <c r="AM122" s="2">
        <f t="shared" si="36"/>
        <v>934</v>
      </c>
      <c r="AN122" s="2">
        <f t="shared" si="37"/>
        <v>801</v>
      </c>
      <c r="AO122" s="2">
        <f t="shared" si="38"/>
        <v>636</v>
      </c>
      <c r="AP122" s="2">
        <f t="shared" si="39"/>
        <v>6396</v>
      </c>
      <c r="AQ122" s="2">
        <f t="shared" si="40"/>
        <v>9594</v>
      </c>
      <c r="AR122" s="2">
        <f t="shared" si="41"/>
        <v>11044</v>
      </c>
      <c r="AS122" s="2">
        <f t="shared" si="42"/>
        <v>1986</v>
      </c>
      <c r="AT122" s="2">
        <f t="shared" si="43"/>
        <v>1367</v>
      </c>
      <c r="AU122" s="2">
        <f t="shared" si="44"/>
        <v>1057</v>
      </c>
      <c r="AV122" s="2">
        <f t="shared" si="45"/>
        <v>872</v>
      </c>
      <c r="AW122" s="2">
        <f t="shared" si="46"/>
        <v>748</v>
      </c>
      <c r="AX122" s="2">
        <f t="shared" si="47"/>
        <v>593</v>
      </c>
    </row>
    <row r="123" ht="14.25" customHeight="1">
      <c r="A123" s="2" t="str">
        <f t="array" ref="A123">IFERROR(INDEX('Product Price'!A:A,SMALL('Product Price'!$D:$D,121)),"")</f>
        <v>SAMSUNG Tab S10 Lite Wi-Fi</v>
      </c>
      <c r="B123" s="2">
        <f t="array" ref="B123">IFERROR(INDEX('Product Price'!B:B,SMALL('Product Price'!$D:$D,121)),"")</f>
        <v>11990</v>
      </c>
      <c r="C123" s="2">
        <f t="array" ref="C123">IFERROR(INDEX('Product Price'!C:C,SMALL('Product Price'!$D:$D,121)),"")</f>
        <v>111</v>
      </c>
      <c r="D123" s="2">
        <f t="shared" si="1"/>
        <v>1450</v>
      </c>
      <c r="E123" s="2">
        <f t="shared" si="2"/>
        <v>13440</v>
      </c>
      <c r="F123" s="2">
        <f t="shared" si="48"/>
        <v>1799</v>
      </c>
      <c r="G123" s="2">
        <f t="shared" si="4"/>
        <v>10191</v>
      </c>
      <c r="H123" s="2">
        <f t="shared" si="5"/>
        <v>11641</v>
      </c>
      <c r="I123" s="2">
        <f t="shared" si="6"/>
        <v>2093</v>
      </c>
      <c r="J123" s="2">
        <f t="shared" si="7"/>
        <v>1440</v>
      </c>
      <c r="K123" s="2">
        <f t="shared" si="8"/>
        <v>1114</v>
      </c>
      <c r="L123" s="2">
        <f t="shared" si="9"/>
        <v>918</v>
      </c>
      <c r="M123" s="2">
        <f t="shared" si="10"/>
        <v>788</v>
      </c>
      <c r="N123" s="2">
        <f t="shared" si="11"/>
        <v>625</v>
      </c>
      <c r="O123" s="2">
        <f t="shared" si="12"/>
        <v>2398</v>
      </c>
      <c r="P123" s="2">
        <f t="shared" si="13"/>
        <v>9592</v>
      </c>
      <c r="Q123" s="2">
        <f t="shared" si="14"/>
        <v>11042</v>
      </c>
      <c r="R123" s="2">
        <f t="shared" si="15"/>
        <v>1986</v>
      </c>
      <c r="S123" s="2">
        <f t="shared" si="16"/>
        <v>1367</v>
      </c>
      <c r="T123" s="2">
        <f t="shared" si="17"/>
        <v>1057</v>
      </c>
      <c r="U123" s="2">
        <f t="shared" si="18"/>
        <v>872</v>
      </c>
      <c r="V123" s="2">
        <f t="shared" si="19"/>
        <v>748</v>
      </c>
      <c r="W123" s="2">
        <f t="shared" si="20"/>
        <v>593</v>
      </c>
      <c r="X123" s="2">
        <f t="shared" si="21"/>
        <v>2998</v>
      </c>
      <c r="Y123" s="2">
        <f t="shared" si="22"/>
        <v>8992</v>
      </c>
      <c r="Z123" s="2">
        <f t="shared" si="23"/>
        <v>10442</v>
      </c>
      <c r="AA123" s="2">
        <f t="shared" si="24"/>
        <v>1879</v>
      </c>
      <c r="AB123" s="2">
        <f t="shared" si="25"/>
        <v>1293</v>
      </c>
      <c r="AC123" s="2">
        <f t="shared" si="26"/>
        <v>1000</v>
      </c>
      <c r="AD123" s="2">
        <f t="shared" si="27"/>
        <v>825</v>
      </c>
      <c r="AE123" s="2">
        <f t="shared" si="28"/>
        <v>708</v>
      </c>
      <c r="AF123" s="2">
        <f t="shared" si="29"/>
        <v>561</v>
      </c>
      <c r="AG123" s="2">
        <f t="shared" si="30"/>
        <v>4197</v>
      </c>
      <c r="AH123" s="2">
        <f t="shared" si="31"/>
        <v>7793</v>
      </c>
      <c r="AI123" s="2">
        <f t="shared" si="32"/>
        <v>9243</v>
      </c>
      <c r="AJ123" s="2">
        <f t="shared" si="33"/>
        <v>1665</v>
      </c>
      <c r="AK123" s="2">
        <f t="shared" si="34"/>
        <v>1146</v>
      </c>
      <c r="AL123" s="2">
        <f t="shared" si="35"/>
        <v>887</v>
      </c>
      <c r="AM123" s="2">
        <f t="shared" si="36"/>
        <v>731</v>
      </c>
      <c r="AN123" s="2">
        <f t="shared" si="37"/>
        <v>627</v>
      </c>
      <c r="AO123" s="2">
        <f t="shared" si="38"/>
        <v>497</v>
      </c>
      <c r="AP123" s="2">
        <f t="shared" si="39"/>
        <v>4796</v>
      </c>
      <c r="AQ123" s="2">
        <f t="shared" si="40"/>
        <v>7194</v>
      </c>
      <c r="AR123" s="2">
        <f t="shared" si="41"/>
        <v>8644</v>
      </c>
      <c r="AS123" s="2">
        <f t="shared" si="42"/>
        <v>1559</v>
      </c>
      <c r="AT123" s="2">
        <f t="shared" si="43"/>
        <v>1073</v>
      </c>
      <c r="AU123" s="2">
        <f t="shared" si="44"/>
        <v>830</v>
      </c>
      <c r="AV123" s="2">
        <f t="shared" si="45"/>
        <v>684</v>
      </c>
      <c r="AW123" s="2">
        <f t="shared" si="46"/>
        <v>587</v>
      </c>
      <c r="AX123" s="2" t="str">
        <f t="shared" si="47"/>
        <v>-</v>
      </c>
    </row>
    <row r="124" ht="14.25" customHeight="1">
      <c r="A124" s="2" t="str">
        <f t="array" ref="A124">IFERROR(INDEX('Product Price'!A:A,SMALL('Product Price'!$D:$D,122)),"")</f>
        <v>SAMSUNG Galaxy Tab S10+Wi-Fi 12/256 GB</v>
      </c>
      <c r="B124" s="2">
        <f t="array" ref="B124">IFERROR(INDEX('Product Price'!B:B,SMALL('Product Price'!$D:$D,122)),"")</f>
        <v>36900</v>
      </c>
      <c r="C124" s="2">
        <f t="array" ref="C124">IFERROR(INDEX('Product Price'!C:C,SMALL('Product Price'!$D:$D,122)),"")</f>
        <v>112</v>
      </c>
      <c r="D124" s="2">
        <f t="shared" si="1"/>
        <v>1900</v>
      </c>
      <c r="E124" s="2">
        <f t="shared" si="2"/>
        <v>38800</v>
      </c>
      <c r="F124" s="2">
        <f t="shared" si="48"/>
        <v>5535</v>
      </c>
      <c r="G124" s="2">
        <f t="shared" si="4"/>
        <v>31365</v>
      </c>
      <c r="H124" s="2">
        <f t="shared" si="5"/>
        <v>33265</v>
      </c>
      <c r="I124" s="2">
        <f t="shared" si="6"/>
        <v>5951</v>
      </c>
      <c r="J124" s="2">
        <f t="shared" si="7"/>
        <v>4095</v>
      </c>
      <c r="K124" s="2">
        <f t="shared" si="8"/>
        <v>3168</v>
      </c>
      <c r="L124" s="2">
        <f t="shared" si="9"/>
        <v>2611</v>
      </c>
      <c r="M124" s="2">
        <f t="shared" si="10"/>
        <v>2240</v>
      </c>
      <c r="N124" s="2">
        <f t="shared" si="11"/>
        <v>1776</v>
      </c>
      <c r="O124" s="2">
        <f t="shared" si="12"/>
        <v>7380</v>
      </c>
      <c r="P124" s="2">
        <f t="shared" si="13"/>
        <v>29520</v>
      </c>
      <c r="Q124" s="2">
        <f t="shared" si="14"/>
        <v>31420</v>
      </c>
      <c r="R124" s="2">
        <f t="shared" si="15"/>
        <v>5622</v>
      </c>
      <c r="S124" s="2">
        <f t="shared" si="16"/>
        <v>3869</v>
      </c>
      <c r="T124" s="2">
        <f t="shared" si="17"/>
        <v>2993</v>
      </c>
      <c r="U124" s="2">
        <f t="shared" si="18"/>
        <v>2467</v>
      </c>
      <c r="V124" s="2">
        <f t="shared" si="19"/>
        <v>2116</v>
      </c>
      <c r="W124" s="2">
        <f t="shared" si="20"/>
        <v>1678</v>
      </c>
      <c r="X124" s="2">
        <f t="shared" si="21"/>
        <v>9225</v>
      </c>
      <c r="Y124" s="2">
        <f t="shared" si="22"/>
        <v>27675</v>
      </c>
      <c r="Z124" s="2">
        <f t="shared" si="23"/>
        <v>29575</v>
      </c>
      <c r="AA124" s="2">
        <f t="shared" si="24"/>
        <v>5293</v>
      </c>
      <c r="AB124" s="2">
        <f t="shared" si="25"/>
        <v>3643</v>
      </c>
      <c r="AC124" s="2">
        <f t="shared" si="26"/>
        <v>2818</v>
      </c>
      <c r="AD124" s="2">
        <f t="shared" si="27"/>
        <v>2323</v>
      </c>
      <c r="AE124" s="2">
        <f t="shared" si="28"/>
        <v>1993</v>
      </c>
      <c r="AF124" s="2">
        <f t="shared" si="29"/>
        <v>1580</v>
      </c>
      <c r="AG124" s="2">
        <f t="shared" si="30"/>
        <v>12915</v>
      </c>
      <c r="AH124" s="2">
        <f t="shared" si="31"/>
        <v>23985</v>
      </c>
      <c r="AI124" s="2">
        <f t="shared" si="32"/>
        <v>25885</v>
      </c>
      <c r="AJ124" s="2">
        <f t="shared" si="33"/>
        <v>4636</v>
      </c>
      <c r="AK124" s="2">
        <f t="shared" si="34"/>
        <v>3191</v>
      </c>
      <c r="AL124" s="2">
        <f t="shared" si="35"/>
        <v>2468</v>
      </c>
      <c r="AM124" s="2">
        <f t="shared" si="36"/>
        <v>2034</v>
      </c>
      <c r="AN124" s="2">
        <f t="shared" si="37"/>
        <v>1745</v>
      </c>
      <c r="AO124" s="2">
        <f t="shared" si="38"/>
        <v>1384</v>
      </c>
      <c r="AP124" s="2">
        <f t="shared" si="39"/>
        <v>14760</v>
      </c>
      <c r="AQ124" s="2">
        <f t="shared" si="40"/>
        <v>22140</v>
      </c>
      <c r="AR124" s="2">
        <f t="shared" si="41"/>
        <v>24040</v>
      </c>
      <c r="AS124" s="2">
        <f t="shared" si="42"/>
        <v>4307</v>
      </c>
      <c r="AT124" s="2">
        <f t="shared" si="43"/>
        <v>2964</v>
      </c>
      <c r="AU124" s="2">
        <f t="shared" si="44"/>
        <v>2293</v>
      </c>
      <c r="AV124" s="2">
        <f t="shared" si="45"/>
        <v>1890</v>
      </c>
      <c r="AW124" s="2">
        <f t="shared" si="46"/>
        <v>1621</v>
      </c>
      <c r="AX124" s="2">
        <f t="shared" si="47"/>
        <v>1286</v>
      </c>
    </row>
    <row r="125" ht="14.25" customHeight="1">
      <c r="A125" s="2" t="str">
        <f t="array" ref="A125">IFERROR(INDEX('Product Price'!A:A,SMALL('Product Price'!$D:$D,123)),"")</f>
        <v>SAMSUNG Galaxy Tab S10+ 5G 12/256 GB</v>
      </c>
      <c r="B125" s="2">
        <f t="array" ref="B125">IFERROR(INDEX('Product Price'!B:B,SMALL('Product Price'!$D:$D,123)),"")</f>
        <v>41900</v>
      </c>
      <c r="C125" s="2">
        <f t="array" ref="C125">IFERROR(INDEX('Product Price'!C:C,SMALL('Product Price'!$D:$D,123)),"")</f>
        <v>113</v>
      </c>
      <c r="D125" s="2">
        <f t="shared" si="1"/>
        <v>2475</v>
      </c>
      <c r="E125" s="2">
        <f t="shared" si="2"/>
        <v>44375</v>
      </c>
      <c r="F125" s="2">
        <f t="shared" si="48"/>
        <v>6285</v>
      </c>
      <c r="G125" s="2">
        <f t="shared" si="4"/>
        <v>35615</v>
      </c>
      <c r="H125" s="2">
        <f t="shared" si="5"/>
        <v>38090</v>
      </c>
      <c r="I125" s="2">
        <f t="shared" si="6"/>
        <v>6818</v>
      </c>
      <c r="J125" s="2">
        <f t="shared" si="7"/>
        <v>4692</v>
      </c>
      <c r="K125" s="2">
        <f t="shared" si="8"/>
        <v>3629</v>
      </c>
      <c r="L125" s="2">
        <f t="shared" si="9"/>
        <v>2991</v>
      </c>
      <c r="M125" s="2">
        <f t="shared" si="10"/>
        <v>2566</v>
      </c>
      <c r="N125" s="2">
        <f t="shared" si="11"/>
        <v>2035</v>
      </c>
      <c r="O125" s="2">
        <f t="shared" si="12"/>
        <v>8380</v>
      </c>
      <c r="P125" s="2">
        <f t="shared" si="13"/>
        <v>33520</v>
      </c>
      <c r="Q125" s="2">
        <f t="shared" si="14"/>
        <v>35995</v>
      </c>
      <c r="R125" s="2">
        <f t="shared" si="15"/>
        <v>6444</v>
      </c>
      <c r="S125" s="2">
        <f t="shared" si="16"/>
        <v>4435</v>
      </c>
      <c r="T125" s="2">
        <f t="shared" si="17"/>
        <v>3430</v>
      </c>
      <c r="U125" s="2">
        <f t="shared" si="18"/>
        <v>2828</v>
      </c>
      <c r="V125" s="2">
        <f t="shared" si="19"/>
        <v>2426</v>
      </c>
      <c r="W125" s="2">
        <f t="shared" si="20"/>
        <v>1923</v>
      </c>
      <c r="X125" s="2">
        <f t="shared" si="21"/>
        <v>10475</v>
      </c>
      <c r="Y125" s="2">
        <f t="shared" si="22"/>
        <v>31425</v>
      </c>
      <c r="Z125" s="2">
        <f t="shared" si="23"/>
        <v>33900</v>
      </c>
      <c r="AA125" s="2">
        <f t="shared" si="24"/>
        <v>6071</v>
      </c>
      <c r="AB125" s="2">
        <f t="shared" si="25"/>
        <v>4178</v>
      </c>
      <c r="AC125" s="2">
        <f t="shared" si="26"/>
        <v>3232</v>
      </c>
      <c r="AD125" s="2">
        <f t="shared" si="27"/>
        <v>2664</v>
      </c>
      <c r="AE125" s="2">
        <f t="shared" si="28"/>
        <v>2285</v>
      </c>
      <c r="AF125" s="2">
        <f t="shared" si="29"/>
        <v>1812</v>
      </c>
      <c r="AG125" s="2">
        <f t="shared" si="30"/>
        <v>14665</v>
      </c>
      <c r="AH125" s="2">
        <f t="shared" si="31"/>
        <v>27235</v>
      </c>
      <c r="AI125" s="2">
        <f t="shared" si="32"/>
        <v>29710</v>
      </c>
      <c r="AJ125" s="2">
        <f t="shared" si="33"/>
        <v>5325</v>
      </c>
      <c r="AK125" s="2">
        <f t="shared" si="34"/>
        <v>3665</v>
      </c>
      <c r="AL125" s="2">
        <f t="shared" si="35"/>
        <v>2834</v>
      </c>
      <c r="AM125" s="2">
        <f t="shared" si="36"/>
        <v>2336</v>
      </c>
      <c r="AN125" s="2">
        <f t="shared" si="37"/>
        <v>2004</v>
      </c>
      <c r="AO125" s="2">
        <f t="shared" si="38"/>
        <v>1589</v>
      </c>
      <c r="AP125" s="2">
        <f t="shared" si="39"/>
        <v>16760</v>
      </c>
      <c r="AQ125" s="2">
        <f t="shared" si="40"/>
        <v>25140</v>
      </c>
      <c r="AR125" s="2">
        <f t="shared" si="41"/>
        <v>27615</v>
      </c>
      <c r="AS125" s="2">
        <f t="shared" si="42"/>
        <v>4951</v>
      </c>
      <c r="AT125" s="2">
        <f t="shared" si="43"/>
        <v>3408</v>
      </c>
      <c r="AU125" s="2">
        <f t="shared" si="44"/>
        <v>2636</v>
      </c>
      <c r="AV125" s="2">
        <f t="shared" si="45"/>
        <v>2173</v>
      </c>
      <c r="AW125" s="2">
        <f t="shared" si="46"/>
        <v>1864</v>
      </c>
      <c r="AX125" s="2">
        <f t="shared" si="47"/>
        <v>1478</v>
      </c>
    </row>
    <row r="126" ht="14.25" customHeight="1">
      <c r="A126" s="2" t="str">
        <f t="array" ref="A126">IFERROR(INDEX('Product Price'!A:A,SMALL('Product Price'!$D:$D,124)),"")</f>
        <v>SAMSUNG Galaxy Tab S11 5G 8/128 GB</v>
      </c>
      <c r="B126" s="2">
        <f t="array" ref="B126">IFERROR(INDEX('Product Price'!B:B,SMALL('Product Price'!$D:$D,124)),"")</f>
        <v>31900</v>
      </c>
      <c r="C126" s="2">
        <f t="array" ref="C126">IFERROR(INDEX('Product Price'!C:C,SMALL('Product Price'!$D:$D,124)),"")</f>
        <v>114</v>
      </c>
      <c r="D126" s="2">
        <f t="shared" si="1"/>
        <v>1900</v>
      </c>
      <c r="E126" s="2">
        <f t="shared" si="2"/>
        <v>33800</v>
      </c>
      <c r="F126" s="2">
        <f t="shared" si="48"/>
        <v>4785</v>
      </c>
      <c r="G126" s="2">
        <f t="shared" si="4"/>
        <v>27115</v>
      </c>
      <c r="H126" s="2">
        <f t="shared" si="5"/>
        <v>29015</v>
      </c>
      <c r="I126" s="2">
        <f t="shared" si="6"/>
        <v>5194</v>
      </c>
      <c r="J126" s="2">
        <f t="shared" si="7"/>
        <v>3574</v>
      </c>
      <c r="K126" s="2">
        <f t="shared" si="8"/>
        <v>2765</v>
      </c>
      <c r="L126" s="2">
        <f t="shared" si="9"/>
        <v>2279</v>
      </c>
      <c r="M126" s="2">
        <f t="shared" si="10"/>
        <v>1955</v>
      </c>
      <c r="N126" s="2">
        <f t="shared" si="11"/>
        <v>1550</v>
      </c>
      <c r="O126" s="2">
        <f t="shared" si="12"/>
        <v>6380</v>
      </c>
      <c r="P126" s="2">
        <f t="shared" si="13"/>
        <v>25520</v>
      </c>
      <c r="Q126" s="2">
        <f t="shared" si="14"/>
        <v>27420</v>
      </c>
      <c r="R126" s="2">
        <f t="shared" si="15"/>
        <v>4910</v>
      </c>
      <c r="S126" s="2">
        <f t="shared" si="16"/>
        <v>3379</v>
      </c>
      <c r="T126" s="2">
        <f t="shared" si="17"/>
        <v>2613</v>
      </c>
      <c r="U126" s="2">
        <f t="shared" si="18"/>
        <v>2154</v>
      </c>
      <c r="V126" s="2">
        <f t="shared" si="19"/>
        <v>1848</v>
      </c>
      <c r="W126" s="2">
        <f t="shared" si="20"/>
        <v>1465</v>
      </c>
      <c r="X126" s="2">
        <f t="shared" si="21"/>
        <v>7975</v>
      </c>
      <c r="Y126" s="2">
        <f t="shared" si="22"/>
        <v>23925</v>
      </c>
      <c r="Z126" s="2">
        <f t="shared" si="23"/>
        <v>25825</v>
      </c>
      <c r="AA126" s="2">
        <f t="shared" si="24"/>
        <v>4625</v>
      </c>
      <c r="AB126" s="2">
        <f t="shared" si="25"/>
        <v>3183</v>
      </c>
      <c r="AC126" s="2">
        <f t="shared" si="26"/>
        <v>2462</v>
      </c>
      <c r="AD126" s="2">
        <f t="shared" si="27"/>
        <v>2030</v>
      </c>
      <c r="AE126" s="2">
        <f t="shared" si="28"/>
        <v>1741</v>
      </c>
      <c r="AF126" s="2">
        <f t="shared" si="29"/>
        <v>1381</v>
      </c>
      <c r="AG126" s="2">
        <f t="shared" si="30"/>
        <v>11165</v>
      </c>
      <c r="AH126" s="2">
        <f t="shared" si="31"/>
        <v>20735</v>
      </c>
      <c r="AI126" s="2">
        <f t="shared" si="32"/>
        <v>22635</v>
      </c>
      <c r="AJ126" s="2">
        <f t="shared" si="33"/>
        <v>4057</v>
      </c>
      <c r="AK126" s="2">
        <f t="shared" si="34"/>
        <v>2792</v>
      </c>
      <c r="AL126" s="2">
        <f t="shared" si="35"/>
        <v>2160</v>
      </c>
      <c r="AM126" s="2">
        <f t="shared" si="36"/>
        <v>1780</v>
      </c>
      <c r="AN126" s="2">
        <f t="shared" si="37"/>
        <v>1527</v>
      </c>
      <c r="AO126" s="2">
        <f t="shared" si="38"/>
        <v>1211</v>
      </c>
      <c r="AP126" s="2">
        <f t="shared" si="39"/>
        <v>12760</v>
      </c>
      <c r="AQ126" s="2">
        <f t="shared" si="40"/>
        <v>19140</v>
      </c>
      <c r="AR126" s="2">
        <f t="shared" si="41"/>
        <v>21040</v>
      </c>
      <c r="AS126" s="2">
        <f t="shared" si="42"/>
        <v>3773</v>
      </c>
      <c r="AT126" s="2">
        <f t="shared" si="43"/>
        <v>2597</v>
      </c>
      <c r="AU126" s="2">
        <f t="shared" si="44"/>
        <v>2008</v>
      </c>
      <c r="AV126" s="2">
        <f t="shared" si="45"/>
        <v>1656</v>
      </c>
      <c r="AW126" s="2">
        <f t="shared" si="46"/>
        <v>1420</v>
      </c>
      <c r="AX126" s="2">
        <f t="shared" si="47"/>
        <v>1126</v>
      </c>
    </row>
    <row r="127" ht="14.25" customHeight="1">
      <c r="A127" s="2" t="str">
        <f t="array" ref="A127">IFERROR(INDEX('Product Price'!A:A,SMALL('Product Price'!$D:$D,125)),"")</f>
        <v>SAMSUNG Galaxy Tab S11 5G 12/256 GB</v>
      </c>
      <c r="B127" s="2">
        <f t="array" ref="B127">IFERROR(INDEX('Product Price'!B:B,SMALL('Product Price'!$D:$D,125)),"")</f>
        <v>33900</v>
      </c>
      <c r="C127" s="2">
        <f t="array" ref="C127">IFERROR(INDEX('Product Price'!C:C,SMALL('Product Price'!$D:$D,125)),"")</f>
        <v>115</v>
      </c>
      <c r="D127" s="2">
        <f t="shared" si="1"/>
        <v>1900</v>
      </c>
      <c r="E127" s="2">
        <f t="shared" si="2"/>
        <v>35800</v>
      </c>
      <c r="F127" s="2">
        <f t="shared" si="48"/>
        <v>5085</v>
      </c>
      <c r="G127" s="2">
        <f t="shared" si="4"/>
        <v>28815</v>
      </c>
      <c r="H127" s="2">
        <f t="shared" si="5"/>
        <v>30715</v>
      </c>
      <c r="I127" s="2">
        <f t="shared" si="6"/>
        <v>5497</v>
      </c>
      <c r="J127" s="2">
        <f t="shared" si="7"/>
        <v>3783</v>
      </c>
      <c r="K127" s="2">
        <f t="shared" si="8"/>
        <v>2926</v>
      </c>
      <c r="L127" s="2">
        <f t="shared" si="9"/>
        <v>2412</v>
      </c>
      <c r="M127" s="2">
        <f t="shared" si="10"/>
        <v>2069</v>
      </c>
      <c r="N127" s="2">
        <f t="shared" si="11"/>
        <v>1641</v>
      </c>
      <c r="O127" s="2">
        <f t="shared" si="12"/>
        <v>6780</v>
      </c>
      <c r="P127" s="2">
        <f t="shared" si="13"/>
        <v>27120</v>
      </c>
      <c r="Q127" s="2">
        <f t="shared" si="14"/>
        <v>29020</v>
      </c>
      <c r="R127" s="2">
        <f t="shared" si="15"/>
        <v>5195</v>
      </c>
      <c r="S127" s="2">
        <f t="shared" si="16"/>
        <v>3575</v>
      </c>
      <c r="T127" s="2">
        <f t="shared" si="17"/>
        <v>2765</v>
      </c>
      <c r="U127" s="2">
        <f t="shared" si="18"/>
        <v>2279</v>
      </c>
      <c r="V127" s="2">
        <f t="shared" si="19"/>
        <v>1955</v>
      </c>
      <c r="W127" s="2">
        <f t="shared" si="20"/>
        <v>1550</v>
      </c>
      <c r="X127" s="2">
        <f t="shared" si="21"/>
        <v>8475</v>
      </c>
      <c r="Y127" s="2">
        <f t="shared" si="22"/>
        <v>25425</v>
      </c>
      <c r="Z127" s="2">
        <f t="shared" si="23"/>
        <v>27325</v>
      </c>
      <c r="AA127" s="2">
        <f t="shared" si="24"/>
        <v>4893</v>
      </c>
      <c r="AB127" s="2">
        <f t="shared" si="25"/>
        <v>3367</v>
      </c>
      <c r="AC127" s="2">
        <f t="shared" si="26"/>
        <v>2604</v>
      </c>
      <c r="AD127" s="2">
        <f t="shared" si="27"/>
        <v>2147</v>
      </c>
      <c r="AE127" s="2">
        <f t="shared" si="28"/>
        <v>1842</v>
      </c>
      <c r="AF127" s="2">
        <f t="shared" si="29"/>
        <v>1460</v>
      </c>
      <c r="AG127" s="2">
        <f t="shared" si="30"/>
        <v>11865</v>
      </c>
      <c r="AH127" s="2">
        <f t="shared" si="31"/>
        <v>22035</v>
      </c>
      <c r="AI127" s="2">
        <f t="shared" si="32"/>
        <v>23935</v>
      </c>
      <c r="AJ127" s="2">
        <f t="shared" si="33"/>
        <v>4289</v>
      </c>
      <c r="AK127" s="2">
        <f t="shared" si="34"/>
        <v>2952</v>
      </c>
      <c r="AL127" s="2">
        <f t="shared" si="35"/>
        <v>2283</v>
      </c>
      <c r="AM127" s="2">
        <f t="shared" si="36"/>
        <v>1882</v>
      </c>
      <c r="AN127" s="2">
        <f t="shared" si="37"/>
        <v>1614</v>
      </c>
      <c r="AO127" s="2">
        <f t="shared" si="38"/>
        <v>1280</v>
      </c>
      <c r="AP127" s="2">
        <f t="shared" si="39"/>
        <v>13560</v>
      </c>
      <c r="AQ127" s="2">
        <f t="shared" si="40"/>
        <v>20340</v>
      </c>
      <c r="AR127" s="2">
        <f t="shared" si="41"/>
        <v>22240</v>
      </c>
      <c r="AS127" s="2">
        <f t="shared" si="42"/>
        <v>3987</v>
      </c>
      <c r="AT127" s="2">
        <f t="shared" si="43"/>
        <v>2744</v>
      </c>
      <c r="AU127" s="2">
        <f t="shared" si="44"/>
        <v>2122</v>
      </c>
      <c r="AV127" s="2">
        <f t="shared" si="45"/>
        <v>1749</v>
      </c>
      <c r="AW127" s="2">
        <f t="shared" si="46"/>
        <v>1501</v>
      </c>
      <c r="AX127" s="2">
        <f t="shared" si="47"/>
        <v>1190</v>
      </c>
    </row>
    <row r="128" ht="14.25" customHeight="1">
      <c r="A128" s="2" t="str">
        <f t="array" ref="A128">IFERROR(INDEX('Product Price'!A:A,SMALL('Product Price'!$D:$D,126)),"")</f>
        <v>SAMSUNG Galaxy Tab S11 Ultra 12/256 GB</v>
      </c>
      <c r="B128" s="2">
        <f t="array" ref="B128">IFERROR(INDEX('Product Price'!B:B,SMALL('Product Price'!$D:$D,126)),"")</f>
        <v>45900</v>
      </c>
      <c r="C128" s="2">
        <f t="array" ref="C128">IFERROR(INDEX('Product Price'!C:C,SMALL('Product Price'!$D:$D,126)),"")</f>
        <v>116</v>
      </c>
      <c r="D128" s="2">
        <f t="shared" si="1"/>
        <v>2475</v>
      </c>
      <c r="E128" s="2">
        <f t="shared" si="2"/>
        <v>48375</v>
      </c>
      <c r="F128" s="2">
        <f t="shared" si="48"/>
        <v>6885</v>
      </c>
      <c r="G128" s="2">
        <f t="shared" si="4"/>
        <v>39015</v>
      </c>
      <c r="H128" s="2">
        <f t="shared" si="5"/>
        <v>41490</v>
      </c>
      <c r="I128" s="2">
        <f t="shared" si="6"/>
        <v>7424</v>
      </c>
      <c r="J128" s="2">
        <f t="shared" si="7"/>
        <v>5109</v>
      </c>
      <c r="K128" s="2">
        <f t="shared" si="8"/>
        <v>3952</v>
      </c>
      <c r="L128" s="2">
        <f t="shared" si="9"/>
        <v>3257</v>
      </c>
      <c r="M128" s="2">
        <f t="shared" si="10"/>
        <v>2794</v>
      </c>
      <c r="N128" s="2">
        <f t="shared" si="11"/>
        <v>2216</v>
      </c>
      <c r="O128" s="2">
        <f t="shared" si="12"/>
        <v>9180</v>
      </c>
      <c r="P128" s="2">
        <f t="shared" si="13"/>
        <v>36720</v>
      </c>
      <c r="Q128" s="2">
        <f t="shared" si="14"/>
        <v>39195</v>
      </c>
      <c r="R128" s="2">
        <f t="shared" si="15"/>
        <v>7015</v>
      </c>
      <c r="S128" s="2">
        <f t="shared" si="16"/>
        <v>4827</v>
      </c>
      <c r="T128" s="2">
        <f t="shared" si="17"/>
        <v>3734</v>
      </c>
      <c r="U128" s="2">
        <f t="shared" si="18"/>
        <v>3078</v>
      </c>
      <c r="V128" s="2">
        <f t="shared" si="19"/>
        <v>2640</v>
      </c>
      <c r="W128" s="2">
        <f t="shared" si="20"/>
        <v>2094</v>
      </c>
      <c r="X128" s="2">
        <f t="shared" si="21"/>
        <v>11475</v>
      </c>
      <c r="Y128" s="2">
        <f t="shared" si="22"/>
        <v>34425</v>
      </c>
      <c r="Z128" s="2">
        <f t="shared" si="23"/>
        <v>36900</v>
      </c>
      <c r="AA128" s="2">
        <f t="shared" si="24"/>
        <v>6606</v>
      </c>
      <c r="AB128" s="2">
        <f t="shared" si="25"/>
        <v>4546</v>
      </c>
      <c r="AC128" s="2">
        <f t="shared" si="26"/>
        <v>3516</v>
      </c>
      <c r="AD128" s="2">
        <f t="shared" si="27"/>
        <v>2898</v>
      </c>
      <c r="AE128" s="2">
        <f t="shared" si="28"/>
        <v>2486</v>
      </c>
      <c r="AF128" s="2">
        <f t="shared" si="29"/>
        <v>1972</v>
      </c>
      <c r="AG128" s="2">
        <f t="shared" si="30"/>
        <v>16065</v>
      </c>
      <c r="AH128" s="2">
        <f t="shared" si="31"/>
        <v>29835</v>
      </c>
      <c r="AI128" s="2">
        <f t="shared" si="32"/>
        <v>32310</v>
      </c>
      <c r="AJ128" s="2">
        <f t="shared" si="33"/>
        <v>5788</v>
      </c>
      <c r="AK128" s="2">
        <f t="shared" si="34"/>
        <v>3983</v>
      </c>
      <c r="AL128" s="2">
        <f t="shared" si="35"/>
        <v>3081</v>
      </c>
      <c r="AM128" s="2">
        <f t="shared" si="36"/>
        <v>2540</v>
      </c>
      <c r="AN128" s="2">
        <f t="shared" si="37"/>
        <v>2179</v>
      </c>
      <c r="AO128" s="2">
        <f t="shared" si="38"/>
        <v>1728</v>
      </c>
      <c r="AP128" s="2">
        <f t="shared" si="39"/>
        <v>18360</v>
      </c>
      <c r="AQ128" s="2">
        <f t="shared" si="40"/>
        <v>27540</v>
      </c>
      <c r="AR128" s="2">
        <f t="shared" si="41"/>
        <v>30015</v>
      </c>
      <c r="AS128" s="2">
        <f t="shared" si="42"/>
        <v>5379</v>
      </c>
      <c r="AT128" s="2">
        <f t="shared" si="43"/>
        <v>3702</v>
      </c>
      <c r="AU128" s="2">
        <f t="shared" si="44"/>
        <v>2863</v>
      </c>
      <c r="AV128" s="2">
        <f t="shared" si="45"/>
        <v>2360</v>
      </c>
      <c r="AW128" s="2">
        <f t="shared" si="46"/>
        <v>2025</v>
      </c>
      <c r="AX128" s="2">
        <f t="shared" si="47"/>
        <v>1606</v>
      </c>
    </row>
    <row r="129" ht="14.25" customHeight="1">
      <c r="A129" s="2" t="str">
        <f t="array" ref="A129">IFERROR(INDEX('Product Price'!A:A,SMALL('Product Price'!$D:$D,127)),"")</f>
        <v>TECNO POVA 8 Pro 5G LAMBORGHINI 12/512 GB</v>
      </c>
      <c r="B129" s="2">
        <f t="array" ref="B129">IFERROR(INDEX('Product Price'!B:B,SMALL('Product Price'!$D:$D,127)),"")</f>
        <v>19999</v>
      </c>
      <c r="C129" s="2">
        <f t="array" ref="C129">IFERROR(INDEX('Product Price'!C:C,SMALL('Product Price'!$D:$D,127)),"")</f>
        <v>174</v>
      </c>
      <c r="D129" s="2">
        <f t="shared" si="1"/>
        <v>1450</v>
      </c>
      <c r="E129" s="2">
        <f t="shared" si="2"/>
        <v>21449</v>
      </c>
      <c r="F129" s="2">
        <f t="shared" si="48"/>
        <v>3000</v>
      </c>
      <c r="G129" s="2">
        <f t="shared" si="4"/>
        <v>16999</v>
      </c>
      <c r="H129" s="2">
        <f t="shared" si="5"/>
        <v>18449</v>
      </c>
      <c r="I129" s="2">
        <f t="shared" si="6"/>
        <v>3306</v>
      </c>
      <c r="J129" s="2">
        <f t="shared" si="7"/>
        <v>2275</v>
      </c>
      <c r="K129" s="2">
        <f t="shared" si="8"/>
        <v>1760</v>
      </c>
      <c r="L129" s="2">
        <f t="shared" si="9"/>
        <v>1451</v>
      </c>
      <c r="M129" s="2">
        <f t="shared" si="10"/>
        <v>1244</v>
      </c>
      <c r="N129" s="2">
        <f t="shared" si="11"/>
        <v>987</v>
      </c>
      <c r="O129" s="2">
        <f t="shared" si="12"/>
        <v>4000</v>
      </c>
      <c r="P129" s="2">
        <f t="shared" si="13"/>
        <v>15999</v>
      </c>
      <c r="Q129" s="2">
        <f t="shared" si="14"/>
        <v>17449</v>
      </c>
      <c r="R129" s="2">
        <f t="shared" si="15"/>
        <v>3127</v>
      </c>
      <c r="S129" s="2">
        <f t="shared" si="16"/>
        <v>2152</v>
      </c>
      <c r="T129" s="2">
        <f t="shared" si="17"/>
        <v>1665</v>
      </c>
      <c r="U129" s="2">
        <f t="shared" si="18"/>
        <v>1372</v>
      </c>
      <c r="V129" s="2">
        <f t="shared" si="19"/>
        <v>1177</v>
      </c>
      <c r="W129" s="2">
        <f t="shared" si="20"/>
        <v>934</v>
      </c>
      <c r="X129" s="2">
        <f t="shared" si="21"/>
        <v>5000</v>
      </c>
      <c r="Y129" s="2">
        <f t="shared" si="22"/>
        <v>14999</v>
      </c>
      <c r="Z129" s="2">
        <f t="shared" si="23"/>
        <v>16449</v>
      </c>
      <c r="AA129" s="2">
        <f t="shared" si="24"/>
        <v>2949</v>
      </c>
      <c r="AB129" s="2">
        <f t="shared" si="25"/>
        <v>2030</v>
      </c>
      <c r="AC129" s="2">
        <f t="shared" si="26"/>
        <v>1570</v>
      </c>
      <c r="AD129" s="2">
        <f t="shared" si="27"/>
        <v>1294</v>
      </c>
      <c r="AE129" s="2">
        <f t="shared" si="28"/>
        <v>1110</v>
      </c>
      <c r="AF129" s="2">
        <f t="shared" si="29"/>
        <v>880</v>
      </c>
      <c r="AG129" s="2">
        <f t="shared" si="30"/>
        <v>7000</v>
      </c>
      <c r="AH129" s="2">
        <f t="shared" si="31"/>
        <v>12999</v>
      </c>
      <c r="AI129" s="2">
        <f t="shared" si="32"/>
        <v>14449</v>
      </c>
      <c r="AJ129" s="2">
        <f t="shared" si="33"/>
        <v>2593</v>
      </c>
      <c r="AK129" s="2">
        <f t="shared" si="34"/>
        <v>1785</v>
      </c>
      <c r="AL129" s="2">
        <f t="shared" si="35"/>
        <v>1380</v>
      </c>
      <c r="AM129" s="2">
        <f t="shared" si="36"/>
        <v>1138</v>
      </c>
      <c r="AN129" s="2">
        <f t="shared" si="37"/>
        <v>976</v>
      </c>
      <c r="AO129" s="2">
        <f t="shared" si="38"/>
        <v>774</v>
      </c>
      <c r="AP129" s="2">
        <f t="shared" si="39"/>
        <v>8000</v>
      </c>
      <c r="AQ129" s="2">
        <f t="shared" si="40"/>
        <v>11999</v>
      </c>
      <c r="AR129" s="2">
        <f t="shared" si="41"/>
        <v>13449</v>
      </c>
      <c r="AS129" s="2">
        <f t="shared" si="42"/>
        <v>2415</v>
      </c>
      <c r="AT129" s="2">
        <f t="shared" si="43"/>
        <v>1662</v>
      </c>
      <c r="AU129" s="2">
        <f t="shared" si="44"/>
        <v>1286</v>
      </c>
      <c r="AV129" s="2">
        <f t="shared" si="45"/>
        <v>1060</v>
      </c>
      <c r="AW129" s="2">
        <f t="shared" si="46"/>
        <v>909</v>
      </c>
      <c r="AX129" s="2">
        <f t="shared" si="47"/>
        <v>721</v>
      </c>
    </row>
    <row r="130" ht="14.25" customHeight="1">
      <c r="A130" s="2" t="str">
        <f t="array" ref="A130">IFERROR(INDEX('Product Price'!A:A,SMALL('Product Price'!$D:$D,128)),"")</f>
        <v>TECNO POVA 8 Pro 5G LAMBORGHINI 12/256 GB</v>
      </c>
      <c r="B130" s="2">
        <f t="array" ref="B130">IFERROR(INDEX('Product Price'!B:B,SMALL('Product Price'!$D:$D,128)),"")</f>
        <v>17999</v>
      </c>
      <c r="C130" s="2">
        <f t="array" ref="C130">IFERROR(INDEX('Product Price'!C:C,SMALL('Product Price'!$D:$D,128)),"")</f>
        <v>175</v>
      </c>
      <c r="D130" s="2">
        <f t="shared" si="1"/>
        <v>1450</v>
      </c>
      <c r="E130" s="2">
        <f t="shared" si="2"/>
        <v>19449</v>
      </c>
      <c r="F130" s="2">
        <f t="shared" si="48"/>
        <v>2700</v>
      </c>
      <c r="G130" s="2">
        <f t="shared" si="4"/>
        <v>15299</v>
      </c>
      <c r="H130" s="2">
        <f t="shared" si="5"/>
        <v>16749</v>
      </c>
      <c r="I130" s="2">
        <f t="shared" si="6"/>
        <v>3003</v>
      </c>
      <c r="J130" s="2">
        <f t="shared" si="7"/>
        <v>2067</v>
      </c>
      <c r="K130" s="2">
        <f t="shared" si="8"/>
        <v>1598</v>
      </c>
      <c r="L130" s="2">
        <f t="shared" si="9"/>
        <v>1318</v>
      </c>
      <c r="M130" s="2">
        <f t="shared" si="10"/>
        <v>1130</v>
      </c>
      <c r="N130" s="2">
        <f t="shared" si="11"/>
        <v>896</v>
      </c>
      <c r="O130" s="2">
        <f t="shared" si="12"/>
        <v>3600</v>
      </c>
      <c r="P130" s="2">
        <f t="shared" si="13"/>
        <v>14399</v>
      </c>
      <c r="Q130" s="2">
        <f t="shared" si="14"/>
        <v>15849</v>
      </c>
      <c r="R130" s="2">
        <f t="shared" si="15"/>
        <v>2842</v>
      </c>
      <c r="S130" s="2">
        <f t="shared" si="16"/>
        <v>1956</v>
      </c>
      <c r="T130" s="2">
        <f t="shared" si="17"/>
        <v>1513</v>
      </c>
      <c r="U130" s="2">
        <f t="shared" si="18"/>
        <v>1247</v>
      </c>
      <c r="V130" s="2">
        <f t="shared" si="19"/>
        <v>1070</v>
      </c>
      <c r="W130" s="2">
        <f t="shared" si="20"/>
        <v>849</v>
      </c>
      <c r="X130" s="2">
        <f t="shared" si="21"/>
        <v>4500</v>
      </c>
      <c r="Y130" s="2">
        <f t="shared" si="22"/>
        <v>13499</v>
      </c>
      <c r="Z130" s="2">
        <f t="shared" si="23"/>
        <v>14949</v>
      </c>
      <c r="AA130" s="2">
        <f t="shared" si="24"/>
        <v>2682</v>
      </c>
      <c r="AB130" s="2">
        <f t="shared" si="25"/>
        <v>1846</v>
      </c>
      <c r="AC130" s="2">
        <f t="shared" si="26"/>
        <v>1428</v>
      </c>
      <c r="AD130" s="2">
        <f t="shared" si="27"/>
        <v>1177</v>
      </c>
      <c r="AE130" s="2">
        <f t="shared" si="28"/>
        <v>1010</v>
      </c>
      <c r="AF130" s="2">
        <f t="shared" si="29"/>
        <v>801</v>
      </c>
      <c r="AG130" s="2">
        <f t="shared" si="30"/>
        <v>6300</v>
      </c>
      <c r="AH130" s="2">
        <f t="shared" si="31"/>
        <v>11699</v>
      </c>
      <c r="AI130" s="2">
        <f t="shared" si="32"/>
        <v>13149</v>
      </c>
      <c r="AJ130" s="2">
        <f t="shared" si="33"/>
        <v>2361</v>
      </c>
      <c r="AK130" s="2">
        <f t="shared" si="34"/>
        <v>1625</v>
      </c>
      <c r="AL130" s="2">
        <f t="shared" si="35"/>
        <v>1257</v>
      </c>
      <c r="AM130" s="2">
        <f t="shared" si="36"/>
        <v>1036</v>
      </c>
      <c r="AN130" s="2">
        <f t="shared" si="37"/>
        <v>889</v>
      </c>
      <c r="AO130" s="2">
        <f t="shared" si="38"/>
        <v>705</v>
      </c>
      <c r="AP130" s="2">
        <f t="shared" si="39"/>
        <v>7200</v>
      </c>
      <c r="AQ130" s="2">
        <f t="shared" si="40"/>
        <v>10799</v>
      </c>
      <c r="AR130" s="2">
        <f t="shared" si="41"/>
        <v>12249</v>
      </c>
      <c r="AS130" s="2">
        <f t="shared" si="42"/>
        <v>2201</v>
      </c>
      <c r="AT130" s="2">
        <f t="shared" si="43"/>
        <v>1515</v>
      </c>
      <c r="AU130" s="2">
        <f t="shared" si="44"/>
        <v>1172</v>
      </c>
      <c r="AV130" s="2">
        <f t="shared" si="45"/>
        <v>966</v>
      </c>
      <c r="AW130" s="2">
        <f t="shared" si="46"/>
        <v>829</v>
      </c>
      <c r="AX130" s="2">
        <f t="shared" si="47"/>
        <v>657</v>
      </c>
    </row>
    <row r="131" ht="14.25" customHeight="1">
      <c r="A131" s="2" t="str">
        <f t="array" ref="A131">IFERROR(INDEX('Product Price'!A:A,SMALL('Product Price'!$D:$D,129)),"")</f>
        <v>TECNO POVA 8 Pro 5G LAMBORGHINI 8/256 GB</v>
      </c>
      <c r="B131" s="2">
        <f t="array" ref="B131">IFERROR(INDEX('Product Price'!B:B,SMALL('Product Price'!$D:$D,129)),"")</f>
        <v>15999</v>
      </c>
      <c r="C131" s="2">
        <f t="array" ref="C131">IFERROR(INDEX('Product Price'!C:C,SMALL('Product Price'!$D:$D,129)),"")</f>
        <v>176</v>
      </c>
      <c r="D131" s="2">
        <f t="shared" si="1"/>
        <v>1450</v>
      </c>
      <c r="E131" s="2">
        <f t="shared" si="2"/>
        <v>17449</v>
      </c>
      <c r="F131" s="2">
        <f t="shared" si="48"/>
        <v>2400</v>
      </c>
      <c r="G131" s="2">
        <f t="shared" si="4"/>
        <v>13599</v>
      </c>
      <c r="H131" s="2">
        <f t="shared" si="5"/>
        <v>15049</v>
      </c>
      <c r="I131" s="2">
        <f t="shared" si="6"/>
        <v>2700</v>
      </c>
      <c r="J131" s="2">
        <f t="shared" si="7"/>
        <v>1858</v>
      </c>
      <c r="K131" s="2">
        <f t="shared" si="8"/>
        <v>1437</v>
      </c>
      <c r="L131" s="2">
        <f t="shared" si="9"/>
        <v>1185</v>
      </c>
      <c r="M131" s="2">
        <f t="shared" si="10"/>
        <v>1016</v>
      </c>
      <c r="N131" s="2">
        <f t="shared" si="11"/>
        <v>806</v>
      </c>
      <c r="O131" s="2">
        <f t="shared" si="12"/>
        <v>3200</v>
      </c>
      <c r="P131" s="2">
        <f t="shared" si="13"/>
        <v>12799</v>
      </c>
      <c r="Q131" s="2">
        <f t="shared" si="14"/>
        <v>14249</v>
      </c>
      <c r="R131" s="2">
        <f t="shared" si="15"/>
        <v>2557</v>
      </c>
      <c r="S131" s="2">
        <f t="shared" si="16"/>
        <v>1760</v>
      </c>
      <c r="T131" s="2">
        <f t="shared" si="17"/>
        <v>1361</v>
      </c>
      <c r="U131" s="2">
        <f t="shared" si="18"/>
        <v>1122</v>
      </c>
      <c r="V131" s="2">
        <f t="shared" si="19"/>
        <v>963</v>
      </c>
      <c r="W131" s="2">
        <f t="shared" si="20"/>
        <v>763</v>
      </c>
      <c r="X131" s="2">
        <f t="shared" si="21"/>
        <v>4000</v>
      </c>
      <c r="Y131" s="2">
        <f t="shared" si="22"/>
        <v>11999</v>
      </c>
      <c r="Z131" s="2">
        <f t="shared" si="23"/>
        <v>13449</v>
      </c>
      <c r="AA131" s="2">
        <f t="shared" si="24"/>
        <v>2415</v>
      </c>
      <c r="AB131" s="2">
        <f t="shared" si="25"/>
        <v>1662</v>
      </c>
      <c r="AC131" s="2">
        <f t="shared" si="26"/>
        <v>1286</v>
      </c>
      <c r="AD131" s="2">
        <f t="shared" si="27"/>
        <v>1060</v>
      </c>
      <c r="AE131" s="2">
        <f t="shared" si="28"/>
        <v>909</v>
      </c>
      <c r="AF131" s="2">
        <f t="shared" si="29"/>
        <v>721</v>
      </c>
      <c r="AG131" s="2">
        <f t="shared" si="30"/>
        <v>5600</v>
      </c>
      <c r="AH131" s="2">
        <f t="shared" si="31"/>
        <v>10399</v>
      </c>
      <c r="AI131" s="2">
        <f t="shared" si="32"/>
        <v>11849</v>
      </c>
      <c r="AJ131" s="2">
        <f t="shared" si="33"/>
        <v>2130</v>
      </c>
      <c r="AK131" s="2">
        <f t="shared" si="34"/>
        <v>1466</v>
      </c>
      <c r="AL131" s="2">
        <f t="shared" si="35"/>
        <v>1134</v>
      </c>
      <c r="AM131" s="2">
        <f t="shared" si="36"/>
        <v>935</v>
      </c>
      <c r="AN131" s="2">
        <f t="shared" si="37"/>
        <v>802</v>
      </c>
      <c r="AO131" s="2">
        <f t="shared" si="38"/>
        <v>636</v>
      </c>
      <c r="AP131" s="2">
        <f t="shared" si="39"/>
        <v>6400</v>
      </c>
      <c r="AQ131" s="2">
        <f t="shared" si="40"/>
        <v>9599</v>
      </c>
      <c r="AR131" s="2">
        <f t="shared" si="41"/>
        <v>11049</v>
      </c>
      <c r="AS131" s="2">
        <f t="shared" si="42"/>
        <v>1987</v>
      </c>
      <c r="AT131" s="2">
        <f t="shared" si="43"/>
        <v>1368</v>
      </c>
      <c r="AU131" s="2">
        <f t="shared" si="44"/>
        <v>1058</v>
      </c>
      <c r="AV131" s="2">
        <f t="shared" si="45"/>
        <v>872</v>
      </c>
      <c r="AW131" s="2">
        <f t="shared" si="46"/>
        <v>748</v>
      </c>
      <c r="AX131" s="2">
        <f t="shared" si="47"/>
        <v>593</v>
      </c>
    </row>
    <row r="132" ht="14.25" customHeight="1">
      <c r="A132" s="2" t="str">
        <f t="array" ref="A132">IFERROR(INDEX('Product Price'!A:A,SMALL('Product Price'!$D:$D,130)),"")</f>
        <v>TECNO POVA8 Pro 5G 8/256 GB</v>
      </c>
      <c r="B132" s="2">
        <f t="array" ref="B132">IFERROR(INDEX('Product Price'!B:B,SMALL('Product Price'!$D:$D,130)),"")</f>
        <v>14999</v>
      </c>
      <c r="C132" s="2">
        <f t="array" ref="C132">IFERROR(INDEX('Product Price'!C:C,SMALL('Product Price'!$D:$D,130)),"")</f>
        <v>122</v>
      </c>
      <c r="D132" s="2">
        <f t="shared" si="1"/>
        <v>1450</v>
      </c>
      <c r="E132" s="2">
        <f t="shared" si="2"/>
        <v>16449</v>
      </c>
      <c r="F132" s="2">
        <f t="shared" si="48"/>
        <v>2250</v>
      </c>
      <c r="G132" s="2">
        <f t="shared" si="4"/>
        <v>12749</v>
      </c>
      <c r="H132" s="2">
        <f t="shared" si="5"/>
        <v>14199</v>
      </c>
      <c r="I132" s="2">
        <f t="shared" si="6"/>
        <v>2548</v>
      </c>
      <c r="J132" s="2">
        <f t="shared" si="7"/>
        <v>1754</v>
      </c>
      <c r="K132" s="2">
        <f t="shared" si="8"/>
        <v>1357</v>
      </c>
      <c r="L132" s="2">
        <f t="shared" si="9"/>
        <v>1118</v>
      </c>
      <c r="M132" s="2">
        <f t="shared" si="10"/>
        <v>959</v>
      </c>
      <c r="N132" s="2">
        <f t="shared" si="11"/>
        <v>761</v>
      </c>
      <c r="O132" s="2">
        <f t="shared" si="12"/>
        <v>3000</v>
      </c>
      <c r="P132" s="2">
        <f t="shared" si="13"/>
        <v>11999</v>
      </c>
      <c r="Q132" s="2">
        <f t="shared" si="14"/>
        <v>13449</v>
      </c>
      <c r="R132" s="2">
        <f t="shared" si="15"/>
        <v>2415</v>
      </c>
      <c r="S132" s="2">
        <f t="shared" si="16"/>
        <v>1662</v>
      </c>
      <c r="T132" s="2">
        <f t="shared" si="17"/>
        <v>1286</v>
      </c>
      <c r="U132" s="2">
        <f t="shared" si="18"/>
        <v>1060</v>
      </c>
      <c r="V132" s="2">
        <f t="shared" si="19"/>
        <v>909</v>
      </c>
      <c r="W132" s="2">
        <f t="shared" si="20"/>
        <v>721</v>
      </c>
      <c r="X132" s="2">
        <f t="shared" si="21"/>
        <v>3750</v>
      </c>
      <c r="Y132" s="2">
        <f t="shared" si="22"/>
        <v>11249</v>
      </c>
      <c r="Z132" s="2">
        <f t="shared" si="23"/>
        <v>12699</v>
      </c>
      <c r="AA132" s="2">
        <f t="shared" si="24"/>
        <v>2281</v>
      </c>
      <c r="AB132" s="2">
        <f t="shared" si="25"/>
        <v>1570</v>
      </c>
      <c r="AC132" s="2">
        <f t="shared" si="26"/>
        <v>1214</v>
      </c>
      <c r="AD132" s="2">
        <f t="shared" si="27"/>
        <v>1001</v>
      </c>
      <c r="AE132" s="2">
        <f t="shared" si="28"/>
        <v>859</v>
      </c>
      <c r="AF132" s="2">
        <f t="shared" si="29"/>
        <v>681</v>
      </c>
      <c r="AG132" s="2">
        <f t="shared" si="30"/>
        <v>5250</v>
      </c>
      <c r="AH132" s="2">
        <f t="shared" si="31"/>
        <v>9749</v>
      </c>
      <c r="AI132" s="2">
        <f t="shared" si="32"/>
        <v>11199</v>
      </c>
      <c r="AJ132" s="2">
        <f t="shared" si="33"/>
        <v>2014</v>
      </c>
      <c r="AK132" s="2">
        <f t="shared" si="34"/>
        <v>1386</v>
      </c>
      <c r="AL132" s="2">
        <f t="shared" si="35"/>
        <v>1072</v>
      </c>
      <c r="AM132" s="2">
        <f t="shared" si="36"/>
        <v>884</v>
      </c>
      <c r="AN132" s="2">
        <f t="shared" si="37"/>
        <v>758</v>
      </c>
      <c r="AO132" s="2">
        <f t="shared" si="38"/>
        <v>601</v>
      </c>
      <c r="AP132" s="2">
        <f t="shared" si="39"/>
        <v>6000</v>
      </c>
      <c r="AQ132" s="2">
        <f t="shared" si="40"/>
        <v>8999</v>
      </c>
      <c r="AR132" s="2">
        <f t="shared" si="41"/>
        <v>10449</v>
      </c>
      <c r="AS132" s="2">
        <f t="shared" si="42"/>
        <v>1880</v>
      </c>
      <c r="AT132" s="2">
        <f t="shared" si="43"/>
        <v>1294</v>
      </c>
      <c r="AU132" s="2">
        <f t="shared" si="44"/>
        <v>1001</v>
      </c>
      <c r="AV132" s="2">
        <f t="shared" si="45"/>
        <v>825</v>
      </c>
      <c r="AW132" s="2">
        <f t="shared" si="46"/>
        <v>708</v>
      </c>
      <c r="AX132" s="2">
        <f t="shared" si="47"/>
        <v>561</v>
      </c>
    </row>
    <row r="133" ht="14.25" customHeight="1">
      <c r="A133" s="2" t="str">
        <f t="array" ref="A133">IFERROR(INDEX('Product Price'!A:A,SMALL('Product Price'!$D:$D,131)),"")</f>
        <v>TECNO POVA8 Pro 5G 12/256 GB</v>
      </c>
      <c r="B133" s="2">
        <f t="array" ref="B133">IFERROR(INDEX('Product Price'!B:B,SMALL('Product Price'!$D:$D,131)),"")</f>
        <v>16999</v>
      </c>
      <c r="C133" s="2">
        <f t="array" ref="C133">IFERROR(INDEX('Product Price'!C:C,SMALL('Product Price'!$D:$D,131)),"")</f>
        <v>123</v>
      </c>
      <c r="D133" s="2">
        <f t="shared" si="1"/>
        <v>1450</v>
      </c>
      <c r="E133" s="2">
        <f t="shared" si="2"/>
        <v>18449</v>
      </c>
      <c r="F133" s="2">
        <f t="shared" si="48"/>
        <v>2550</v>
      </c>
      <c r="G133" s="2">
        <f t="shared" si="4"/>
        <v>14449</v>
      </c>
      <c r="H133" s="2">
        <f t="shared" si="5"/>
        <v>15899</v>
      </c>
      <c r="I133" s="2">
        <f t="shared" si="6"/>
        <v>2851</v>
      </c>
      <c r="J133" s="2">
        <f t="shared" si="7"/>
        <v>1962</v>
      </c>
      <c r="K133" s="2">
        <f t="shared" si="8"/>
        <v>1518</v>
      </c>
      <c r="L133" s="2">
        <f t="shared" si="9"/>
        <v>1251</v>
      </c>
      <c r="M133" s="2">
        <f t="shared" si="10"/>
        <v>1073</v>
      </c>
      <c r="N133" s="2">
        <f t="shared" si="11"/>
        <v>851</v>
      </c>
      <c r="O133" s="2">
        <f t="shared" si="12"/>
        <v>3400</v>
      </c>
      <c r="P133" s="2">
        <f t="shared" si="13"/>
        <v>13599</v>
      </c>
      <c r="Q133" s="2">
        <f t="shared" si="14"/>
        <v>15049</v>
      </c>
      <c r="R133" s="2">
        <f t="shared" si="15"/>
        <v>2700</v>
      </c>
      <c r="S133" s="2">
        <f t="shared" si="16"/>
        <v>1858</v>
      </c>
      <c r="T133" s="2">
        <f t="shared" si="17"/>
        <v>1437</v>
      </c>
      <c r="U133" s="2">
        <f t="shared" si="18"/>
        <v>1185</v>
      </c>
      <c r="V133" s="2">
        <f t="shared" si="19"/>
        <v>1016</v>
      </c>
      <c r="W133" s="2">
        <f t="shared" si="20"/>
        <v>806</v>
      </c>
      <c r="X133" s="2">
        <f t="shared" si="21"/>
        <v>4250</v>
      </c>
      <c r="Y133" s="2">
        <f t="shared" si="22"/>
        <v>12749</v>
      </c>
      <c r="Z133" s="2">
        <f t="shared" si="23"/>
        <v>14199</v>
      </c>
      <c r="AA133" s="2">
        <f t="shared" si="24"/>
        <v>2548</v>
      </c>
      <c r="AB133" s="2">
        <f t="shared" si="25"/>
        <v>1754</v>
      </c>
      <c r="AC133" s="2">
        <f t="shared" si="26"/>
        <v>1357</v>
      </c>
      <c r="AD133" s="2">
        <f t="shared" si="27"/>
        <v>1118</v>
      </c>
      <c r="AE133" s="2">
        <f t="shared" si="28"/>
        <v>959</v>
      </c>
      <c r="AF133" s="2">
        <f t="shared" si="29"/>
        <v>761</v>
      </c>
      <c r="AG133" s="2">
        <f t="shared" si="30"/>
        <v>5950</v>
      </c>
      <c r="AH133" s="2">
        <f t="shared" si="31"/>
        <v>11049</v>
      </c>
      <c r="AI133" s="2">
        <f t="shared" si="32"/>
        <v>12499</v>
      </c>
      <c r="AJ133" s="2">
        <f t="shared" si="33"/>
        <v>2245</v>
      </c>
      <c r="AK133" s="2">
        <f t="shared" si="34"/>
        <v>1545</v>
      </c>
      <c r="AL133" s="2">
        <f t="shared" si="35"/>
        <v>1195</v>
      </c>
      <c r="AM133" s="2">
        <f t="shared" si="36"/>
        <v>985</v>
      </c>
      <c r="AN133" s="2">
        <f t="shared" si="37"/>
        <v>845</v>
      </c>
      <c r="AO133" s="2">
        <f t="shared" si="38"/>
        <v>670</v>
      </c>
      <c r="AP133" s="2">
        <f t="shared" si="39"/>
        <v>6800</v>
      </c>
      <c r="AQ133" s="2">
        <f t="shared" si="40"/>
        <v>10199</v>
      </c>
      <c r="AR133" s="2">
        <f t="shared" si="41"/>
        <v>11649</v>
      </c>
      <c r="AS133" s="2">
        <f t="shared" si="42"/>
        <v>2094</v>
      </c>
      <c r="AT133" s="2">
        <f t="shared" si="43"/>
        <v>1441</v>
      </c>
      <c r="AU133" s="2">
        <f t="shared" si="44"/>
        <v>1115</v>
      </c>
      <c r="AV133" s="2">
        <f t="shared" si="45"/>
        <v>919</v>
      </c>
      <c r="AW133" s="2">
        <f t="shared" si="46"/>
        <v>788</v>
      </c>
      <c r="AX133" s="2">
        <f t="shared" si="47"/>
        <v>625</v>
      </c>
    </row>
    <row r="134" ht="14.25" customHeight="1">
      <c r="A134" s="2" t="str">
        <f t="array" ref="A134">IFERROR(INDEX('Product Price'!A:A,SMALL('Product Price'!$D:$D,132)),"")</f>
        <v>TECNO POVA8 Pro 5G 12/512 GB</v>
      </c>
      <c r="B134" s="2">
        <f t="array" ref="B134">IFERROR(INDEX('Product Price'!B:B,SMALL('Product Price'!$D:$D,132)),"")</f>
        <v>18999</v>
      </c>
      <c r="C134" s="2">
        <f t="array" ref="C134">IFERROR(INDEX('Product Price'!C:C,SMALL('Product Price'!$D:$D,132)),"")</f>
        <v>124</v>
      </c>
      <c r="D134" s="2">
        <f t="shared" si="1"/>
        <v>1450</v>
      </c>
      <c r="E134" s="2">
        <f t="shared" si="2"/>
        <v>20449</v>
      </c>
      <c r="F134" s="2">
        <f t="shared" si="48"/>
        <v>2850</v>
      </c>
      <c r="G134" s="2">
        <f t="shared" si="4"/>
        <v>16149</v>
      </c>
      <c r="H134" s="2">
        <f t="shared" si="5"/>
        <v>17599</v>
      </c>
      <c r="I134" s="2">
        <f t="shared" si="6"/>
        <v>3154</v>
      </c>
      <c r="J134" s="2">
        <f t="shared" si="7"/>
        <v>2171</v>
      </c>
      <c r="K134" s="2">
        <f t="shared" si="8"/>
        <v>1679</v>
      </c>
      <c r="L134" s="2">
        <f t="shared" si="9"/>
        <v>1384</v>
      </c>
      <c r="M134" s="2">
        <f t="shared" si="10"/>
        <v>1187</v>
      </c>
      <c r="N134" s="2">
        <f t="shared" si="11"/>
        <v>942</v>
      </c>
      <c r="O134" s="2">
        <f t="shared" si="12"/>
        <v>3800</v>
      </c>
      <c r="P134" s="2">
        <f t="shared" si="13"/>
        <v>15199</v>
      </c>
      <c r="Q134" s="2">
        <f t="shared" si="14"/>
        <v>16649</v>
      </c>
      <c r="R134" s="2">
        <f t="shared" si="15"/>
        <v>2985</v>
      </c>
      <c r="S134" s="2">
        <f t="shared" si="16"/>
        <v>2054</v>
      </c>
      <c r="T134" s="2">
        <f t="shared" si="17"/>
        <v>1589</v>
      </c>
      <c r="U134" s="2">
        <f t="shared" si="18"/>
        <v>1310</v>
      </c>
      <c r="V134" s="2">
        <f t="shared" si="19"/>
        <v>1124</v>
      </c>
      <c r="W134" s="2">
        <f t="shared" si="20"/>
        <v>891</v>
      </c>
      <c r="X134" s="2">
        <f t="shared" si="21"/>
        <v>4750</v>
      </c>
      <c r="Y134" s="2">
        <f t="shared" si="22"/>
        <v>14249</v>
      </c>
      <c r="Z134" s="2">
        <f t="shared" si="23"/>
        <v>15699</v>
      </c>
      <c r="AA134" s="2">
        <f t="shared" si="24"/>
        <v>2816</v>
      </c>
      <c r="AB134" s="2">
        <f t="shared" si="25"/>
        <v>1938</v>
      </c>
      <c r="AC134" s="2">
        <f t="shared" si="26"/>
        <v>1499</v>
      </c>
      <c r="AD134" s="2">
        <f t="shared" si="27"/>
        <v>1236</v>
      </c>
      <c r="AE134" s="2">
        <f t="shared" si="28"/>
        <v>1060</v>
      </c>
      <c r="AF134" s="2">
        <f t="shared" si="29"/>
        <v>841</v>
      </c>
      <c r="AG134" s="2">
        <f t="shared" si="30"/>
        <v>6650</v>
      </c>
      <c r="AH134" s="2">
        <f t="shared" si="31"/>
        <v>12349</v>
      </c>
      <c r="AI134" s="2">
        <f t="shared" si="32"/>
        <v>13799</v>
      </c>
      <c r="AJ134" s="2">
        <f t="shared" si="33"/>
        <v>2477</v>
      </c>
      <c r="AK134" s="2">
        <f t="shared" si="34"/>
        <v>1705</v>
      </c>
      <c r="AL134" s="2">
        <f t="shared" si="35"/>
        <v>1319</v>
      </c>
      <c r="AM134" s="2">
        <f t="shared" si="36"/>
        <v>1087</v>
      </c>
      <c r="AN134" s="2">
        <f t="shared" si="37"/>
        <v>933</v>
      </c>
      <c r="AO134" s="2">
        <f t="shared" si="38"/>
        <v>740</v>
      </c>
      <c r="AP134" s="2">
        <f t="shared" si="39"/>
        <v>7600</v>
      </c>
      <c r="AQ134" s="2">
        <f t="shared" si="40"/>
        <v>11399</v>
      </c>
      <c r="AR134" s="2">
        <f t="shared" si="41"/>
        <v>12849</v>
      </c>
      <c r="AS134" s="2">
        <f t="shared" si="42"/>
        <v>2308</v>
      </c>
      <c r="AT134" s="2">
        <f t="shared" si="43"/>
        <v>1588</v>
      </c>
      <c r="AU134" s="2">
        <f t="shared" si="44"/>
        <v>1229</v>
      </c>
      <c r="AV134" s="2">
        <f t="shared" si="45"/>
        <v>1013</v>
      </c>
      <c r="AW134" s="2">
        <f t="shared" si="46"/>
        <v>869</v>
      </c>
      <c r="AX134" s="2">
        <f t="shared" si="47"/>
        <v>689</v>
      </c>
    </row>
    <row r="135" ht="14.25" customHeight="1">
      <c r="A135" s="2" t="str">
        <f t="array" ref="A135">IFERROR(INDEX('Product Price'!A:A,SMALL('Product Price'!$D:$D,133)),"")</f>
        <v>TECNO POVA8 5G 6/128 GB</v>
      </c>
      <c r="B135" s="2">
        <f t="array" ref="B135">IFERROR(INDEX('Product Price'!B:B,SMALL('Product Price'!$D:$D,133)),"")</f>
        <v>9999</v>
      </c>
      <c r="C135" s="2">
        <f t="array" ref="C135">IFERROR(INDEX('Product Price'!C:C,SMALL('Product Price'!$D:$D,133)),"")</f>
        <v>125</v>
      </c>
      <c r="D135" s="2">
        <f t="shared" si="1"/>
        <v>795</v>
      </c>
      <c r="E135" s="2">
        <f t="shared" si="2"/>
        <v>10794</v>
      </c>
      <c r="F135" s="2">
        <f t="shared" si="48"/>
        <v>1500</v>
      </c>
      <c r="G135" s="2">
        <f t="shared" si="4"/>
        <v>8499</v>
      </c>
      <c r="H135" s="2">
        <f t="shared" si="5"/>
        <v>9294</v>
      </c>
      <c r="I135" s="2">
        <f t="shared" si="6"/>
        <v>1666</v>
      </c>
      <c r="J135" s="2">
        <f t="shared" si="7"/>
        <v>1147</v>
      </c>
      <c r="K135" s="2">
        <f t="shared" si="8"/>
        <v>887</v>
      </c>
      <c r="L135" s="2">
        <f t="shared" si="9"/>
        <v>731</v>
      </c>
      <c r="M135" s="2">
        <f t="shared" si="10"/>
        <v>627</v>
      </c>
      <c r="N135" s="2">
        <f t="shared" si="11"/>
        <v>498</v>
      </c>
      <c r="O135" s="2">
        <f t="shared" si="12"/>
        <v>2000</v>
      </c>
      <c r="P135" s="2">
        <f t="shared" si="13"/>
        <v>7999</v>
      </c>
      <c r="Q135" s="2">
        <f t="shared" si="14"/>
        <v>8794</v>
      </c>
      <c r="R135" s="2">
        <f t="shared" si="15"/>
        <v>1577</v>
      </c>
      <c r="S135" s="2">
        <f t="shared" si="16"/>
        <v>1086</v>
      </c>
      <c r="T135" s="2">
        <f t="shared" si="17"/>
        <v>840</v>
      </c>
      <c r="U135" s="2">
        <f t="shared" si="18"/>
        <v>692</v>
      </c>
      <c r="V135" s="2">
        <f t="shared" si="19"/>
        <v>594</v>
      </c>
      <c r="W135" s="2">
        <f t="shared" si="20"/>
        <v>471</v>
      </c>
      <c r="X135" s="2">
        <f t="shared" si="21"/>
        <v>2500</v>
      </c>
      <c r="Y135" s="2">
        <f t="shared" si="22"/>
        <v>7499</v>
      </c>
      <c r="Z135" s="2">
        <f t="shared" si="23"/>
        <v>8294</v>
      </c>
      <c r="AA135" s="2">
        <f t="shared" si="24"/>
        <v>1488</v>
      </c>
      <c r="AB135" s="2">
        <f t="shared" si="25"/>
        <v>1024</v>
      </c>
      <c r="AC135" s="2">
        <f t="shared" si="26"/>
        <v>792</v>
      </c>
      <c r="AD135" s="2">
        <f t="shared" si="27"/>
        <v>653</v>
      </c>
      <c r="AE135" s="2">
        <f t="shared" si="28"/>
        <v>560</v>
      </c>
      <c r="AF135" s="2" t="str">
        <f t="shared" si="29"/>
        <v>-</v>
      </c>
      <c r="AG135" s="2">
        <f t="shared" si="30"/>
        <v>3500</v>
      </c>
      <c r="AH135" s="2">
        <f t="shared" si="31"/>
        <v>6499</v>
      </c>
      <c r="AI135" s="2">
        <f t="shared" si="32"/>
        <v>7294</v>
      </c>
      <c r="AJ135" s="2">
        <f t="shared" si="33"/>
        <v>1310</v>
      </c>
      <c r="AK135" s="2">
        <f t="shared" si="34"/>
        <v>902</v>
      </c>
      <c r="AL135" s="2">
        <f t="shared" si="35"/>
        <v>697</v>
      </c>
      <c r="AM135" s="2">
        <f t="shared" si="36"/>
        <v>575</v>
      </c>
      <c r="AN135" s="2">
        <f t="shared" si="37"/>
        <v>493</v>
      </c>
      <c r="AO135" s="2" t="str">
        <f t="shared" si="38"/>
        <v>-</v>
      </c>
      <c r="AP135" s="2">
        <f t="shared" si="39"/>
        <v>4000</v>
      </c>
      <c r="AQ135" s="2">
        <f t="shared" si="40"/>
        <v>5999</v>
      </c>
      <c r="AR135" s="2">
        <f t="shared" si="41"/>
        <v>6794</v>
      </c>
      <c r="AS135" s="2">
        <f t="shared" si="42"/>
        <v>1221</v>
      </c>
      <c r="AT135" s="2">
        <f t="shared" si="43"/>
        <v>840</v>
      </c>
      <c r="AU135" s="2">
        <f t="shared" si="44"/>
        <v>650</v>
      </c>
      <c r="AV135" s="2">
        <f t="shared" si="45"/>
        <v>536</v>
      </c>
      <c r="AW135" s="2">
        <f t="shared" si="46"/>
        <v>460</v>
      </c>
      <c r="AX135" s="2" t="str">
        <f t="shared" si="47"/>
        <v>-</v>
      </c>
    </row>
    <row r="136" ht="14.25" customHeight="1">
      <c r="A136" s="2" t="str">
        <f t="array" ref="A136">IFERROR(INDEX('Product Price'!A:A,SMALL('Product Price'!$D:$D,134)),"")</f>
        <v>TECNO POVA8 5G 8/128 GB</v>
      </c>
      <c r="B136" s="2">
        <f t="array" ref="B136">IFERROR(INDEX('Product Price'!B:B,SMALL('Product Price'!$D:$D,134)),"")</f>
        <v>10999</v>
      </c>
      <c r="C136" s="2">
        <f t="array" ref="C136">IFERROR(INDEX('Product Price'!C:C,SMALL('Product Price'!$D:$D,134)),"")</f>
        <v>126</v>
      </c>
      <c r="D136" s="2">
        <f t="shared" si="1"/>
        <v>1450</v>
      </c>
      <c r="E136" s="2">
        <f t="shared" si="2"/>
        <v>12449</v>
      </c>
      <c r="F136" s="2">
        <f t="shared" si="48"/>
        <v>1650</v>
      </c>
      <c r="G136" s="2">
        <f t="shared" si="4"/>
        <v>9349</v>
      </c>
      <c r="H136" s="2">
        <f t="shared" si="5"/>
        <v>10799</v>
      </c>
      <c r="I136" s="2">
        <f t="shared" si="6"/>
        <v>1943</v>
      </c>
      <c r="J136" s="2">
        <f t="shared" si="7"/>
        <v>1337</v>
      </c>
      <c r="K136" s="2">
        <f t="shared" si="8"/>
        <v>1034</v>
      </c>
      <c r="L136" s="2">
        <f t="shared" si="9"/>
        <v>853</v>
      </c>
      <c r="M136" s="2">
        <f t="shared" si="10"/>
        <v>731</v>
      </c>
      <c r="N136" s="2">
        <f t="shared" si="11"/>
        <v>580</v>
      </c>
      <c r="O136" s="2">
        <f t="shared" si="12"/>
        <v>2200</v>
      </c>
      <c r="P136" s="2">
        <f t="shared" si="13"/>
        <v>8799</v>
      </c>
      <c r="Q136" s="2">
        <f t="shared" si="14"/>
        <v>10249</v>
      </c>
      <c r="R136" s="2">
        <f t="shared" si="15"/>
        <v>1845</v>
      </c>
      <c r="S136" s="2">
        <f t="shared" si="16"/>
        <v>1270</v>
      </c>
      <c r="T136" s="2">
        <f t="shared" si="17"/>
        <v>982</v>
      </c>
      <c r="U136" s="2">
        <f t="shared" si="18"/>
        <v>810</v>
      </c>
      <c r="V136" s="2">
        <f t="shared" si="19"/>
        <v>695</v>
      </c>
      <c r="W136" s="2">
        <f t="shared" si="20"/>
        <v>551</v>
      </c>
      <c r="X136" s="2">
        <f t="shared" si="21"/>
        <v>2750</v>
      </c>
      <c r="Y136" s="2">
        <f t="shared" si="22"/>
        <v>8249</v>
      </c>
      <c r="Z136" s="2">
        <f t="shared" si="23"/>
        <v>9699</v>
      </c>
      <c r="AA136" s="2">
        <f t="shared" si="24"/>
        <v>1747</v>
      </c>
      <c r="AB136" s="2">
        <f t="shared" si="25"/>
        <v>1202</v>
      </c>
      <c r="AC136" s="2">
        <f t="shared" si="26"/>
        <v>930</v>
      </c>
      <c r="AD136" s="2">
        <f t="shared" si="27"/>
        <v>767</v>
      </c>
      <c r="AE136" s="2">
        <f t="shared" si="28"/>
        <v>658</v>
      </c>
      <c r="AF136" s="2">
        <f t="shared" si="29"/>
        <v>522</v>
      </c>
      <c r="AG136" s="2">
        <f t="shared" si="30"/>
        <v>3850</v>
      </c>
      <c r="AH136" s="2">
        <f t="shared" si="31"/>
        <v>7149</v>
      </c>
      <c r="AI136" s="2">
        <f t="shared" si="32"/>
        <v>8599</v>
      </c>
      <c r="AJ136" s="2">
        <f t="shared" si="33"/>
        <v>1551</v>
      </c>
      <c r="AK136" s="2">
        <f t="shared" si="34"/>
        <v>1067</v>
      </c>
      <c r="AL136" s="2">
        <f t="shared" si="35"/>
        <v>826</v>
      </c>
      <c r="AM136" s="2">
        <f t="shared" si="36"/>
        <v>681</v>
      </c>
      <c r="AN136" s="2">
        <f t="shared" si="37"/>
        <v>584</v>
      </c>
      <c r="AO136" s="2" t="str">
        <f t="shared" si="38"/>
        <v>-</v>
      </c>
      <c r="AP136" s="2">
        <f t="shared" si="39"/>
        <v>4400</v>
      </c>
      <c r="AQ136" s="2">
        <f t="shared" si="40"/>
        <v>6599</v>
      </c>
      <c r="AR136" s="2">
        <f t="shared" si="41"/>
        <v>8049</v>
      </c>
      <c r="AS136" s="2">
        <f t="shared" si="42"/>
        <v>1453</v>
      </c>
      <c r="AT136" s="2">
        <f t="shared" si="43"/>
        <v>1000</v>
      </c>
      <c r="AU136" s="2">
        <f t="shared" si="44"/>
        <v>773</v>
      </c>
      <c r="AV136" s="2">
        <f t="shared" si="45"/>
        <v>638</v>
      </c>
      <c r="AW136" s="2">
        <f t="shared" si="46"/>
        <v>547</v>
      </c>
      <c r="AX136" s="2" t="str">
        <f t="shared" si="47"/>
        <v>-</v>
      </c>
    </row>
    <row r="137" ht="14.25" customHeight="1">
      <c r="A137" s="2" t="str">
        <f t="array" ref="A137">IFERROR(INDEX('Product Price'!A:A,SMALL('Product Price'!$D:$D,135)),"")</f>
        <v>TECNO POVA8 5G 8/256 GB</v>
      </c>
      <c r="B137" s="2">
        <f t="array" ref="B137">IFERROR(INDEX('Product Price'!B:B,SMALL('Product Price'!$D:$D,135)),"")</f>
        <v>11999</v>
      </c>
      <c r="C137" s="2">
        <f t="array" ref="C137">IFERROR(INDEX('Product Price'!C:C,SMALL('Product Price'!$D:$D,135)),"")</f>
        <v>127</v>
      </c>
      <c r="D137" s="2">
        <f t="shared" si="1"/>
        <v>1450</v>
      </c>
      <c r="E137" s="2">
        <f t="shared" si="2"/>
        <v>13449</v>
      </c>
      <c r="F137" s="2">
        <f t="shared" si="48"/>
        <v>1800</v>
      </c>
      <c r="G137" s="2">
        <f t="shared" si="4"/>
        <v>10199</v>
      </c>
      <c r="H137" s="2">
        <f t="shared" si="5"/>
        <v>11649</v>
      </c>
      <c r="I137" s="2">
        <f t="shared" si="6"/>
        <v>2094</v>
      </c>
      <c r="J137" s="2">
        <f t="shared" si="7"/>
        <v>1441</v>
      </c>
      <c r="K137" s="2">
        <f t="shared" si="8"/>
        <v>1115</v>
      </c>
      <c r="L137" s="2">
        <f t="shared" si="9"/>
        <v>919</v>
      </c>
      <c r="M137" s="2">
        <f t="shared" si="10"/>
        <v>788</v>
      </c>
      <c r="N137" s="2">
        <f t="shared" si="11"/>
        <v>625</v>
      </c>
      <c r="O137" s="2">
        <f t="shared" si="12"/>
        <v>2400</v>
      </c>
      <c r="P137" s="2">
        <f t="shared" si="13"/>
        <v>9599</v>
      </c>
      <c r="Q137" s="2">
        <f t="shared" si="14"/>
        <v>11049</v>
      </c>
      <c r="R137" s="2">
        <f t="shared" si="15"/>
        <v>1987</v>
      </c>
      <c r="S137" s="2">
        <f t="shared" si="16"/>
        <v>1368</v>
      </c>
      <c r="T137" s="2">
        <f t="shared" si="17"/>
        <v>1058</v>
      </c>
      <c r="U137" s="2">
        <f t="shared" si="18"/>
        <v>872</v>
      </c>
      <c r="V137" s="2">
        <f t="shared" si="19"/>
        <v>748</v>
      </c>
      <c r="W137" s="2">
        <f t="shared" si="20"/>
        <v>593</v>
      </c>
      <c r="X137" s="2">
        <f t="shared" si="21"/>
        <v>3000</v>
      </c>
      <c r="Y137" s="2">
        <f t="shared" si="22"/>
        <v>8999</v>
      </c>
      <c r="Z137" s="2">
        <f t="shared" si="23"/>
        <v>10449</v>
      </c>
      <c r="AA137" s="2">
        <f t="shared" si="24"/>
        <v>1880</v>
      </c>
      <c r="AB137" s="2">
        <f t="shared" si="25"/>
        <v>1294</v>
      </c>
      <c r="AC137" s="2">
        <f t="shared" si="26"/>
        <v>1001</v>
      </c>
      <c r="AD137" s="2">
        <f t="shared" si="27"/>
        <v>825</v>
      </c>
      <c r="AE137" s="2">
        <f t="shared" si="28"/>
        <v>708</v>
      </c>
      <c r="AF137" s="2">
        <f t="shared" si="29"/>
        <v>561</v>
      </c>
      <c r="AG137" s="2">
        <f t="shared" si="30"/>
        <v>4200</v>
      </c>
      <c r="AH137" s="2">
        <f t="shared" si="31"/>
        <v>7799</v>
      </c>
      <c r="AI137" s="2">
        <f t="shared" si="32"/>
        <v>9249</v>
      </c>
      <c r="AJ137" s="2">
        <f t="shared" si="33"/>
        <v>1666</v>
      </c>
      <c r="AK137" s="2">
        <f t="shared" si="34"/>
        <v>1147</v>
      </c>
      <c r="AL137" s="2">
        <f t="shared" si="35"/>
        <v>887</v>
      </c>
      <c r="AM137" s="2">
        <f t="shared" si="36"/>
        <v>731</v>
      </c>
      <c r="AN137" s="2">
        <f t="shared" si="37"/>
        <v>628</v>
      </c>
      <c r="AO137" s="2">
        <f t="shared" si="38"/>
        <v>498</v>
      </c>
      <c r="AP137" s="2">
        <f t="shared" si="39"/>
        <v>4800</v>
      </c>
      <c r="AQ137" s="2">
        <f t="shared" si="40"/>
        <v>7199</v>
      </c>
      <c r="AR137" s="2">
        <f t="shared" si="41"/>
        <v>8649</v>
      </c>
      <c r="AS137" s="2">
        <f t="shared" si="42"/>
        <v>1560</v>
      </c>
      <c r="AT137" s="2">
        <f t="shared" si="43"/>
        <v>1073</v>
      </c>
      <c r="AU137" s="2">
        <f t="shared" si="44"/>
        <v>830</v>
      </c>
      <c r="AV137" s="2">
        <f t="shared" si="45"/>
        <v>684</v>
      </c>
      <c r="AW137" s="2">
        <f t="shared" si="46"/>
        <v>587</v>
      </c>
      <c r="AX137" s="2" t="str">
        <f t="shared" si="47"/>
        <v>-</v>
      </c>
    </row>
    <row r="138" ht="14.25" customHeight="1">
      <c r="A138" s="2" t="str">
        <f t="array" ref="A138">IFERROR(INDEX('Product Price'!A:A,SMALL('Product Price'!$D:$D,136)),"")</f>
        <v>TECNO POVA7 Ultra 5G 12/256 GB</v>
      </c>
      <c r="B138" s="2">
        <f t="array" ref="B138">IFERROR(INDEX('Product Price'!B:B,SMALL('Product Price'!$D:$D,136)),"")</f>
        <v>13999</v>
      </c>
      <c r="C138" s="2">
        <f t="array" ref="C138">IFERROR(INDEX('Product Price'!C:C,SMALL('Product Price'!$D:$D,136)),"")</f>
        <v>117</v>
      </c>
      <c r="D138" s="2">
        <f t="shared" si="1"/>
        <v>1450</v>
      </c>
      <c r="E138" s="2">
        <f t="shared" si="2"/>
        <v>15449</v>
      </c>
      <c r="F138" s="2">
        <f t="shared" si="48"/>
        <v>2100</v>
      </c>
      <c r="G138" s="2">
        <f t="shared" si="4"/>
        <v>11899</v>
      </c>
      <c r="H138" s="2">
        <f t="shared" si="5"/>
        <v>13349</v>
      </c>
      <c r="I138" s="2">
        <f t="shared" si="6"/>
        <v>2397</v>
      </c>
      <c r="J138" s="2">
        <f t="shared" si="7"/>
        <v>1650</v>
      </c>
      <c r="K138" s="2">
        <f t="shared" si="8"/>
        <v>1276</v>
      </c>
      <c r="L138" s="2">
        <f t="shared" si="9"/>
        <v>1052</v>
      </c>
      <c r="M138" s="2">
        <f t="shared" si="10"/>
        <v>902</v>
      </c>
      <c r="N138" s="2">
        <f t="shared" si="11"/>
        <v>716</v>
      </c>
      <c r="O138" s="2">
        <f t="shared" si="12"/>
        <v>2800</v>
      </c>
      <c r="P138" s="2">
        <f t="shared" si="13"/>
        <v>11199</v>
      </c>
      <c r="Q138" s="2">
        <f t="shared" si="14"/>
        <v>12649</v>
      </c>
      <c r="R138" s="2">
        <f t="shared" si="15"/>
        <v>2272</v>
      </c>
      <c r="S138" s="2">
        <f t="shared" si="16"/>
        <v>1564</v>
      </c>
      <c r="T138" s="2">
        <f t="shared" si="17"/>
        <v>1210</v>
      </c>
      <c r="U138" s="2">
        <f t="shared" si="18"/>
        <v>997</v>
      </c>
      <c r="V138" s="2">
        <f t="shared" si="19"/>
        <v>855</v>
      </c>
      <c r="W138" s="2">
        <f t="shared" si="20"/>
        <v>678</v>
      </c>
      <c r="X138" s="2">
        <f t="shared" si="21"/>
        <v>3500</v>
      </c>
      <c r="Y138" s="2">
        <f t="shared" si="22"/>
        <v>10499</v>
      </c>
      <c r="Z138" s="2">
        <f t="shared" si="23"/>
        <v>11949</v>
      </c>
      <c r="AA138" s="2">
        <f t="shared" si="24"/>
        <v>2147</v>
      </c>
      <c r="AB138" s="2">
        <f t="shared" si="25"/>
        <v>1478</v>
      </c>
      <c r="AC138" s="2">
        <f t="shared" si="26"/>
        <v>1143</v>
      </c>
      <c r="AD138" s="2">
        <f t="shared" si="27"/>
        <v>942</v>
      </c>
      <c r="AE138" s="2">
        <f t="shared" si="28"/>
        <v>809</v>
      </c>
      <c r="AF138" s="2">
        <f t="shared" si="29"/>
        <v>641</v>
      </c>
      <c r="AG138" s="2">
        <f t="shared" si="30"/>
        <v>4900</v>
      </c>
      <c r="AH138" s="2">
        <f t="shared" si="31"/>
        <v>9099</v>
      </c>
      <c r="AI138" s="2">
        <f t="shared" si="32"/>
        <v>10549</v>
      </c>
      <c r="AJ138" s="2">
        <f t="shared" si="33"/>
        <v>1898</v>
      </c>
      <c r="AK138" s="2">
        <f t="shared" si="34"/>
        <v>1306</v>
      </c>
      <c r="AL138" s="2">
        <f t="shared" si="35"/>
        <v>1011</v>
      </c>
      <c r="AM138" s="2">
        <f t="shared" si="36"/>
        <v>833</v>
      </c>
      <c r="AN138" s="2">
        <f t="shared" si="37"/>
        <v>715</v>
      </c>
      <c r="AO138" s="2">
        <f t="shared" si="38"/>
        <v>567</v>
      </c>
      <c r="AP138" s="2">
        <f t="shared" si="39"/>
        <v>5600</v>
      </c>
      <c r="AQ138" s="2">
        <f t="shared" si="40"/>
        <v>8399</v>
      </c>
      <c r="AR138" s="2">
        <f t="shared" si="41"/>
        <v>9849</v>
      </c>
      <c r="AS138" s="2">
        <f t="shared" si="42"/>
        <v>1773</v>
      </c>
      <c r="AT138" s="2">
        <f t="shared" si="43"/>
        <v>1221</v>
      </c>
      <c r="AU138" s="2">
        <f t="shared" si="44"/>
        <v>944</v>
      </c>
      <c r="AV138" s="2">
        <f t="shared" si="45"/>
        <v>778</v>
      </c>
      <c r="AW138" s="2">
        <f t="shared" si="46"/>
        <v>668</v>
      </c>
      <c r="AX138" s="2">
        <f t="shared" si="47"/>
        <v>530</v>
      </c>
    </row>
    <row r="139" ht="14.25" customHeight="1">
      <c r="A139" s="2" t="str">
        <f t="array" ref="A139">IFERROR(INDEX('Product Price'!A:A,SMALL('Product Price'!$D:$D,137)),"")</f>
        <v>TECNO POVA7 5G 8/256 GB</v>
      </c>
      <c r="B139" s="2">
        <f t="array" ref="B139">IFERROR(INDEX('Product Price'!B:B,SMALL('Product Price'!$D:$D,137)),"")</f>
        <v>7999</v>
      </c>
      <c r="C139" s="2">
        <f t="array" ref="C139">IFERROR(INDEX('Product Price'!C:C,SMALL('Product Price'!$D:$D,137)),"")</f>
        <v>118</v>
      </c>
      <c r="D139" s="2">
        <f t="shared" si="1"/>
        <v>795</v>
      </c>
      <c r="E139" s="2">
        <f t="shared" si="2"/>
        <v>8794</v>
      </c>
      <c r="F139" s="2">
        <f t="shared" si="48"/>
        <v>1200</v>
      </c>
      <c r="G139" s="2">
        <f t="shared" si="4"/>
        <v>6799</v>
      </c>
      <c r="H139" s="2">
        <f t="shared" si="5"/>
        <v>7594</v>
      </c>
      <c r="I139" s="2">
        <f t="shared" si="6"/>
        <v>1363</v>
      </c>
      <c r="J139" s="2">
        <f t="shared" si="7"/>
        <v>938</v>
      </c>
      <c r="K139" s="2">
        <f t="shared" si="8"/>
        <v>726</v>
      </c>
      <c r="L139" s="2">
        <f t="shared" si="9"/>
        <v>598</v>
      </c>
      <c r="M139" s="2">
        <f t="shared" si="10"/>
        <v>513</v>
      </c>
      <c r="N139" s="2" t="str">
        <f t="shared" si="11"/>
        <v>-</v>
      </c>
      <c r="O139" s="2">
        <f t="shared" si="12"/>
        <v>1600</v>
      </c>
      <c r="P139" s="2">
        <f t="shared" si="13"/>
        <v>6399</v>
      </c>
      <c r="Q139" s="2">
        <f t="shared" si="14"/>
        <v>7194</v>
      </c>
      <c r="R139" s="2">
        <f t="shared" si="15"/>
        <v>1292</v>
      </c>
      <c r="S139" s="2">
        <f t="shared" si="16"/>
        <v>889</v>
      </c>
      <c r="T139" s="2">
        <f t="shared" si="17"/>
        <v>688</v>
      </c>
      <c r="U139" s="2">
        <f t="shared" si="18"/>
        <v>567</v>
      </c>
      <c r="V139" s="2">
        <f t="shared" si="19"/>
        <v>487</v>
      </c>
      <c r="W139" s="2" t="str">
        <f t="shared" si="20"/>
        <v>-</v>
      </c>
      <c r="X139" s="2">
        <f t="shared" si="21"/>
        <v>2000</v>
      </c>
      <c r="Y139" s="2">
        <f t="shared" si="22"/>
        <v>5999</v>
      </c>
      <c r="Z139" s="2">
        <f t="shared" si="23"/>
        <v>6794</v>
      </c>
      <c r="AA139" s="2">
        <f t="shared" si="24"/>
        <v>1221</v>
      </c>
      <c r="AB139" s="2">
        <f t="shared" si="25"/>
        <v>840</v>
      </c>
      <c r="AC139" s="2">
        <f t="shared" si="26"/>
        <v>650</v>
      </c>
      <c r="AD139" s="2">
        <f t="shared" si="27"/>
        <v>536</v>
      </c>
      <c r="AE139" s="2">
        <f t="shared" si="28"/>
        <v>460</v>
      </c>
      <c r="AF139" s="2" t="str">
        <f t="shared" si="29"/>
        <v>-</v>
      </c>
      <c r="AG139" s="2">
        <f t="shared" si="30"/>
        <v>2800</v>
      </c>
      <c r="AH139" s="2">
        <f t="shared" si="31"/>
        <v>5199</v>
      </c>
      <c r="AI139" s="2">
        <f t="shared" si="32"/>
        <v>5994</v>
      </c>
      <c r="AJ139" s="2">
        <f t="shared" si="33"/>
        <v>1078</v>
      </c>
      <c r="AK139" s="2">
        <f t="shared" si="34"/>
        <v>742</v>
      </c>
      <c r="AL139" s="2">
        <f t="shared" si="35"/>
        <v>574</v>
      </c>
      <c r="AM139" s="2">
        <f t="shared" si="36"/>
        <v>473</v>
      </c>
      <c r="AN139" s="2" t="str">
        <f t="shared" si="37"/>
        <v>-</v>
      </c>
      <c r="AO139" s="2" t="str">
        <f t="shared" si="38"/>
        <v>-</v>
      </c>
      <c r="AP139" s="2">
        <f t="shared" si="39"/>
        <v>3200</v>
      </c>
      <c r="AQ139" s="2">
        <f t="shared" si="40"/>
        <v>4799</v>
      </c>
      <c r="AR139" s="2">
        <f t="shared" si="41"/>
        <v>5594</v>
      </c>
      <c r="AS139" s="2">
        <f t="shared" si="42"/>
        <v>1007</v>
      </c>
      <c r="AT139" s="2">
        <f t="shared" si="43"/>
        <v>693</v>
      </c>
      <c r="AU139" s="2">
        <f t="shared" si="44"/>
        <v>536</v>
      </c>
      <c r="AV139" s="2" t="str">
        <f t="shared" si="45"/>
        <v>-</v>
      </c>
      <c r="AW139" s="2" t="str">
        <f t="shared" si="46"/>
        <v>-</v>
      </c>
      <c r="AX139" s="2" t="str">
        <f t="shared" si="47"/>
        <v>-</v>
      </c>
    </row>
    <row r="140" ht="14.25" customHeight="1">
      <c r="A140" s="2" t="str">
        <f t="array" ref="A140">IFERROR(INDEX('Product Price'!A:A,SMALL('Product Price'!$D:$D,138)),"")</f>
        <v>TECNO SLIM 5G 8/256 GB</v>
      </c>
      <c r="B140" s="2">
        <f t="array" ref="B140">IFERROR(INDEX('Product Price'!B:B,SMALL('Product Price'!$D:$D,138)),"")</f>
        <v>8999</v>
      </c>
      <c r="C140" s="2">
        <f t="array" ref="C140">IFERROR(INDEX('Product Price'!C:C,SMALL('Product Price'!$D:$D,138)),"")</f>
        <v>119</v>
      </c>
      <c r="D140" s="2">
        <f t="shared" si="1"/>
        <v>795</v>
      </c>
      <c r="E140" s="2">
        <f t="shared" si="2"/>
        <v>9794</v>
      </c>
      <c r="F140" s="2">
        <f t="shared" si="48"/>
        <v>1350</v>
      </c>
      <c r="G140" s="2">
        <f t="shared" si="4"/>
        <v>7649</v>
      </c>
      <c r="H140" s="2">
        <f t="shared" si="5"/>
        <v>8444</v>
      </c>
      <c r="I140" s="2">
        <f t="shared" si="6"/>
        <v>1515</v>
      </c>
      <c r="J140" s="2">
        <f t="shared" si="7"/>
        <v>1043</v>
      </c>
      <c r="K140" s="2">
        <f t="shared" si="8"/>
        <v>807</v>
      </c>
      <c r="L140" s="2">
        <f t="shared" si="9"/>
        <v>665</v>
      </c>
      <c r="M140" s="2">
        <f t="shared" si="10"/>
        <v>570</v>
      </c>
      <c r="N140" s="2">
        <f t="shared" si="11"/>
        <v>452</v>
      </c>
      <c r="O140" s="2">
        <f t="shared" si="12"/>
        <v>1800</v>
      </c>
      <c r="P140" s="2">
        <f t="shared" si="13"/>
        <v>7199</v>
      </c>
      <c r="Q140" s="2">
        <f t="shared" si="14"/>
        <v>7994</v>
      </c>
      <c r="R140" s="2">
        <f t="shared" si="15"/>
        <v>1435</v>
      </c>
      <c r="S140" s="2">
        <f t="shared" si="16"/>
        <v>987</v>
      </c>
      <c r="T140" s="2">
        <f t="shared" si="17"/>
        <v>764</v>
      </c>
      <c r="U140" s="2">
        <f t="shared" si="18"/>
        <v>630</v>
      </c>
      <c r="V140" s="2">
        <f t="shared" si="19"/>
        <v>540</v>
      </c>
      <c r="W140" s="2" t="str">
        <f t="shared" si="20"/>
        <v>-</v>
      </c>
      <c r="X140" s="2">
        <f t="shared" si="21"/>
        <v>2250</v>
      </c>
      <c r="Y140" s="2">
        <f t="shared" si="22"/>
        <v>6749</v>
      </c>
      <c r="Z140" s="2">
        <f t="shared" si="23"/>
        <v>7544</v>
      </c>
      <c r="AA140" s="2">
        <f t="shared" si="24"/>
        <v>1355</v>
      </c>
      <c r="AB140" s="2">
        <f t="shared" si="25"/>
        <v>932</v>
      </c>
      <c r="AC140" s="2">
        <f t="shared" si="26"/>
        <v>721</v>
      </c>
      <c r="AD140" s="2">
        <f t="shared" si="27"/>
        <v>595</v>
      </c>
      <c r="AE140" s="2">
        <f t="shared" si="28"/>
        <v>510</v>
      </c>
      <c r="AF140" s="2" t="str">
        <f t="shared" si="29"/>
        <v>-</v>
      </c>
      <c r="AG140" s="2">
        <f t="shared" si="30"/>
        <v>3150</v>
      </c>
      <c r="AH140" s="2">
        <f t="shared" si="31"/>
        <v>5849</v>
      </c>
      <c r="AI140" s="2">
        <f t="shared" si="32"/>
        <v>6644</v>
      </c>
      <c r="AJ140" s="2">
        <f t="shared" si="33"/>
        <v>1194</v>
      </c>
      <c r="AK140" s="2">
        <f t="shared" si="34"/>
        <v>822</v>
      </c>
      <c r="AL140" s="2">
        <f t="shared" si="35"/>
        <v>636</v>
      </c>
      <c r="AM140" s="2">
        <f t="shared" si="36"/>
        <v>524</v>
      </c>
      <c r="AN140" s="2" t="str">
        <f t="shared" si="37"/>
        <v>-</v>
      </c>
      <c r="AO140" s="2" t="str">
        <f t="shared" si="38"/>
        <v>-</v>
      </c>
      <c r="AP140" s="2">
        <f t="shared" si="39"/>
        <v>3600</v>
      </c>
      <c r="AQ140" s="2">
        <f t="shared" si="40"/>
        <v>5399</v>
      </c>
      <c r="AR140" s="2">
        <f t="shared" si="41"/>
        <v>6194</v>
      </c>
      <c r="AS140" s="2">
        <f t="shared" si="42"/>
        <v>1114</v>
      </c>
      <c r="AT140" s="2">
        <f t="shared" si="43"/>
        <v>767</v>
      </c>
      <c r="AU140" s="2">
        <f t="shared" si="44"/>
        <v>593</v>
      </c>
      <c r="AV140" s="2">
        <f t="shared" si="45"/>
        <v>489</v>
      </c>
      <c r="AW140" s="2" t="str">
        <f t="shared" si="46"/>
        <v>-</v>
      </c>
      <c r="AX140" s="2" t="str">
        <f t="shared" si="47"/>
        <v>-</v>
      </c>
    </row>
    <row r="141" ht="14.25" customHeight="1">
      <c r="A141" s="2" t="str">
        <f t="array" ref="A141">IFERROR(INDEX('Product Price'!A:A,SMALL('Product Price'!$D:$D,139)),"")</f>
        <v>TECNO SPARK 50 5G 4/128 GB</v>
      </c>
      <c r="B141" s="2">
        <f t="array" ref="B141">IFERROR(INDEX('Product Price'!B:B,SMALL('Product Price'!$D:$D,139)),"")</f>
        <v>6999</v>
      </c>
      <c r="C141" s="2">
        <f t="array" ref="C141">IFERROR(INDEX('Product Price'!C:C,SMALL('Product Price'!$D:$D,139)),"")</f>
        <v>120</v>
      </c>
      <c r="D141" s="2">
        <f t="shared" si="1"/>
        <v>795</v>
      </c>
      <c r="E141" s="2">
        <f t="shared" si="2"/>
        <v>7794</v>
      </c>
      <c r="F141" s="2">
        <f t="shared" si="48"/>
        <v>1050</v>
      </c>
      <c r="G141" s="2">
        <f t="shared" si="4"/>
        <v>5949</v>
      </c>
      <c r="H141" s="2">
        <f t="shared" si="5"/>
        <v>6744</v>
      </c>
      <c r="I141" s="2">
        <f t="shared" si="6"/>
        <v>1212</v>
      </c>
      <c r="J141" s="2">
        <f t="shared" si="7"/>
        <v>834</v>
      </c>
      <c r="K141" s="2">
        <f t="shared" si="8"/>
        <v>645</v>
      </c>
      <c r="L141" s="2">
        <f t="shared" si="9"/>
        <v>532</v>
      </c>
      <c r="M141" s="2" t="str">
        <f t="shared" si="10"/>
        <v>-</v>
      </c>
      <c r="N141" s="2" t="str">
        <f t="shared" si="11"/>
        <v>-</v>
      </c>
      <c r="O141" s="2">
        <f t="shared" si="12"/>
        <v>1400</v>
      </c>
      <c r="P141" s="2">
        <f t="shared" si="13"/>
        <v>5599</v>
      </c>
      <c r="Q141" s="2">
        <f t="shared" si="14"/>
        <v>6394</v>
      </c>
      <c r="R141" s="2">
        <f t="shared" si="15"/>
        <v>1150</v>
      </c>
      <c r="S141" s="2">
        <f t="shared" si="16"/>
        <v>791</v>
      </c>
      <c r="T141" s="2">
        <f t="shared" si="17"/>
        <v>612</v>
      </c>
      <c r="U141" s="2">
        <f t="shared" si="18"/>
        <v>505</v>
      </c>
      <c r="V141" s="2" t="str">
        <f t="shared" si="19"/>
        <v>-</v>
      </c>
      <c r="W141" s="2" t="str">
        <f t="shared" si="20"/>
        <v>-</v>
      </c>
      <c r="X141" s="2">
        <f t="shared" si="21"/>
        <v>1750</v>
      </c>
      <c r="Y141" s="2">
        <f t="shared" si="22"/>
        <v>5249</v>
      </c>
      <c r="Z141" s="2">
        <f t="shared" si="23"/>
        <v>6044</v>
      </c>
      <c r="AA141" s="2">
        <f t="shared" si="24"/>
        <v>1087</v>
      </c>
      <c r="AB141" s="2">
        <f t="shared" si="25"/>
        <v>748</v>
      </c>
      <c r="AC141" s="2">
        <f t="shared" si="26"/>
        <v>579</v>
      </c>
      <c r="AD141" s="2">
        <f t="shared" si="27"/>
        <v>477</v>
      </c>
      <c r="AE141" s="2" t="str">
        <f t="shared" si="28"/>
        <v>-</v>
      </c>
      <c r="AF141" s="2" t="str">
        <f t="shared" si="29"/>
        <v>-</v>
      </c>
      <c r="AG141" s="2">
        <f t="shared" si="30"/>
        <v>2450</v>
      </c>
      <c r="AH141" s="2">
        <f t="shared" si="31"/>
        <v>4549</v>
      </c>
      <c r="AI141" s="2">
        <f t="shared" si="32"/>
        <v>5344</v>
      </c>
      <c r="AJ141" s="2">
        <f t="shared" si="33"/>
        <v>963</v>
      </c>
      <c r="AK141" s="2">
        <f t="shared" si="34"/>
        <v>663</v>
      </c>
      <c r="AL141" s="2">
        <f t="shared" si="35"/>
        <v>513</v>
      </c>
      <c r="AM141" s="2" t="str">
        <f t="shared" si="36"/>
        <v>-</v>
      </c>
      <c r="AN141" s="2" t="str">
        <f t="shared" si="37"/>
        <v>-</v>
      </c>
      <c r="AO141" s="2" t="str">
        <f t="shared" si="38"/>
        <v>-</v>
      </c>
      <c r="AP141" s="2">
        <f t="shared" si="39"/>
        <v>2800</v>
      </c>
      <c r="AQ141" s="2">
        <f t="shared" si="40"/>
        <v>4199</v>
      </c>
      <c r="AR141" s="2">
        <f t="shared" si="41"/>
        <v>4994</v>
      </c>
      <c r="AS141" s="2">
        <f t="shared" si="42"/>
        <v>900</v>
      </c>
      <c r="AT141" s="2">
        <f t="shared" si="43"/>
        <v>620</v>
      </c>
      <c r="AU141" s="2" t="str">
        <f t="shared" si="44"/>
        <v>-</v>
      </c>
      <c r="AV141" s="2" t="str">
        <f t="shared" si="45"/>
        <v>-</v>
      </c>
      <c r="AW141" s="2" t="str">
        <f t="shared" si="46"/>
        <v>-</v>
      </c>
      <c r="AX141" s="2" t="str">
        <f t="shared" si="47"/>
        <v>-</v>
      </c>
    </row>
    <row r="142" ht="14.25" customHeight="1">
      <c r="A142" s="2" t="str">
        <f t="array" ref="A142">IFERROR(INDEX('Product Price'!A:A,SMALL('Product Price'!$D:$D,140)),"")</f>
        <v>TECNO SPARK 50 5G 6/128 GB</v>
      </c>
      <c r="B142" s="2">
        <f t="array" ref="B142">IFERROR(INDEX('Product Price'!B:B,SMALL('Product Price'!$D:$D,140)),"")</f>
        <v>7499</v>
      </c>
      <c r="C142" s="2">
        <f t="array" ref="C142">IFERROR(INDEX('Product Price'!C:C,SMALL('Product Price'!$D:$D,140)),"")</f>
        <v>121</v>
      </c>
      <c r="D142" s="2">
        <f t="shared" si="1"/>
        <v>795</v>
      </c>
      <c r="E142" s="2">
        <f t="shared" si="2"/>
        <v>8294</v>
      </c>
      <c r="F142" s="2">
        <f t="shared" si="48"/>
        <v>1125</v>
      </c>
      <c r="G142" s="2">
        <f t="shared" si="4"/>
        <v>6374</v>
      </c>
      <c r="H142" s="2">
        <f t="shared" si="5"/>
        <v>7169</v>
      </c>
      <c r="I142" s="2">
        <f t="shared" si="6"/>
        <v>1288</v>
      </c>
      <c r="J142" s="2">
        <f t="shared" si="7"/>
        <v>886</v>
      </c>
      <c r="K142" s="2">
        <f t="shared" si="8"/>
        <v>686</v>
      </c>
      <c r="L142" s="2">
        <f t="shared" si="9"/>
        <v>565</v>
      </c>
      <c r="M142" s="2">
        <f t="shared" si="10"/>
        <v>485</v>
      </c>
      <c r="N142" s="2" t="str">
        <f t="shared" si="11"/>
        <v>-</v>
      </c>
      <c r="O142" s="2">
        <f t="shared" si="12"/>
        <v>1500</v>
      </c>
      <c r="P142" s="2">
        <f t="shared" si="13"/>
        <v>5999</v>
      </c>
      <c r="Q142" s="2">
        <f t="shared" si="14"/>
        <v>6794</v>
      </c>
      <c r="R142" s="2">
        <f t="shared" si="15"/>
        <v>1221</v>
      </c>
      <c r="S142" s="2">
        <f t="shared" si="16"/>
        <v>840</v>
      </c>
      <c r="T142" s="2">
        <f t="shared" si="17"/>
        <v>650</v>
      </c>
      <c r="U142" s="2">
        <f t="shared" si="18"/>
        <v>536</v>
      </c>
      <c r="V142" s="2">
        <f t="shared" si="19"/>
        <v>460</v>
      </c>
      <c r="W142" s="2" t="str">
        <f t="shared" si="20"/>
        <v>-</v>
      </c>
      <c r="X142" s="2">
        <f t="shared" si="21"/>
        <v>1875</v>
      </c>
      <c r="Y142" s="2">
        <f t="shared" si="22"/>
        <v>5624</v>
      </c>
      <c r="Z142" s="2">
        <f t="shared" si="23"/>
        <v>6419</v>
      </c>
      <c r="AA142" s="2">
        <f t="shared" si="24"/>
        <v>1154</v>
      </c>
      <c r="AB142" s="2">
        <f t="shared" si="25"/>
        <v>794</v>
      </c>
      <c r="AC142" s="2">
        <f t="shared" si="26"/>
        <v>615</v>
      </c>
      <c r="AD142" s="2">
        <f t="shared" si="27"/>
        <v>507</v>
      </c>
      <c r="AE142" s="2" t="str">
        <f t="shared" si="28"/>
        <v>-</v>
      </c>
      <c r="AF142" s="2" t="str">
        <f t="shared" si="29"/>
        <v>-</v>
      </c>
      <c r="AG142" s="2">
        <f t="shared" si="30"/>
        <v>2625</v>
      </c>
      <c r="AH142" s="2">
        <f t="shared" si="31"/>
        <v>4874</v>
      </c>
      <c r="AI142" s="2">
        <f t="shared" si="32"/>
        <v>5669</v>
      </c>
      <c r="AJ142" s="2">
        <f t="shared" si="33"/>
        <v>1020</v>
      </c>
      <c r="AK142" s="2">
        <f t="shared" si="34"/>
        <v>702</v>
      </c>
      <c r="AL142" s="2">
        <f t="shared" si="35"/>
        <v>543</v>
      </c>
      <c r="AM142" s="2" t="str">
        <f t="shared" si="36"/>
        <v>-</v>
      </c>
      <c r="AN142" s="2" t="str">
        <f t="shared" si="37"/>
        <v>-</v>
      </c>
      <c r="AO142" s="2" t="str">
        <f t="shared" si="38"/>
        <v>-</v>
      </c>
      <c r="AP142" s="2">
        <f t="shared" si="39"/>
        <v>3000</v>
      </c>
      <c r="AQ142" s="2">
        <f t="shared" si="40"/>
        <v>4499</v>
      </c>
      <c r="AR142" s="2">
        <f t="shared" si="41"/>
        <v>5294</v>
      </c>
      <c r="AS142" s="2">
        <f t="shared" si="42"/>
        <v>954</v>
      </c>
      <c r="AT142" s="2">
        <f t="shared" si="43"/>
        <v>656</v>
      </c>
      <c r="AU142" s="2">
        <f t="shared" si="44"/>
        <v>508</v>
      </c>
      <c r="AV142" s="2" t="str">
        <f t="shared" si="45"/>
        <v>-</v>
      </c>
      <c r="AW142" s="2" t="str">
        <f t="shared" si="46"/>
        <v>-</v>
      </c>
      <c r="AX142" s="2" t="str">
        <f t="shared" si="47"/>
        <v>-</v>
      </c>
    </row>
    <row r="143" ht="14.25" customHeight="1">
      <c r="A143" s="2" t="str">
        <f t="array" ref="A143">IFERROR(INDEX('Product Price'!A:A,SMALL('Product Price'!$D:$D,141)),"")</f>
        <v>TECNO MEGAPAD Pro 8/256 GB</v>
      </c>
      <c r="B143" s="2">
        <f t="array" ref="B143">IFERROR(INDEX('Product Price'!B:B,SMALL('Product Price'!$D:$D,141)),"")</f>
        <v>9999</v>
      </c>
      <c r="C143" s="2">
        <f t="array" ref="C143">IFERROR(INDEX('Product Price'!C:C,SMALL('Product Price'!$D:$D,141)),"")</f>
        <v>128</v>
      </c>
      <c r="D143" s="2">
        <f t="shared" si="1"/>
        <v>795</v>
      </c>
      <c r="E143" s="2">
        <f t="shared" si="2"/>
        <v>10794</v>
      </c>
      <c r="F143" s="2">
        <f t="shared" si="48"/>
        <v>1500</v>
      </c>
      <c r="G143" s="2">
        <f t="shared" si="4"/>
        <v>8499</v>
      </c>
      <c r="H143" s="2">
        <f t="shared" si="5"/>
        <v>9294</v>
      </c>
      <c r="I143" s="2">
        <f t="shared" si="6"/>
        <v>1666</v>
      </c>
      <c r="J143" s="2">
        <f t="shared" si="7"/>
        <v>1147</v>
      </c>
      <c r="K143" s="2">
        <f t="shared" si="8"/>
        <v>887</v>
      </c>
      <c r="L143" s="2">
        <f t="shared" si="9"/>
        <v>731</v>
      </c>
      <c r="M143" s="2">
        <f t="shared" si="10"/>
        <v>627</v>
      </c>
      <c r="N143" s="2">
        <f t="shared" si="11"/>
        <v>498</v>
      </c>
      <c r="O143" s="2">
        <f t="shared" si="12"/>
        <v>2000</v>
      </c>
      <c r="P143" s="2">
        <f t="shared" si="13"/>
        <v>7999</v>
      </c>
      <c r="Q143" s="2">
        <f t="shared" si="14"/>
        <v>8794</v>
      </c>
      <c r="R143" s="2">
        <f t="shared" si="15"/>
        <v>1577</v>
      </c>
      <c r="S143" s="2">
        <f t="shared" si="16"/>
        <v>1086</v>
      </c>
      <c r="T143" s="2">
        <f t="shared" si="17"/>
        <v>840</v>
      </c>
      <c r="U143" s="2">
        <f t="shared" si="18"/>
        <v>692</v>
      </c>
      <c r="V143" s="2">
        <f t="shared" si="19"/>
        <v>594</v>
      </c>
      <c r="W143" s="2">
        <f t="shared" si="20"/>
        <v>471</v>
      </c>
      <c r="X143" s="2">
        <f t="shared" si="21"/>
        <v>2500</v>
      </c>
      <c r="Y143" s="2">
        <f t="shared" si="22"/>
        <v>7499</v>
      </c>
      <c r="Z143" s="2">
        <f t="shared" si="23"/>
        <v>8294</v>
      </c>
      <c r="AA143" s="2">
        <f t="shared" si="24"/>
        <v>1488</v>
      </c>
      <c r="AB143" s="2">
        <f t="shared" si="25"/>
        <v>1024</v>
      </c>
      <c r="AC143" s="2">
        <f t="shared" si="26"/>
        <v>792</v>
      </c>
      <c r="AD143" s="2">
        <f t="shared" si="27"/>
        <v>653</v>
      </c>
      <c r="AE143" s="2">
        <f t="shared" si="28"/>
        <v>560</v>
      </c>
      <c r="AF143" s="2" t="str">
        <f t="shared" si="29"/>
        <v>-</v>
      </c>
      <c r="AG143" s="2">
        <f t="shared" si="30"/>
        <v>3500</v>
      </c>
      <c r="AH143" s="2">
        <f t="shared" si="31"/>
        <v>6499</v>
      </c>
      <c r="AI143" s="2">
        <f t="shared" si="32"/>
        <v>7294</v>
      </c>
      <c r="AJ143" s="2">
        <f t="shared" si="33"/>
        <v>1310</v>
      </c>
      <c r="AK143" s="2">
        <f t="shared" si="34"/>
        <v>902</v>
      </c>
      <c r="AL143" s="2">
        <f t="shared" si="35"/>
        <v>697</v>
      </c>
      <c r="AM143" s="2">
        <f t="shared" si="36"/>
        <v>575</v>
      </c>
      <c r="AN143" s="2">
        <f t="shared" si="37"/>
        <v>493</v>
      </c>
      <c r="AO143" s="2" t="str">
        <f t="shared" si="38"/>
        <v>-</v>
      </c>
      <c r="AP143" s="2">
        <f t="shared" si="39"/>
        <v>4000</v>
      </c>
      <c r="AQ143" s="2">
        <f t="shared" si="40"/>
        <v>5999</v>
      </c>
      <c r="AR143" s="2">
        <f t="shared" si="41"/>
        <v>6794</v>
      </c>
      <c r="AS143" s="2">
        <f t="shared" si="42"/>
        <v>1221</v>
      </c>
      <c r="AT143" s="2">
        <f t="shared" si="43"/>
        <v>840</v>
      </c>
      <c r="AU143" s="2">
        <f t="shared" si="44"/>
        <v>650</v>
      </c>
      <c r="AV143" s="2">
        <f t="shared" si="45"/>
        <v>536</v>
      </c>
      <c r="AW143" s="2">
        <f t="shared" si="46"/>
        <v>460</v>
      </c>
      <c r="AX143" s="2" t="str">
        <f t="shared" si="47"/>
        <v>-</v>
      </c>
    </row>
    <row r="144" ht="14.25" customHeight="1">
      <c r="A144" s="2" t="str">
        <f t="array" ref="A144">IFERROR(INDEX('Product Price'!A:A,SMALL('Product Price'!$D:$D,142)),"")</f>
        <v>TECNO MEGAPAD Pro 8/128 GB</v>
      </c>
      <c r="B144" s="2">
        <f t="array" ref="B144">IFERROR(INDEX('Product Price'!B:B,SMALL('Product Price'!$D:$D,142)),"")</f>
        <v>9499</v>
      </c>
      <c r="C144" s="2">
        <f t="array" ref="C144">IFERROR(INDEX('Product Price'!C:C,SMALL('Product Price'!$D:$D,142)),"")</f>
        <v>129</v>
      </c>
      <c r="D144" s="2">
        <f t="shared" si="1"/>
        <v>795</v>
      </c>
      <c r="E144" s="2">
        <f t="shared" si="2"/>
        <v>10294</v>
      </c>
      <c r="F144" s="2">
        <f t="shared" si="48"/>
        <v>1425</v>
      </c>
      <c r="G144" s="2">
        <f t="shared" si="4"/>
        <v>8074</v>
      </c>
      <c r="H144" s="2">
        <f t="shared" si="5"/>
        <v>8869</v>
      </c>
      <c r="I144" s="2">
        <f t="shared" si="6"/>
        <v>1591</v>
      </c>
      <c r="J144" s="2">
        <f t="shared" si="7"/>
        <v>1095</v>
      </c>
      <c r="K144" s="2">
        <f t="shared" si="8"/>
        <v>847</v>
      </c>
      <c r="L144" s="2">
        <f t="shared" si="9"/>
        <v>698</v>
      </c>
      <c r="M144" s="2">
        <f t="shared" si="10"/>
        <v>599</v>
      </c>
      <c r="N144" s="2">
        <f t="shared" si="11"/>
        <v>475</v>
      </c>
      <c r="O144" s="2">
        <f t="shared" si="12"/>
        <v>1900</v>
      </c>
      <c r="P144" s="2">
        <f t="shared" si="13"/>
        <v>7599</v>
      </c>
      <c r="Q144" s="2">
        <f t="shared" si="14"/>
        <v>8394</v>
      </c>
      <c r="R144" s="2">
        <f t="shared" si="15"/>
        <v>1506</v>
      </c>
      <c r="S144" s="2">
        <f t="shared" si="16"/>
        <v>1037</v>
      </c>
      <c r="T144" s="2">
        <f t="shared" si="17"/>
        <v>802</v>
      </c>
      <c r="U144" s="2">
        <f t="shared" si="18"/>
        <v>661</v>
      </c>
      <c r="V144" s="2">
        <f t="shared" si="19"/>
        <v>567</v>
      </c>
      <c r="W144" s="2">
        <f t="shared" si="20"/>
        <v>450</v>
      </c>
      <c r="X144" s="2">
        <f t="shared" si="21"/>
        <v>2375</v>
      </c>
      <c r="Y144" s="2">
        <f t="shared" si="22"/>
        <v>7124</v>
      </c>
      <c r="Z144" s="2">
        <f t="shared" si="23"/>
        <v>7919</v>
      </c>
      <c r="AA144" s="2">
        <f t="shared" si="24"/>
        <v>1421</v>
      </c>
      <c r="AB144" s="2">
        <f t="shared" si="25"/>
        <v>978</v>
      </c>
      <c r="AC144" s="2">
        <f t="shared" si="26"/>
        <v>757</v>
      </c>
      <c r="AD144" s="2">
        <f t="shared" si="27"/>
        <v>624</v>
      </c>
      <c r="AE144" s="2">
        <f t="shared" si="28"/>
        <v>535</v>
      </c>
      <c r="AF144" s="2" t="str">
        <f t="shared" si="29"/>
        <v>-</v>
      </c>
      <c r="AG144" s="2">
        <f t="shared" si="30"/>
        <v>3325</v>
      </c>
      <c r="AH144" s="2">
        <f t="shared" si="31"/>
        <v>6174</v>
      </c>
      <c r="AI144" s="2">
        <f t="shared" si="32"/>
        <v>6969</v>
      </c>
      <c r="AJ144" s="2">
        <f t="shared" si="33"/>
        <v>1252</v>
      </c>
      <c r="AK144" s="2">
        <f t="shared" si="34"/>
        <v>862</v>
      </c>
      <c r="AL144" s="2">
        <f t="shared" si="35"/>
        <v>667</v>
      </c>
      <c r="AM144" s="2">
        <f t="shared" si="36"/>
        <v>550</v>
      </c>
      <c r="AN144" s="2">
        <f t="shared" si="37"/>
        <v>472</v>
      </c>
      <c r="AO144" s="2" t="str">
        <f t="shared" si="38"/>
        <v>-</v>
      </c>
      <c r="AP144" s="2">
        <f t="shared" si="39"/>
        <v>3800</v>
      </c>
      <c r="AQ144" s="2">
        <f t="shared" si="40"/>
        <v>5699</v>
      </c>
      <c r="AR144" s="2">
        <f t="shared" si="41"/>
        <v>6494</v>
      </c>
      <c r="AS144" s="2">
        <f t="shared" si="42"/>
        <v>1167</v>
      </c>
      <c r="AT144" s="2">
        <f t="shared" si="43"/>
        <v>804</v>
      </c>
      <c r="AU144" s="2">
        <f t="shared" si="44"/>
        <v>622</v>
      </c>
      <c r="AV144" s="2">
        <f t="shared" si="45"/>
        <v>512</v>
      </c>
      <c r="AW144" s="2" t="str">
        <f t="shared" si="46"/>
        <v>-</v>
      </c>
      <c r="AX144" s="2" t="str">
        <f t="shared" si="47"/>
        <v>-</v>
      </c>
    </row>
    <row r="145" ht="14.25" customHeight="1">
      <c r="A145" s="2" t="str">
        <f t="array" ref="A145">IFERROR(INDEX('Product Price'!A:A,SMALL('Product Price'!$D:$D,143)),"")</f>
        <v>TECNO MEGAPAD SE 4/128 GB</v>
      </c>
      <c r="B145" s="2">
        <f t="array" ref="B145">IFERROR(INDEX('Product Price'!B:B,SMALL('Product Price'!$D:$D,143)),"")</f>
        <v>6499</v>
      </c>
      <c r="C145" s="2">
        <f t="array" ref="C145">IFERROR(INDEX('Product Price'!C:C,SMALL('Product Price'!$D:$D,143)),"")</f>
        <v>130</v>
      </c>
      <c r="D145" s="2">
        <f t="shared" si="1"/>
        <v>795</v>
      </c>
      <c r="E145" s="2">
        <f t="shared" si="2"/>
        <v>7294</v>
      </c>
      <c r="F145" s="2">
        <f t="shared" si="48"/>
        <v>975</v>
      </c>
      <c r="G145" s="2">
        <f t="shared" si="4"/>
        <v>5524</v>
      </c>
      <c r="H145" s="2">
        <f t="shared" si="5"/>
        <v>6319</v>
      </c>
      <c r="I145" s="2">
        <f t="shared" si="6"/>
        <v>1136</v>
      </c>
      <c r="J145" s="2">
        <f t="shared" si="7"/>
        <v>782</v>
      </c>
      <c r="K145" s="2">
        <f t="shared" si="8"/>
        <v>605</v>
      </c>
      <c r="L145" s="2">
        <f t="shared" si="9"/>
        <v>499</v>
      </c>
      <c r="M145" s="2" t="str">
        <f t="shared" si="10"/>
        <v>-</v>
      </c>
      <c r="N145" s="2" t="str">
        <f t="shared" si="11"/>
        <v>-</v>
      </c>
      <c r="O145" s="2">
        <f t="shared" si="12"/>
        <v>1300</v>
      </c>
      <c r="P145" s="2">
        <f t="shared" si="13"/>
        <v>5199</v>
      </c>
      <c r="Q145" s="2">
        <f t="shared" si="14"/>
        <v>5994</v>
      </c>
      <c r="R145" s="2">
        <f t="shared" si="15"/>
        <v>1078</v>
      </c>
      <c r="S145" s="2">
        <f t="shared" si="16"/>
        <v>742</v>
      </c>
      <c r="T145" s="2">
        <f t="shared" si="17"/>
        <v>574</v>
      </c>
      <c r="U145" s="2">
        <f t="shared" si="18"/>
        <v>473</v>
      </c>
      <c r="V145" s="2" t="str">
        <f t="shared" si="19"/>
        <v>-</v>
      </c>
      <c r="W145" s="2" t="str">
        <f t="shared" si="20"/>
        <v>-</v>
      </c>
      <c r="X145" s="2">
        <f t="shared" si="21"/>
        <v>1625</v>
      </c>
      <c r="Y145" s="2">
        <f t="shared" si="22"/>
        <v>4874</v>
      </c>
      <c r="Z145" s="2">
        <f t="shared" si="23"/>
        <v>5669</v>
      </c>
      <c r="AA145" s="2">
        <f t="shared" si="24"/>
        <v>1020</v>
      </c>
      <c r="AB145" s="2">
        <f t="shared" si="25"/>
        <v>702</v>
      </c>
      <c r="AC145" s="2">
        <f t="shared" si="26"/>
        <v>543</v>
      </c>
      <c r="AD145" s="2" t="str">
        <f t="shared" si="27"/>
        <v>-</v>
      </c>
      <c r="AE145" s="2" t="str">
        <f t="shared" si="28"/>
        <v>-</v>
      </c>
      <c r="AF145" s="2" t="str">
        <f t="shared" si="29"/>
        <v>-</v>
      </c>
      <c r="AG145" s="2">
        <f t="shared" si="30"/>
        <v>2275</v>
      </c>
      <c r="AH145" s="2">
        <f t="shared" si="31"/>
        <v>4224</v>
      </c>
      <c r="AI145" s="2">
        <f t="shared" si="32"/>
        <v>5019</v>
      </c>
      <c r="AJ145" s="2">
        <f t="shared" si="33"/>
        <v>905</v>
      </c>
      <c r="AK145" s="2">
        <f t="shared" si="34"/>
        <v>623</v>
      </c>
      <c r="AL145" s="2">
        <f t="shared" si="35"/>
        <v>482</v>
      </c>
      <c r="AM145" s="2" t="str">
        <f t="shared" si="36"/>
        <v>-</v>
      </c>
      <c r="AN145" s="2" t="str">
        <f t="shared" si="37"/>
        <v>-</v>
      </c>
      <c r="AO145" s="2" t="str">
        <f t="shared" si="38"/>
        <v>-</v>
      </c>
      <c r="AP145" s="2">
        <f t="shared" si="39"/>
        <v>2600</v>
      </c>
      <c r="AQ145" s="2">
        <f t="shared" si="40"/>
        <v>3899</v>
      </c>
      <c r="AR145" s="2">
        <f t="shared" si="41"/>
        <v>4694</v>
      </c>
      <c r="AS145" s="2">
        <f t="shared" si="42"/>
        <v>847</v>
      </c>
      <c r="AT145" s="2">
        <f t="shared" si="43"/>
        <v>583</v>
      </c>
      <c r="AU145" s="2" t="str">
        <f t="shared" si="44"/>
        <v>-</v>
      </c>
      <c r="AV145" s="2" t="str">
        <f t="shared" si="45"/>
        <v>-</v>
      </c>
      <c r="AW145" s="2" t="str">
        <f t="shared" si="46"/>
        <v>-</v>
      </c>
      <c r="AX145" s="2" t="str">
        <f t="shared" si="47"/>
        <v>-</v>
      </c>
    </row>
    <row r="146" ht="14.25" customHeight="1">
      <c r="A146" s="2" t="str">
        <f t="array" ref="A146">IFERROR(INDEX('Product Price'!A:A,SMALL('Product Price'!$D:$D,144)),"")</f>
        <v>REDMI Note 17 Pro Max 5G 8/512 GB</v>
      </c>
      <c r="B146" s="2">
        <f t="array" ref="B146">IFERROR(INDEX('Product Price'!B:B,SMALL('Product Price'!$D:$D,144)),"")</f>
        <v>19999</v>
      </c>
      <c r="C146" s="2">
        <f t="array" ref="C146">IFERROR(INDEX('Product Price'!C:C,SMALL('Product Price'!$D:$D,144)),"")</f>
        <v>163</v>
      </c>
      <c r="D146" s="2">
        <f t="shared" si="1"/>
        <v>1450</v>
      </c>
      <c r="E146" s="2">
        <f t="shared" si="2"/>
        <v>21449</v>
      </c>
      <c r="F146" s="2">
        <f t="shared" si="48"/>
        <v>3000</v>
      </c>
      <c r="G146" s="2">
        <f t="shared" si="4"/>
        <v>16999</v>
      </c>
      <c r="H146" s="2">
        <f t="shared" si="5"/>
        <v>18449</v>
      </c>
      <c r="I146" s="2">
        <f t="shared" si="6"/>
        <v>3306</v>
      </c>
      <c r="J146" s="2">
        <f t="shared" si="7"/>
        <v>2275</v>
      </c>
      <c r="K146" s="2">
        <f t="shared" si="8"/>
        <v>1760</v>
      </c>
      <c r="L146" s="2">
        <f t="shared" si="9"/>
        <v>1451</v>
      </c>
      <c r="M146" s="2">
        <f t="shared" si="10"/>
        <v>1244</v>
      </c>
      <c r="N146" s="2">
        <f t="shared" si="11"/>
        <v>987</v>
      </c>
      <c r="O146" s="2">
        <f t="shared" si="12"/>
        <v>4000</v>
      </c>
      <c r="P146" s="2">
        <f t="shared" si="13"/>
        <v>15999</v>
      </c>
      <c r="Q146" s="2">
        <f t="shared" si="14"/>
        <v>17449</v>
      </c>
      <c r="R146" s="2">
        <f t="shared" si="15"/>
        <v>3127</v>
      </c>
      <c r="S146" s="2">
        <f t="shared" si="16"/>
        <v>2152</v>
      </c>
      <c r="T146" s="2">
        <f t="shared" si="17"/>
        <v>1665</v>
      </c>
      <c r="U146" s="2">
        <f t="shared" si="18"/>
        <v>1372</v>
      </c>
      <c r="V146" s="2">
        <f t="shared" si="19"/>
        <v>1177</v>
      </c>
      <c r="W146" s="2">
        <f t="shared" si="20"/>
        <v>934</v>
      </c>
      <c r="X146" s="2">
        <f t="shared" si="21"/>
        <v>5000</v>
      </c>
      <c r="Y146" s="2">
        <f t="shared" si="22"/>
        <v>14999</v>
      </c>
      <c r="Z146" s="2">
        <f t="shared" si="23"/>
        <v>16449</v>
      </c>
      <c r="AA146" s="2">
        <f t="shared" si="24"/>
        <v>2949</v>
      </c>
      <c r="AB146" s="2">
        <f t="shared" si="25"/>
        <v>2030</v>
      </c>
      <c r="AC146" s="2">
        <f t="shared" si="26"/>
        <v>1570</v>
      </c>
      <c r="AD146" s="2">
        <f t="shared" si="27"/>
        <v>1294</v>
      </c>
      <c r="AE146" s="2">
        <f t="shared" si="28"/>
        <v>1110</v>
      </c>
      <c r="AF146" s="2">
        <f t="shared" si="29"/>
        <v>880</v>
      </c>
      <c r="AG146" s="2">
        <f t="shared" si="30"/>
        <v>7000</v>
      </c>
      <c r="AH146" s="2">
        <f t="shared" si="31"/>
        <v>12999</v>
      </c>
      <c r="AI146" s="2">
        <f t="shared" si="32"/>
        <v>14449</v>
      </c>
      <c r="AJ146" s="2">
        <f t="shared" si="33"/>
        <v>2593</v>
      </c>
      <c r="AK146" s="2">
        <f t="shared" si="34"/>
        <v>1785</v>
      </c>
      <c r="AL146" s="2">
        <f t="shared" si="35"/>
        <v>1380</v>
      </c>
      <c r="AM146" s="2">
        <f t="shared" si="36"/>
        <v>1138</v>
      </c>
      <c r="AN146" s="2">
        <f t="shared" si="37"/>
        <v>976</v>
      </c>
      <c r="AO146" s="2">
        <f t="shared" si="38"/>
        <v>774</v>
      </c>
      <c r="AP146" s="2">
        <f t="shared" si="39"/>
        <v>8000</v>
      </c>
      <c r="AQ146" s="2">
        <f t="shared" si="40"/>
        <v>11999</v>
      </c>
      <c r="AR146" s="2">
        <f t="shared" si="41"/>
        <v>13449</v>
      </c>
      <c r="AS146" s="2">
        <f t="shared" si="42"/>
        <v>2415</v>
      </c>
      <c r="AT146" s="2">
        <f t="shared" si="43"/>
        <v>1662</v>
      </c>
      <c r="AU146" s="2">
        <f t="shared" si="44"/>
        <v>1286</v>
      </c>
      <c r="AV146" s="2">
        <f t="shared" si="45"/>
        <v>1060</v>
      </c>
      <c r="AW146" s="2">
        <f t="shared" si="46"/>
        <v>909</v>
      </c>
      <c r="AX146" s="2">
        <f t="shared" si="47"/>
        <v>721</v>
      </c>
    </row>
    <row r="147" ht="14.25" customHeight="1">
      <c r="A147" s="2" t="str">
        <f t="array" ref="A147">IFERROR(INDEX('Product Price'!A:A,SMALL('Product Price'!$D:$D,145)),"")</f>
        <v>REDMI Note 17 Pro Max 5G 8/256 GB</v>
      </c>
      <c r="B147" s="2">
        <f t="array" ref="B147">IFERROR(INDEX('Product Price'!B:B,SMALL('Product Price'!$D:$D,145)),"")</f>
        <v>17999</v>
      </c>
      <c r="C147" s="2">
        <f t="array" ref="C147">IFERROR(INDEX('Product Price'!C:C,SMALL('Product Price'!$D:$D,145)),"")</f>
        <v>164</v>
      </c>
      <c r="D147" s="2">
        <f t="shared" si="1"/>
        <v>1450</v>
      </c>
      <c r="E147" s="2">
        <f t="shared" si="2"/>
        <v>19449</v>
      </c>
      <c r="F147" s="2">
        <f t="shared" si="48"/>
        <v>2700</v>
      </c>
      <c r="G147" s="2">
        <f t="shared" si="4"/>
        <v>15299</v>
      </c>
      <c r="H147" s="2">
        <f t="shared" si="5"/>
        <v>16749</v>
      </c>
      <c r="I147" s="2">
        <f t="shared" si="6"/>
        <v>3003</v>
      </c>
      <c r="J147" s="2">
        <f t="shared" si="7"/>
        <v>2067</v>
      </c>
      <c r="K147" s="2">
        <f t="shared" si="8"/>
        <v>1598</v>
      </c>
      <c r="L147" s="2">
        <f t="shared" si="9"/>
        <v>1318</v>
      </c>
      <c r="M147" s="2">
        <f t="shared" si="10"/>
        <v>1130</v>
      </c>
      <c r="N147" s="2">
        <f t="shared" si="11"/>
        <v>896</v>
      </c>
      <c r="O147" s="2">
        <f t="shared" si="12"/>
        <v>3600</v>
      </c>
      <c r="P147" s="2">
        <f t="shared" si="13"/>
        <v>14399</v>
      </c>
      <c r="Q147" s="2">
        <f t="shared" si="14"/>
        <v>15849</v>
      </c>
      <c r="R147" s="2">
        <f t="shared" si="15"/>
        <v>2842</v>
      </c>
      <c r="S147" s="2">
        <f t="shared" si="16"/>
        <v>1956</v>
      </c>
      <c r="T147" s="2">
        <f t="shared" si="17"/>
        <v>1513</v>
      </c>
      <c r="U147" s="2">
        <f t="shared" si="18"/>
        <v>1247</v>
      </c>
      <c r="V147" s="2">
        <f t="shared" si="19"/>
        <v>1070</v>
      </c>
      <c r="W147" s="2">
        <f t="shared" si="20"/>
        <v>849</v>
      </c>
      <c r="X147" s="2">
        <f t="shared" si="21"/>
        <v>4500</v>
      </c>
      <c r="Y147" s="2">
        <f t="shared" si="22"/>
        <v>13499</v>
      </c>
      <c r="Z147" s="2">
        <f t="shared" si="23"/>
        <v>14949</v>
      </c>
      <c r="AA147" s="2">
        <f t="shared" si="24"/>
        <v>2682</v>
      </c>
      <c r="AB147" s="2">
        <f t="shared" si="25"/>
        <v>1846</v>
      </c>
      <c r="AC147" s="2">
        <f t="shared" si="26"/>
        <v>1428</v>
      </c>
      <c r="AD147" s="2">
        <f t="shared" si="27"/>
        <v>1177</v>
      </c>
      <c r="AE147" s="2">
        <f t="shared" si="28"/>
        <v>1010</v>
      </c>
      <c r="AF147" s="2">
        <f t="shared" si="29"/>
        <v>801</v>
      </c>
      <c r="AG147" s="2">
        <f t="shared" si="30"/>
        <v>6300</v>
      </c>
      <c r="AH147" s="2">
        <f t="shared" si="31"/>
        <v>11699</v>
      </c>
      <c r="AI147" s="2">
        <f t="shared" si="32"/>
        <v>13149</v>
      </c>
      <c r="AJ147" s="2">
        <f t="shared" si="33"/>
        <v>2361</v>
      </c>
      <c r="AK147" s="2">
        <f t="shared" si="34"/>
        <v>1625</v>
      </c>
      <c r="AL147" s="2">
        <f t="shared" si="35"/>
        <v>1257</v>
      </c>
      <c r="AM147" s="2">
        <f t="shared" si="36"/>
        <v>1036</v>
      </c>
      <c r="AN147" s="2">
        <f t="shared" si="37"/>
        <v>889</v>
      </c>
      <c r="AO147" s="2">
        <f t="shared" si="38"/>
        <v>705</v>
      </c>
      <c r="AP147" s="2">
        <f t="shared" si="39"/>
        <v>7200</v>
      </c>
      <c r="AQ147" s="2">
        <f t="shared" si="40"/>
        <v>10799</v>
      </c>
      <c r="AR147" s="2">
        <f t="shared" si="41"/>
        <v>12249</v>
      </c>
      <c r="AS147" s="2">
        <f t="shared" si="42"/>
        <v>2201</v>
      </c>
      <c r="AT147" s="2">
        <f t="shared" si="43"/>
        <v>1515</v>
      </c>
      <c r="AU147" s="2">
        <f t="shared" si="44"/>
        <v>1172</v>
      </c>
      <c r="AV147" s="2">
        <f t="shared" si="45"/>
        <v>966</v>
      </c>
      <c r="AW147" s="2">
        <f t="shared" si="46"/>
        <v>829</v>
      </c>
      <c r="AX147" s="2">
        <f t="shared" si="47"/>
        <v>657</v>
      </c>
    </row>
    <row r="148" ht="14.25" customHeight="1">
      <c r="A148" s="2" t="str">
        <f t="array" ref="A148">IFERROR(INDEX('Product Price'!A:A,SMALL('Product Price'!$D:$D,146)),"")</f>
        <v>REDMI Note 17 Pro 5G 8/256 GB</v>
      </c>
      <c r="B148" s="2">
        <f t="array" ref="B148">IFERROR(INDEX('Product Price'!B:B,SMALL('Product Price'!$D:$D,146)),"")</f>
        <v>15999</v>
      </c>
      <c r="C148" s="2">
        <f t="array" ref="C148">IFERROR(INDEX('Product Price'!C:C,SMALL('Product Price'!$D:$D,146)),"")</f>
        <v>165</v>
      </c>
      <c r="D148" s="2">
        <f t="shared" si="1"/>
        <v>1450</v>
      </c>
      <c r="E148" s="2">
        <f t="shared" si="2"/>
        <v>17449</v>
      </c>
      <c r="F148" s="2">
        <f t="shared" si="48"/>
        <v>2400</v>
      </c>
      <c r="G148" s="2">
        <f t="shared" si="4"/>
        <v>13599</v>
      </c>
      <c r="H148" s="2">
        <f t="shared" si="5"/>
        <v>15049</v>
      </c>
      <c r="I148" s="2">
        <f t="shared" si="6"/>
        <v>2700</v>
      </c>
      <c r="J148" s="2">
        <f t="shared" si="7"/>
        <v>1858</v>
      </c>
      <c r="K148" s="2">
        <f t="shared" si="8"/>
        <v>1437</v>
      </c>
      <c r="L148" s="2">
        <f t="shared" si="9"/>
        <v>1185</v>
      </c>
      <c r="M148" s="2">
        <f t="shared" si="10"/>
        <v>1016</v>
      </c>
      <c r="N148" s="2">
        <f t="shared" si="11"/>
        <v>806</v>
      </c>
      <c r="O148" s="2">
        <f t="shared" si="12"/>
        <v>3200</v>
      </c>
      <c r="P148" s="2">
        <f t="shared" si="13"/>
        <v>12799</v>
      </c>
      <c r="Q148" s="2">
        <f t="shared" si="14"/>
        <v>14249</v>
      </c>
      <c r="R148" s="2">
        <f t="shared" si="15"/>
        <v>2557</v>
      </c>
      <c r="S148" s="2">
        <f t="shared" si="16"/>
        <v>1760</v>
      </c>
      <c r="T148" s="2">
        <f t="shared" si="17"/>
        <v>1361</v>
      </c>
      <c r="U148" s="2">
        <f t="shared" si="18"/>
        <v>1122</v>
      </c>
      <c r="V148" s="2">
        <f t="shared" si="19"/>
        <v>963</v>
      </c>
      <c r="W148" s="2">
        <f t="shared" si="20"/>
        <v>763</v>
      </c>
      <c r="X148" s="2">
        <f t="shared" si="21"/>
        <v>4000</v>
      </c>
      <c r="Y148" s="2">
        <f t="shared" si="22"/>
        <v>11999</v>
      </c>
      <c r="Z148" s="2">
        <f t="shared" si="23"/>
        <v>13449</v>
      </c>
      <c r="AA148" s="2">
        <f t="shared" si="24"/>
        <v>2415</v>
      </c>
      <c r="AB148" s="2">
        <f t="shared" si="25"/>
        <v>1662</v>
      </c>
      <c r="AC148" s="2">
        <f t="shared" si="26"/>
        <v>1286</v>
      </c>
      <c r="AD148" s="2">
        <f t="shared" si="27"/>
        <v>1060</v>
      </c>
      <c r="AE148" s="2">
        <f t="shared" si="28"/>
        <v>909</v>
      </c>
      <c r="AF148" s="2">
        <f t="shared" si="29"/>
        <v>721</v>
      </c>
      <c r="AG148" s="2">
        <f t="shared" si="30"/>
        <v>5600</v>
      </c>
      <c r="AH148" s="2">
        <f t="shared" si="31"/>
        <v>10399</v>
      </c>
      <c r="AI148" s="2">
        <f t="shared" si="32"/>
        <v>11849</v>
      </c>
      <c r="AJ148" s="2">
        <f t="shared" si="33"/>
        <v>2130</v>
      </c>
      <c r="AK148" s="2">
        <f t="shared" si="34"/>
        <v>1466</v>
      </c>
      <c r="AL148" s="2">
        <f t="shared" si="35"/>
        <v>1134</v>
      </c>
      <c r="AM148" s="2">
        <f t="shared" si="36"/>
        <v>935</v>
      </c>
      <c r="AN148" s="2">
        <f t="shared" si="37"/>
        <v>802</v>
      </c>
      <c r="AO148" s="2">
        <f t="shared" si="38"/>
        <v>636</v>
      </c>
      <c r="AP148" s="2">
        <f t="shared" si="39"/>
        <v>6400</v>
      </c>
      <c r="AQ148" s="2">
        <f t="shared" si="40"/>
        <v>9599</v>
      </c>
      <c r="AR148" s="2">
        <f t="shared" si="41"/>
        <v>11049</v>
      </c>
      <c r="AS148" s="2">
        <f t="shared" si="42"/>
        <v>1987</v>
      </c>
      <c r="AT148" s="2">
        <f t="shared" si="43"/>
        <v>1368</v>
      </c>
      <c r="AU148" s="2">
        <f t="shared" si="44"/>
        <v>1058</v>
      </c>
      <c r="AV148" s="2">
        <f t="shared" si="45"/>
        <v>872</v>
      </c>
      <c r="AW148" s="2">
        <f t="shared" si="46"/>
        <v>748</v>
      </c>
      <c r="AX148" s="2">
        <f t="shared" si="47"/>
        <v>593</v>
      </c>
    </row>
    <row r="149" ht="14.25" customHeight="1">
      <c r="A149" s="2" t="str">
        <f t="array" ref="A149">IFERROR(INDEX('Product Price'!A:A,SMALL('Product Price'!$D:$D,147)),"")</f>
        <v>REDMI Note 17 Pro 5G 6/256 GB</v>
      </c>
      <c r="B149" s="2">
        <f t="array" ref="B149">IFERROR(INDEX('Product Price'!B:B,SMALL('Product Price'!$D:$D,147)),"")</f>
        <v>14999</v>
      </c>
      <c r="C149" s="2">
        <f t="array" ref="C149">IFERROR(INDEX('Product Price'!C:C,SMALL('Product Price'!$D:$D,147)),"")</f>
        <v>166</v>
      </c>
      <c r="D149" s="2">
        <f t="shared" si="1"/>
        <v>1450</v>
      </c>
      <c r="E149" s="2">
        <f t="shared" si="2"/>
        <v>16449</v>
      </c>
      <c r="F149" s="2">
        <f t="shared" si="48"/>
        <v>2250</v>
      </c>
      <c r="G149" s="2">
        <f t="shared" si="4"/>
        <v>12749</v>
      </c>
      <c r="H149" s="2">
        <f t="shared" si="5"/>
        <v>14199</v>
      </c>
      <c r="I149" s="2">
        <f t="shared" si="6"/>
        <v>2548</v>
      </c>
      <c r="J149" s="2">
        <f t="shared" si="7"/>
        <v>1754</v>
      </c>
      <c r="K149" s="2">
        <f t="shared" si="8"/>
        <v>1357</v>
      </c>
      <c r="L149" s="2">
        <f t="shared" si="9"/>
        <v>1118</v>
      </c>
      <c r="M149" s="2">
        <f t="shared" si="10"/>
        <v>959</v>
      </c>
      <c r="N149" s="2">
        <f t="shared" si="11"/>
        <v>761</v>
      </c>
      <c r="O149" s="2">
        <f t="shared" si="12"/>
        <v>3000</v>
      </c>
      <c r="P149" s="2">
        <f t="shared" si="13"/>
        <v>11999</v>
      </c>
      <c r="Q149" s="2">
        <f t="shared" si="14"/>
        <v>13449</v>
      </c>
      <c r="R149" s="2">
        <f t="shared" si="15"/>
        <v>2415</v>
      </c>
      <c r="S149" s="2">
        <f t="shared" si="16"/>
        <v>1662</v>
      </c>
      <c r="T149" s="2">
        <f t="shared" si="17"/>
        <v>1286</v>
      </c>
      <c r="U149" s="2">
        <f t="shared" si="18"/>
        <v>1060</v>
      </c>
      <c r="V149" s="2">
        <f t="shared" si="19"/>
        <v>909</v>
      </c>
      <c r="W149" s="2">
        <f t="shared" si="20"/>
        <v>721</v>
      </c>
      <c r="X149" s="2">
        <f t="shared" si="21"/>
        <v>3750</v>
      </c>
      <c r="Y149" s="2">
        <f t="shared" si="22"/>
        <v>11249</v>
      </c>
      <c r="Z149" s="2">
        <f t="shared" si="23"/>
        <v>12699</v>
      </c>
      <c r="AA149" s="2">
        <f t="shared" si="24"/>
        <v>2281</v>
      </c>
      <c r="AB149" s="2">
        <f t="shared" si="25"/>
        <v>1570</v>
      </c>
      <c r="AC149" s="2">
        <f t="shared" si="26"/>
        <v>1214</v>
      </c>
      <c r="AD149" s="2">
        <f t="shared" si="27"/>
        <v>1001</v>
      </c>
      <c r="AE149" s="2">
        <f t="shared" si="28"/>
        <v>859</v>
      </c>
      <c r="AF149" s="2">
        <f t="shared" si="29"/>
        <v>681</v>
      </c>
      <c r="AG149" s="2">
        <f t="shared" si="30"/>
        <v>5250</v>
      </c>
      <c r="AH149" s="2">
        <f t="shared" si="31"/>
        <v>9749</v>
      </c>
      <c r="AI149" s="2">
        <f t="shared" si="32"/>
        <v>11199</v>
      </c>
      <c r="AJ149" s="2">
        <f t="shared" si="33"/>
        <v>2014</v>
      </c>
      <c r="AK149" s="2">
        <f t="shared" si="34"/>
        <v>1386</v>
      </c>
      <c r="AL149" s="2">
        <f t="shared" si="35"/>
        <v>1072</v>
      </c>
      <c r="AM149" s="2">
        <f t="shared" si="36"/>
        <v>884</v>
      </c>
      <c r="AN149" s="2">
        <f t="shared" si="37"/>
        <v>758</v>
      </c>
      <c r="AO149" s="2">
        <f t="shared" si="38"/>
        <v>601</v>
      </c>
      <c r="AP149" s="2">
        <f t="shared" si="39"/>
        <v>6000</v>
      </c>
      <c r="AQ149" s="2">
        <f t="shared" si="40"/>
        <v>8999</v>
      </c>
      <c r="AR149" s="2">
        <f t="shared" si="41"/>
        <v>10449</v>
      </c>
      <c r="AS149" s="2">
        <f t="shared" si="42"/>
        <v>1880</v>
      </c>
      <c r="AT149" s="2">
        <f t="shared" si="43"/>
        <v>1294</v>
      </c>
      <c r="AU149" s="2">
        <f t="shared" si="44"/>
        <v>1001</v>
      </c>
      <c r="AV149" s="2">
        <f t="shared" si="45"/>
        <v>825</v>
      </c>
      <c r="AW149" s="2">
        <f t="shared" si="46"/>
        <v>708</v>
      </c>
      <c r="AX149" s="2">
        <f t="shared" si="47"/>
        <v>561</v>
      </c>
    </row>
    <row r="150" ht="14.25" customHeight="1">
      <c r="A150" s="2" t="str">
        <f t="array" ref="A150">IFERROR(INDEX('Product Price'!A:A,SMALL('Product Price'!$D:$D,148)),"")</f>
        <v>REDMI Note 17 5G 8/256 GB</v>
      </c>
      <c r="B150" s="2">
        <f t="array" ref="B150">IFERROR(INDEX('Product Price'!B:B,SMALL('Product Price'!$D:$D,148)),"")</f>
        <v>12999</v>
      </c>
      <c r="C150" s="2">
        <f t="array" ref="C150">IFERROR(INDEX('Product Price'!C:C,SMALL('Product Price'!$D:$D,148)),"")</f>
        <v>167</v>
      </c>
      <c r="D150" s="2">
        <f t="shared" si="1"/>
        <v>1450</v>
      </c>
      <c r="E150" s="2">
        <f t="shared" si="2"/>
        <v>14449</v>
      </c>
      <c r="F150" s="2">
        <f t="shared" si="48"/>
        <v>1950</v>
      </c>
      <c r="G150" s="2">
        <f t="shared" si="4"/>
        <v>11049</v>
      </c>
      <c r="H150" s="2">
        <f t="shared" si="5"/>
        <v>12499</v>
      </c>
      <c r="I150" s="2">
        <f t="shared" si="6"/>
        <v>2245</v>
      </c>
      <c r="J150" s="2">
        <f t="shared" si="7"/>
        <v>1545</v>
      </c>
      <c r="K150" s="2">
        <f t="shared" si="8"/>
        <v>1195</v>
      </c>
      <c r="L150" s="2">
        <f t="shared" si="9"/>
        <v>985</v>
      </c>
      <c r="M150" s="2">
        <f t="shared" si="10"/>
        <v>845</v>
      </c>
      <c r="N150" s="2">
        <f t="shared" si="11"/>
        <v>670</v>
      </c>
      <c r="O150" s="2">
        <f t="shared" si="12"/>
        <v>2600</v>
      </c>
      <c r="P150" s="2">
        <f t="shared" si="13"/>
        <v>10399</v>
      </c>
      <c r="Q150" s="2">
        <f t="shared" si="14"/>
        <v>11849</v>
      </c>
      <c r="R150" s="2">
        <f t="shared" si="15"/>
        <v>2130</v>
      </c>
      <c r="S150" s="2">
        <f t="shared" si="16"/>
        <v>1466</v>
      </c>
      <c r="T150" s="2">
        <f t="shared" si="17"/>
        <v>1134</v>
      </c>
      <c r="U150" s="2">
        <f t="shared" si="18"/>
        <v>935</v>
      </c>
      <c r="V150" s="2">
        <f t="shared" si="19"/>
        <v>802</v>
      </c>
      <c r="W150" s="2">
        <f t="shared" si="20"/>
        <v>636</v>
      </c>
      <c r="X150" s="2">
        <f t="shared" si="21"/>
        <v>3250</v>
      </c>
      <c r="Y150" s="2">
        <f t="shared" si="22"/>
        <v>9749</v>
      </c>
      <c r="Z150" s="2">
        <f t="shared" si="23"/>
        <v>11199</v>
      </c>
      <c r="AA150" s="2">
        <f t="shared" si="24"/>
        <v>2014</v>
      </c>
      <c r="AB150" s="2">
        <f t="shared" si="25"/>
        <v>1386</v>
      </c>
      <c r="AC150" s="2">
        <f t="shared" si="26"/>
        <v>1072</v>
      </c>
      <c r="AD150" s="2">
        <f t="shared" si="27"/>
        <v>884</v>
      </c>
      <c r="AE150" s="2">
        <f t="shared" si="28"/>
        <v>758</v>
      </c>
      <c r="AF150" s="2">
        <f t="shared" si="29"/>
        <v>601</v>
      </c>
      <c r="AG150" s="2">
        <f t="shared" si="30"/>
        <v>4550</v>
      </c>
      <c r="AH150" s="2">
        <f t="shared" si="31"/>
        <v>8449</v>
      </c>
      <c r="AI150" s="2">
        <f t="shared" si="32"/>
        <v>9899</v>
      </c>
      <c r="AJ150" s="2">
        <f t="shared" si="33"/>
        <v>1782</v>
      </c>
      <c r="AK150" s="2">
        <f t="shared" si="34"/>
        <v>1227</v>
      </c>
      <c r="AL150" s="2">
        <f t="shared" si="35"/>
        <v>949</v>
      </c>
      <c r="AM150" s="2">
        <f t="shared" si="36"/>
        <v>782</v>
      </c>
      <c r="AN150" s="2">
        <f t="shared" si="37"/>
        <v>671</v>
      </c>
      <c r="AO150" s="2">
        <f t="shared" si="38"/>
        <v>532</v>
      </c>
      <c r="AP150" s="2">
        <f t="shared" si="39"/>
        <v>5200</v>
      </c>
      <c r="AQ150" s="2">
        <f t="shared" si="40"/>
        <v>7799</v>
      </c>
      <c r="AR150" s="2">
        <f t="shared" si="41"/>
        <v>9249</v>
      </c>
      <c r="AS150" s="2">
        <f t="shared" si="42"/>
        <v>1666</v>
      </c>
      <c r="AT150" s="2">
        <f t="shared" si="43"/>
        <v>1147</v>
      </c>
      <c r="AU150" s="2">
        <f t="shared" si="44"/>
        <v>887</v>
      </c>
      <c r="AV150" s="2">
        <f t="shared" si="45"/>
        <v>731</v>
      </c>
      <c r="AW150" s="2">
        <f t="shared" si="46"/>
        <v>628</v>
      </c>
      <c r="AX150" s="2">
        <f t="shared" si="47"/>
        <v>498</v>
      </c>
    </row>
    <row r="151" ht="14.25" customHeight="1">
      <c r="A151" s="2" t="str">
        <f t="array" ref="A151">IFERROR(INDEX('Product Price'!A:A,SMALL('Product Price'!$D:$D,149)),"")</f>
        <v>REDMI Note 17 5G 6/256 GB</v>
      </c>
      <c r="B151" s="2">
        <f t="array" ref="B151">IFERROR(INDEX('Product Price'!B:B,SMALL('Product Price'!$D:$D,149)),"")</f>
        <v>11999</v>
      </c>
      <c r="C151" s="2">
        <f t="array" ref="C151">IFERROR(INDEX('Product Price'!C:C,SMALL('Product Price'!$D:$D,149)),"")</f>
        <v>168</v>
      </c>
      <c r="D151" s="2">
        <f t="shared" si="1"/>
        <v>1450</v>
      </c>
      <c r="E151" s="2">
        <f t="shared" si="2"/>
        <v>13449</v>
      </c>
      <c r="F151" s="2">
        <f t="shared" si="48"/>
        <v>1800</v>
      </c>
      <c r="G151" s="2">
        <f t="shared" si="4"/>
        <v>10199</v>
      </c>
      <c r="H151" s="2">
        <f t="shared" si="5"/>
        <v>11649</v>
      </c>
      <c r="I151" s="2">
        <f t="shared" si="6"/>
        <v>2094</v>
      </c>
      <c r="J151" s="2">
        <f t="shared" si="7"/>
        <v>1441</v>
      </c>
      <c r="K151" s="2">
        <f t="shared" si="8"/>
        <v>1115</v>
      </c>
      <c r="L151" s="2">
        <f t="shared" si="9"/>
        <v>919</v>
      </c>
      <c r="M151" s="2">
        <f t="shared" si="10"/>
        <v>788</v>
      </c>
      <c r="N151" s="2">
        <f t="shared" si="11"/>
        <v>625</v>
      </c>
      <c r="O151" s="2">
        <f t="shared" si="12"/>
        <v>2400</v>
      </c>
      <c r="P151" s="2">
        <f t="shared" si="13"/>
        <v>9599</v>
      </c>
      <c r="Q151" s="2">
        <f t="shared" si="14"/>
        <v>11049</v>
      </c>
      <c r="R151" s="2">
        <f t="shared" si="15"/>
        <v>1987</v>
      </c>
      <c r="S151" s="2">
        <f t="shared" si="16"/>
        <v>1368</v>
      </c>
      <c r="T151" s="2">
        <f t="shared" si="17"/>
        <v>1058</v>
      </c>
      <c r="U151" s="2">
        <f t="shared" si="18"/>
        <v>872</v>
      </c>
      <c r="V151" s="2">
        <f t="shared" si="19"/>
        <v>748</v>
      </c>
      <c r="W151" s="2">
        <f t="shared" si="20"/>
        <v>593</v>
      </c>
      <c r="X151" s="2">
        <f t="shared" si="21"/>
        <v>3000</v>
      </c>
      <c r="Y151" s="2">
        <f t="shared" si="22"/>
        <v>8999</v>
      </c>
      <c r="Z151" s="2">
        <f t="shared" si="23"/>
        <v>10449</v>
      </c>
      <c r="AA151" s="2">
        <f t="shared" si="24"/>
        <v>1880</v>
      </c>
      <c r="AB151" s="2">
        <f t="shared" si="25"/>
        <v>1294</v>
      </c>
      <c r="AC151" s="2">
        <f t="shared" si="26"/>
        <v>1001</v>
      </c>
      <c r="AD151" s="2">
        <f t="shared" si="27"/>
        <v>825</v>
      </c>
      <c r="AE151" s="2">
        <f t="shared" si="28"/>
        <v>708</v>
      </c>
      <c r="AF151" s="2">
        <f t="shared" si="29"/>
        <v>561</v>
      </c>
      <c r="AG151" s="2">
        <f t="shared" si="30"/>
        <v>4200</v>
      </c>
      <c r="AH151" s="2">
        <f t="shared" si="31"/>
        <v>7799</v>
      </c>
      <c r="AI151" s="2">
        <f t="shared" si="32"/>
        <v>9249</v>
      </c>
      <c r="AJ151" s="2">
        <f t="shared" si="33"/>
        <v>1666</v>
      </c>
      <c r="AK151" s="2">
        <f t="shared" si="34"/>
        <v>1147</v>
      </c>
      <c r="AL151" s="2">
        <f t="shared" si="35"/>
        <v>887</v>
      </c>
      <c r="AM151" s="2">
        <f t="shared" si="36"/>
        <v>731</v>
      </c>
      <c r="AN151" s="2">
        <f t="shared" si="37"/>
        <v>628</v>
      </c>
      <c r="AO151" s="2">
        <f t="shared" si="38"/>
        <v>498</v>
      </c>
      <c r="AP151" s="2">
        <f t="shared" si="39"/>
        <v>4800</v>
      </c>
      <c r="AQ151" s="2">
        <f t="shared" si="40"/>
        <v>7199</v>
      </c>
      <c r="AR151" s="2">
        <f t="shared" si="41"/>
        <v>8649</v>
      </c>
      <c r="AS151" s="2">
        <f t="shared" si="42"/>
        <v>1560</v>
      </c>
      <c r="AT151" s="2">
        <f t="shared" si="43"/>
        <v>1073</v>
      </c>
      <c r="AU151" s="2">
        <f t="shared" si="44"/>
        <v>830</v>
      </c>
      <c r="AV151" s="2">
        <f t="shared" si="45"/>
        <v>684</v>
      </c>
      <c r="AW151" s="2">
        <f t="shared" si="46"/>
        <v>587</v>
      </c>
      <c r="AX151" s="2" t="str">
        <f t="shared" si="47"/>
        <v>-</v>
      </c>
    </row>
    <row r="152" ht="14.25" customHeight="1">
      <c r="A152" s="2" t="str">
        <f t="array" ref="A152">IFERROR(INDEX('Product Price'!A:A,SMALL('Product Price'!$D:$D,150)),"")</f>
        <v>REDMI Note 17 6/128 GB</v>
      </c>
      <c r="B152" s="2">
        <f t="array" ref="B152">IFERROR(INDEX('Product Price'!B:B,SMALL('Product Price'!$D:$D,150)),"")</f>
        <v>8499</v>
      </c>
      <c r="C152" s="2">
        <f t="array" ref="C152">IFERROR(INDEX('Product Price'!C:C,SMALL('Product Price'!$D:$D,150)),"")</f>
        <v>169</v>
      </c>
      <c r="D152" s="2">
        <f t="shared" si="1"/>
        <v>795</v>
      </c>
      <c r="E152" s="2">
        <f t="shared" si="2"/>
        <v>9294</v>
      </c>
      <c r="F152" s="2">
        <f t="shared" si="48"/>
        <v>1275</v>
      </c>
      <c r="G152" s="2">
        <f t="shared" si="4"/>
        <v>7224</v>
      </c>
      <c r="H152" s="2">
        <f t="shared" si="5"/>
        <v>8019</v>
      </c>
      <c r="I152" s="2">
        <f t="shared" si="6"/>
        <v>1439</v>
      </c>
      <c r="J152" s="2">
        <f t="shared" si="7"/>
        <v>991</v>
      </c>
      <c r="K152" s="2">
        <f t="shared" si="8"/>
        <v>766</v>
      </c>
      <c r="L152" s="2">
        <f t="shared" si="9"/>
        <v>632</v>
      </c>
      <c r="M152" s="2">
        <f t="shared" si="10"/>
        <v>542</v>
      </c>
      <c r="N152" s="2" t="str">
        <f t="shared" si="11"/>
        <v>-</v>
      </c>
      <c r="O152" s="2">
        <f t="shared" si="12"/>
        <v>1700</v>
      </c>
      <c r="P152" s="2">
        <f t="shared" si="13"/>
        <v>6799</v>
      </c>
      <c r="Q152" s="2">
        <f t="shared" si="14"/>
        <v>7594</v>
      </c>
      <c r="R152" s="2">
        <f t="shared" si="15"/>
        <v>1363</v>
      </c>
      <c r="S152" s="2">
        <f t="shared" si="16"/>
        <v>938</v>
      </c>
      <c r="T152" s="2">
        <f t="shared" si="17"/>
        <v>726</v>
      </c>
      <c r="U152" s="2">
        <f t="shared" si="18"/>
        <v>598</v>
      </c>
      <c r="V152" s="2">
        <f t="shared" si="19"/>
        <v>513</v>
      </c>
      <c r="W152" s="2" t="str">
        <f t="shared" si="20"/>
        <v>-</v>
      </c>
      <c r="X152" s="2">
        <f t="shared" si="21"/>
        <v>2125</v>
      </c>
      <c r="Y152" s="2">
        <f t="shared" si="22"/>
        <v>6374</v>
      </c>
      <c r="Z152" s="2">
        <f t="shared" si="23"/>
        <v>7169</v>
      </c>
      <c r="AA152" s="2">
        <f t="shared" si="24"/>
        <v>1288</v>
      </c>
      <c r="AB152" s="2">
        <f t="shared" si="25"/>
        <v>886</v>
      </c>
      <c r="AC152" s="2">
        <f t="shared" si="26"/>
        <v>686</v>
      </c>
      <c r="AD152" s="2">
        <f t="shared" si="27"/>
        <v>565</v>
      </c>
      <c r="AE152" s="2">
        <f t="shared" si="28"/>
        <v>485</v>
      </c>
      <c r="AF152" s="2" t="str">
        <f t="shared" si="29"/>
        <v>-</v>
      </c>
      <c r="AG152" s="2">
        <f t="shared" si="30"/>
        <v>2975</v>
      </c>
      <c r="AH152" s="2">
        <f t="shared" si="31"/>
        <v>5524</v>
      </c>
      <c r="AI152" s="2">
        <f t="shared" si="32"/>
        <v>6319</v>
      </c>
      <c r="AJ152" s="2">
        <f t="shared" si="33"/>
        <v>1136</v>
      </c>
      <c r="AK152" s="2">
        <f t="shared" si="34"/>
        <v>782</v>
      </c>
      <c r="AL152" s="2">
        <f t="shared" si="35"/>
        <v>605</v>
      </c>
      <c r="AM152" s="2">
        <f t="shared" si="36"/>
        <v>499</v>
      </c>
      <c r="AN152" s="2" t="str">
        <f t="shared" si="37"/>
        <v>-</v>
      </c>
      <c r="AO152" s="2" t="str">
        <f t="shared" si="38"/>
        <v>-</v>
      </c>
      <c r="AP152" s="2">
        <f t="shared" si="39"/>
        <v>3400</v>
      </c>
      <c r="AQ152" s="2">
        <f t="shared" si="40"/>
        <v>5099</v>
      </c>
      <c r="AR152" s="2">
        <f t="shared" si="41"/>
        <v>5894</v>
      </c>
      <c r="AS152" s="2">
        <f t="shared" si="42"/>
        <v>1061</v>
      </c>
      <c r="AT152" s="2">
        <f t="shared" si="43"/>
        <v>730</v>
      </c>
      <c r="AU152" s="2">
        <f t="shared" si="44"/>
        <v>565</v>
      </c>
      <c r="AV152" s="2" t="str">
        <f t="shared" si="45"/>
        <v>-</v>
      </c>
      <c r="AW152" s="2" t="str">
        <f t="shared" si="46"/>
        <v>-</v>
      </c>
      <c r="AX152" s="2" t="str">
        <f t="shared" si="47"/>
        <v>-</v>
      </c>
    </row>
    <row r="153" ht="14.25" customHeight="1">
      <c r="A153" s="2" t="str">
        <f t="array" ref="A153">IFERROR(INDEX('Product Price'!A:A,SMALL('Product Price'!$D:$D,151)),"")</f>
        <v>REDMI Note 15 Pro+ 5G 12/512 GB</v>
      </c>
      <c r="B153" s="2">
        <f t="array" ref="B153">IFERROR(INDEX('Product Price'!B:B,SMALL('Product Price'!$D:$D,151)),"")</f>
        <v>16990</v>
      </c>
      <c r="C153" s="2">
        <f t="array" ref="C153">IFERROR(INDEX('Product Price'!C:C,SMALL('Product Price'!$D:$D,151)),"")</f>
        <v>131</v>
      </c>
      <c r="D153" s="2">
        <f t="shared" si="1"/>
        <v>1450</v>
      </c>
      <c r="E153" s="2">
        <f t="shared" si="2"/>
        <v>18440</v>
      </c>
      <c r="F153" s="2">
        <f t="shared" si="48"/>
        <v>2549</v>
      </c>
      <c r="G153" s="2">
        <f t="shared" si="4"/>
        <v>14441</v>
      </c>
      <c r="H153" s="2">
        <f t="shared" si="5"/>
        <v>15891</v>
      </c>
      <c r="I153" s="2">
        <f t="shared" si="6"/>
        <v>2850</v>
      </c>
      <c r="J153" s="2">
        <f t="shared" si="7"/>
        <v>1961</v>
      </c>
      <c r="K153" s="2">
        <f t="shared" si="8"/>
        <v>1517</v>
      </c>
      <c r="L153" s="2">
        <f t="shared" si="9"/>
        <v>1251</v>
      </c>
      <c r="M153" s="2">
        <f t="shared" si="10"/>
        <v>1073</v>
      </c>
      <c r="N153" s="2">
        <f t="shared" si="11"/>
        <v>851</v>
      </c>
      <c r="O153" s="2">
        <f t="shared" si="12"/>
        <v>3398</v>
      </c>
      <c r="P153" s="2">
        <f t="shared" si="13"/>
        <v>13592</v>
      </c>
      <c r="Q153" s="2">
        <f t="shared" si="14"/>
        <v>15042</v>
      </c>
      <c r="R153" s="2">
        <f t="shared" si="15"/>
        <v>2699</v>
      </c>
      <c r="S153" s="2">
        <f t="shared" si="16"/>
        <v>1857</v>
      </c>
      <c r="T153" s="2">
        <f t="shared" si="17"/>
        <v>1437</v>
      </c>
      <c r="U153" s="2">
        <f t="shared" si="18"/>
        <v>1184</v>
      </c>
      <c r="V153" s="2">
        <f t="shared" si="19"/>
        <v>1016</v>
      </c>
      <c r="W153" s="2">
        <f t="shared" si="20"/>
        <v>806</v>
      </c>
      <c r="X153" s="2">
        <f t="shared" si="21"/>
        <v>4248</v>
      </c>
      <c r="Y153" s="2">
        <f t="shared" si="22"/>
        <v>12742</v>
      </c>
      <c r="Z153" s="2">
        <f t="shared" si="23"/>
        <v>14192</v>
      </c>
      <c r="AA153" s="2">
        <f t="shared" si="24"/>
        <v>2547</v>
      </c>
      <c r="AB153" s="2">
        <f t="shared" si="25"/>
        <v>1753</v>
      </c>
      <c r="AC153" s="2">
        <f t="shared" si="26"/>
        <v>1356</v>
      </c>
      <c r="AD153" s="2">
        <f t="shared" si="27"/>
        <v>1118</v>
      </c>
      <c r="AE153" s="2">
        <f t="shared" si="28"/>
        <v>959</v>
      </c>
      <c r="AF153" s="2">
        <f t="shared" si="29"/>
        <v>760</v>
      </c>
      <c r="AG153" s="2">
        <f t="shared" si="30"/>
        <v>5947</v>
      </c>
      <c r="AH153" s="2">
        <f t="shared" si="31"/>
        <v>11043</v>
      </c>
      <c r="AI153" s="2">
        <f t="shared" si="32"/>
        <v>12493</v>
      </c>
      <c r="AJ153" s="2">
        <f t="shared" si="33"/>
        <v>2244</v>
      </c>
      <c r="AK153" s="2">
        <f t="shared" si="34"/>
        <v>1545</v>
      </c>
      <c r="AL153" s="2">
        <f t="shared" si="35"/>
        <v>1195</v>
      </c>
      <c r="AM153" s="2">
        <f t="shared" si="36"/>
        <v>985</v>
      </c>
      <c r="AN153" s="2">
        <f t="shared" si="37"/>
        <v>845</v>
      </c>
      <c r="AO153" s="2">
        <f t="shared" si="38"/>
        <v>670</v>
      </c>
      <c r="AP153" s="2">
        <f t="shared" si="39"/>
        <v>6796</v>
      </c>
      <c r="AQ153" s="2">
        <f t="shared" si="40"/>
        <v>10194</v>
      </c>
      <c r="AR153" s="2">
        <f t="shared" si="41"/>
        <v>11644</v>
      </c>
      <c r="AS153" s="2">
        <f t="shared" si="42"/>
        <v>2093</v>
      </c>
      <c r="AT153" s="2">
        <f t="shared" si="43"/>
        <v>1441</v>
      </c>
      <c r="AU153" s="2">
        <f t="shared" si="44"/>
        <v>1114</v>
      </c>
      <c r="AV153" s="2">
        <f t="shared" si="45"/>
        <v>919</v>
      </c>
      <c r="AW153" s="2">
        <f t="shared" si="46"/>
        <v>788</v>
      </c>
      <c r="AX153" s="2">
        <f t="shared" si="47"/>
        <v>625</v>
      </c>
    </row>
    <row r="154" ht="14.25" customHeight="1">
      <c r="A154" s="2" t="str">
        <f t="array" ref="A154">IFERROR(INDEX('Product Price'!A:A,SMALL('Product Price'!$D:$D,152)),"")</f>
        <v>REDMI Note 15 Pro+ 5G 12/256 GB</v>
      </c>
      <c r="B154" s="2">
        <f t="array" ref="B154">IFERROR(INDEX('Product Price'!B:B,SMALL('Product Price'!$D:$D,152)),"")</f>
        <v>14990</v>
      </c>
      <c r="C154" s="2">
        <f t="array" ref="C154">IFERROR(INDEX('Product Price'!C:C,SMALL('Product Price'!$D:$D,152)),"")</f>
        <v>132</v>
      </c>
      <c r="D154" s="2">
        <f t="shared" si="1"/>
        <v>1450</v>
      </c>
      <c r="E154" s="2">
        <f t="shared" si="2"/>
        <v>16440</v>
      </c>
      <c r="F154" s="2">
        <f t="shared" si="48"/>
        <v>2249</v>
      </c>
      <c r="G154" s="2">
        <f t="shared" si="4"/>
        <v>12741</v>
      </c>
      <c r="H154" s="2">
        <f t="shared" si="5"/>
        <v>14191</v>
      </c>
      <c r="I154" s="2">
        <f t="shared" si="6"/>
        <v>2547</v>
      </c>
      <c r="J154" s="2">
        <f t="shared" si="7"/>
        <v>1753</v>
      </c>
      <c r="K154" s="2">
        <f t="shared" si="8"/>
        <v>1356</v>
      </c>
      <c r="L154" s="2">
        <f t="shared" si="9"/>
        <v>1118</v>
      </c>
      <c r="M154" s="2">
        <f t="shared" si="10"/>
        <v>959</v>
      </c>
      <c r="N154" s="2">
        <f t="shared" si="11"/>
        <v>760</v>
      </c>
      <c r="O154" s="2">
        <f t="shared" si="12"/>
        <v>2998</v>
      </c>
      <c r="P154" s="2">
        <f t="shared" si="13"/>
        <v>11992</v>
      </c>
      <c r="Q154" s="2">
        <f t="shared" si="14"/>
        <v>13442</v>
      </c>
      <c r="R154" s="2">
        <f t="shared" si="15"/>
        <v>2414</v>
      </c>
      <c r="S154" s="2">
        <f t="shared" si="16"/>
        <v>1661</v>
      </c>
      <c r="T154" s="2">
        <f t="shared" si="17"/>
        <v>1285</v>
      </c>
      <c r="U154" s="2">
        <f t="shared" si="18"/>
        <v>1059</v>
      </c>
      <c r="V154" s="2">
        <f t="shared" si="19"/>
        <v>909</v>
      </c>
      <c r="W154" s="2">
        <f t="shared" si="20"/>
        <v>721</v>
      </c>
      <c r="X154" s="2">
        <f t="shared" si="21"/>
        <v>3748</v>
      </c>
      <c r="Y154" s="2">
        <f t="shared" si="22"/>
        <v>11242</v>
      </c>
      <c r="Z154" s="2">
        <f t="shared" si="23"/>
        <v>12692</v>
      </c>
      <c r="AA154" s="2">
        <f t="shared" si="24"/>
        <v>2280</v>
      </c>
      <c r="AB154" s="2">
        <f t="shared" si="25"/>
        <v>1569</v>
      </c>
      <c r="AC154" s="2">
        <f t="shared" si="26"/>
        <v>1214</v>
      </c>
      <c r="AD154" s="2">
        <f t="shared" si="27"/>
        <v>1001</v>
      </c>
      <c r="AE154" s="2">
        <f t="shared" si="28"/>
        <v>858</v>
      </c>
      <c r="AF154" s="2">
        <f t="shared" si="29"/>
        <v>681</v>
      </c>
      <c r="AG154" s="2">
        <f t="shared" si="30"/>
        <v>5247</v>
      </c>
      <c r="AH154" s="2">
        <f t="shared" si="31"/>
        <v>9743</v>
      </c>
      <c r="AI154" s="2">
        <f t="shared" si="32"/>
        <v>11193</v>
      </c>
      <c r="AJ154" s="2">
        <f t="shared" si="33"/>
        <v>2013</v>
      </c>
      <c r="AK154" s="2">
        <f t="shared" si="34"/>
        <v>1385</v>
      </c>
      <c r="AL154" s="2">
        <f t="shared" si="35"/>
        <v>1072</v>
      </c>
      <c r="AM154" s="2">
        <f t="shared" si="36"/>
        <v>883</v>
      </c>
      <c r="AN154" s="2">
        <f t="shared" si="37"/>
        <v>758</v>
      </c>
      <c r="AO154" s="2">
        <f t="shared" si="38"/>
        <v>601</v>
      </c>
      <c r="AP154" s="2">
        <f t="shared" si="39"/>
        <v>5996</v>
      </c>
      <c r="AQ154" s="2">
        <f t="shared" si="40"/>
        <v>8994</v>
      </c>
      <c r="AR154" s="2">
        <f t="shared" si="41"/>
        <v>10444</v>
      </c>
      <c r="AS154" s="2">
        <f t="shared" si="42"/>
        <v>1879</v>
      </c>
      <c r="AT154" s="2">
        <f t="shared" si="43"/>
        <v>1293</v>
      </c>
      <c r="AU154" s="2">
        <f t="shared" si="44"/>
        <v>1001</v>
      </c>
      <c r="AV154" s="2">
        <f t="shared" si="45"/>
        <v>825</v>
      </c>
      <c r="AW154" s="2">
        <f t="shared" si="46"/>
        <v>708</v>
      </c>
      <c r="AX154" s="2">
        <f t="shared" si="47"/>
        <v>561</v>
      </c>
    </row>
    <row r="155" ht="14.25" customHeight="1">
      <c r="A155" s="2" t="str">
        <f t="array" ref="A155">IFERROR(INDEX('Product Price'!A:A,SMALL('Product Price'!$D:$D,153)),"")</f>
        <v>REDMI Note 15 Pro 5G 12/512 GB</v>
      </c>
      <c r="B155" s="2">
        <f t="array" ref="B155">IFERROR(INDEX('Product Price'!B:B,SMALL('Product Price'!$D:$D,153)),"")</f>
        <v>14990</v>
      </c>
      <c r="C155" s="2">
        <f t="array" ref="C155">IFERROR(INDEX('Product Price'!C:C,SMALL('Product Price'!$D:$D,153)),"")</f>
        <v>133</v>
      </c>
      <c r="D155" s="2">
        <f t="shared" si="1"/>
        <v>1450</v>
      </c>
      <c r="E155" s="2">
        <f t="shared" si="2"/>
        <v>16440</v>
      </c>
      <c r="F155" s="2">
        <f t="shared" si="48"/>
        <v>2249</v>
      </c>
      <c r="G155" s="2">
        <f t="shared" si="4"/>
        <v>12741</v>
      </c>
      <c r="H155" s="2">
        <f t="shared" si="5"/>
        <v>14191</v>
      </c>
      <c r="I155" s="2">
        <f t="shared" si="6"/>
        <v>2547</v>
      </c>
      <c r="J155" s="2">
        <f t="shared" si="7"/>
        <v>1753</v>
      </c>
      <c r="K155" s="2">
        <f t="shared" si="8"/>
        <v>1356</v>
      </c>
      <c r="L155" s="2">
        <f t="shared" si="9"/>
        <v>1118</v>
      </c>
      <c r="M155" s="2">
        <f t="shared" si="10"/>
        <v>959</v>
      </c>
      <c r="N155" s="2">
        <f t="shared" si="11"/>
        <v>760</v>
      </c>
      <c r="O155" s="2">
        <f t="shared" si="12"/>
        <v>2998</v>
      </c>
      <c r="P155" s="2">
        <f t="shared" si="13"/>
        <v>11992</v>
      </c>
      <c r="Q155" s="2">
        <f t="shared" si="14"/>
        <v>13442</v>
      </c>
      <c r="R155" s="2">
        <f t="shared" si="15"/>
        <v>2414</v>
      </c>
      <c r="S155" s="2">
        <f t="shared" si="16"/>
        <v>1661</v>
      </c>
      <c r="T155" s="2">
        <f t="shared" si="17"/>
        <v>1285</v>
      </c>
      <c r="U155" s="2">
        <f t="shared" si="18"/>
        <v>1059</v>
      </c>
      <c r="V155" s="2">
        <f t="shared" si="19"/>
        <v>909</v>
      </c>
      <c r="W155" s="2">
        <f t="shared" si="20"/>
        <v>721</v>
      </c>
      <c r="X155" s="2">
        <f t="shared" si="21"/>
        <v>3748</v>
      </c>
      <c r="Y155" s="2">
        <f t="shared" si="22"/>
        <v>11242</v>
      </c>
      <c r="Z155" s="2">
        <f t="shared" si="23"/>
        <v>12692</v>
      </c>
      <c r="AA155" s="2">
        <f t="shared" si="24"/>
        <v>2280</v>
      </c>
      <c r="AB155" s="2">
        <f t="shared" si="25"/>
        <v>1569</v>
      </c>
      <c r="AC155" s="2">
        <f t="shared" si="26"/>
        <v>1214</v>
      </c>
      <c r="AD155" s="2">
        <f t="shared" si="27"/>
        <v>1001</v>
      </c>
      <c r="AE155" s="2">
        <f t="shared" si="28"/>
        <v>858</v>
      </c>
      <c r="AF155" s="2">
        <f t="shared" si="29"/>
        <v>681</v>
      </c>
      <c r="AG155" s="2">
        <f t="shared" si="30"/>
        <v>5247</v>
      </c>
      <c r="AH155" s="2">
        <f t="shared" si="31"/>
        <v>9743</v>
      </c>
      <c r="AI155" s="2">
        <f t="shared" si="32"/>
        <v>11193</v>
      </c>
      <c r="AJ155" s="2">
        <f t="shared" si="33"/>
        <v>2013</v>
      </c>
      <c r="AK155" s="2">
        <f t="shared" si="34"/>
        <v>1385</v>
      </c>
      <c r="AL155" s="2">
        <f t="shared" si="35"/>
        <v>1072</v>
      </c>
      <c r="AM155" s="2">
        <f t="shared" si="36"/>
        <v>883</v>
      </c>
      <c r="AN155" s="2">
        <f t="shared" si="37"/>
        <v>758</v>
      </c>
      <c r="AO155" s="2">
        <f t="shared" si="38"/>
        <v>601</v>
      </c>
      <c r="AP155" s="2">
        <f t="shared" si="39"/>
        <v>5996</v>
      </c>
      <c r="AQ155" s="2">
        <f t="shared" si="40"/>
        <v>8994</v>
      </c>
      <c r="AR155" s="2">
        <f t="shared" si="41"/>
        <v>10444</v>
      </c>
      <c r="AS155" s="2">
        <f t="shared" si="42"/>
        <v>1879</v>
      </c>
      <c r="AT155" s="2">
        <f t="shared" si="43"/>
        <v>1293</v>
      </c>
      <c r="AU155" s="2">
        <f t="shared" si="44"/>
        <v>1001</v>
      </c>
      <c r="AV155" s="2">
        <f t="shared" si="45"/>
        <v>825</v>
      </c>
      <c r="AW155" s="2">
        <f t="shared" si="46"/>
        <v>708</v>
      </c>
      <c r="AX155" s="2">
        <f t="shared" si="47"/>
        <v>561</v>
      </c>
    </row>
    <row r="156" ht="14.25" customHeight="1">
      <c r="A156" s="2" t="str">
        <f t="array" ref="A156">IFERROR(INDEX('Product Price'!A:A,SMALL('Product Price'!$D:$D,154)),"")</f>
        <v>REDMI Note 15 Pro 5G 8/256 GB</v>
      </c>
      <c r="B156" s="2">
        <f t="array" ref="B156">IFERROR(INDEX('Product Price'!B:B,SMALL('Product Price'!$D:$D,154)),"")</f>
        <v>11990</v>
      </c>
      <c r="C156" s="2">
        <f t="array" ref="C156">IFERROR(INDEX('Product Price'!C:C,SMALL('Product Price'!$D:$D,154)),"")</f>
        <v>134</v>
      </c>
      <c r="D156" s="2">
        <f t="shared" si="1"/>
        <v>1450</v>
      </c>
      <c r="E156" s="2">
        <f t="shared" si="2"/>
        <v>13440</v>
      </c>
      <c r="F156" s="2">
        <f t="shared" si="48"/>
        <v>1799</v>
      </c>
      <c r="G156" s="2">
        <f t="shared" si="4"/>
        <v>10191</v>
      </c>
      <c r="H156" s="2">
        <f t="shared" si="5"/>
        <v>11641</v>
      </c>
      <c r="I156" s="2">
        <f t="shared" si="6"/>
        <v>2093</v>
      </c>
      <c r="J156" s="2">
        <f t="shared" si="7"/>
        <v>1440</v>
      </c>
      <c r="K156" s="2">
        <f t="shared" si="8"/>
        <v>1114</v>
      </c>
      <c r="L156" s="2">
        <f t="shared" si="9"/>
        <v>918</v>
      </c>
      <c r="M156" s="2">
        <f t="shared" si="10"/>
        <v>788</v>
      </c>
      <c r="N156" s="2">
        <f t="shared" si="11"/>
        <v>625</v>
      </c>
      <c r="O156" s="2">
        <f t="shared" si="12"/>
        <v>2398</v>
      </c>
      <c r="P156" s="2">
        <f t="shared" si="13"/>
        <v>9592</v>
      </c>
      <c r="Q156" s="2">
        <f t="shared" si="14"/>
        <v>11042</v>
      </c>
      <c r="R156" s="2">
        <f t="shared" si="15"/>
        <v>1986</v>
      </c>
      <c r="S156" s="2">
        <f t="shared" si="16"/>
        <v>1367</v>
      </c>
      <c r="T156" s="2">
        <f t="shared" si="17"/>
        <v>1057</v>
      </c>
      <c r="U156" s="2">
        <f t="shared" si="18"/>
        <v>872</v>
      </c>
      <c r="V156" s="2">
        <f t="shared" si="19"/>
        <v>748</v>
      </c>
      <c r="W156" s="2">
        <f t="shared" si="20"/>
        <v>593</v>
      </c>
      <c r="X156" s="2">
        <f t="shared" si="21"/>
        <v>2998</v>
      </c>
      <c r="Y156" s="2">
        <f t="shared" si="22"/>
        <v>8992</v>
      </c>
      <c r="Z156" s="2">
        <f t="shared" si="23"/>
        <v>10442</v>
      </c>
      <c r="AA156" s="2">
        <f t="shared" si="24"/>
        <v>1879</v>
      </c>
      <c r="AB156" s="2">
        <f t="shared" si="25"/>
        <v>1293</v>
      </c>
      <c r="AC156" s="2">
        <f t="shared" si="26"/>
        <v>1000</v>
      </c>
      <c r="AD156" s="2">
        <f t="shared" si="27"/>
        <v>825</v>
      </c>
      <c r="AE156" s="2">
        <f t="shared" si="28"/>
        <v>708</v>
      </c>
      <c r="AF156" s="2">
        <f t="shared" si="29"/>
        <v>561</v>
      </c>
      <c r="AG156" s="2">
        <f t="shared" si="30"/>
        <v>4197</v>
      </c>
      <c r="AH156" s="2">
        <f t="shared" si="31"/>
        <v>7793</v>
      </c>
      <c r="AI156" s="2">
        <f t="shared" si="32"/>
        <v>9243</v>
      </c>
      <c r="AJ156" s="2">
        <f t="shared" si="33"/>
        <v>1665</v>
      </c>
      <c r="AK156" s="2">
        <f t="shared" si="34"/>
        <v>1146</v>
      </c>
      <c r="AL156" s="2">
        <f t="shared" si="35"/>
        <v>887</v>
      </c>
      <c r="AM156" s="2">
        <f t="shared" si="36"/>
        <v>731</v>
      </c>
      <c r="AN156" s="2">
        <f t="shared" si="37"/>
        <v>627</v>
      </c>
      <c r="AO156" s="2">
        <f t="shared" si="38"/>
        <v>497</v>
      </c>
      <c r="AP156" s="2">
        <f t="shared" si="39"/>
        <v>4796</v>
      </c>
      <c r="AQ156" s="2">
        <f t="shared" si="40"/>
        <v>7194</v>
      </c>
      <c r="AR156" s="2">
        <f t="shared" si="41"/>
        <v>8644</v>
      </c>
      <c r="AS156" s="2">
        <f t="shared" si="42"/>
        <v>1559</v>
      </c>
      <c r="AT156" s="2">
        <f t="shared" si="43"/>
        <v>1073</v>
      </c>
      <c r="AU156" s="2">
        <f t="shared" si="44"/>
        <v>830</v>
      </c>
      <c r="AV156" s="2">
        <f t="shared" si="45"/>
        <v>684</v>
      </c>
      <c r="AW156" s="2">
        <f t="shared" si="46"/>
        <v>587</v>
      </c>
      <c r="AX156" s="2" t="str">
        <f t="shared" si="47"/>
        <v>-</v>
      </c>
    </row>
    <row r="157" ht="14.25" customHeight="1">
      <c r="A157" s="2" t="str">
        <f t="array" ref="A157">IFERROR(INDEX('Product Price'!A:A,SMALL('Product Price'!$D:$D,155)),"")</f>
        <v>REDMI Note 15 5G 8/256 GB</v>
      </c>
      <c r="B157" s="2">
        <f t="array" ref="B157">IFERROR(INDEX('Product Price'!B:B,SMALL('Product Price'!$D:$D,155)),"")</f>
        <v>8499</v>
      </c>
      <c r="C157" s="2">
        <f t="array" ref="C157">IFERROR(INDEX('Product Price'!C:C,SMALL('Product Price'!$D:$D,155)),"")</f>
        <v>135</v>
      </c>
      <c r="D157" s="2">
        <f t="shared" si="1"/>
        <v>795</v>
      </c>
      <c r="E157" s="2">
        <f t="shared" si="2"/>
        <v>9294</v>
      </c>
      <c r="F157" s="2">
        <f t="shared" si="48"/>
        <v>1275</v>
      </c>
      <c r="G157" s="2">
        <f t="shared" si="4"/>
        <v>7224</v>
      </c>
      <c r="H157" s="2">
        <f t="shared" si="5"/>
        <v>8019</v>
      </c>
      <c r="I157" s="2">
        <f t="shared" si="6"/>
        <v>1439</v>
      </c>
      <c r="J157" s="2">
        <f t="shared" si="7"/>
        <v>991</v>
      </c>
      <c r="K157" s="2">
        <f t="shared" si="8"/>
        <v>766</v>
      </c>
      <c r="L157" s="2">
        <f t="shared" si="9"/>
        <v>632</v>
      </c>
      <c r="M157" s="2">
        <f t="shared" si="10"/>
        <v>542</v>
      </c>
      <c r="N157" s="2" t="str">
        <f t="shared" si="11"/>
        <v>-</v>
      </c>
      <c r="O157" s="2">
        <f t="shared" si="12"/>
        <v>1700</v>
      </c>
      <c r="P157" s="2">
        <f t="shared" si="13"/>
        <v>6799</v>
      </c>
      <c r="Q157" s="2">
        <f t="shared" si="14"/>
        <v>7594</v>
      </c>
      <c r="R157" s="2">
        <f t="shared" si="15"/>
        <v>1363</v>
      </c>
      <c r="S157" s="2">
        <f t="shared" si="16"/>
        <v>938</v>
      </c>
      <c r="T157" s="2">
        <f t="shared" si="17"/>
        <v>726</v>
      </c>
      <c r="U157" s="2">
        <f t="shared" si="18"/>
        <v>598</v>
      </c>
      <c r="V157" s="2">
        <f t="shared" si="19"/>
        <v>513</v>
      </c>
      <c r="W157" s="2" t="str">
        <f t="shared" si="20"/>
        <v>-</v>
      </c>
      <c r="X157" s="2">
        <f t="shared" si="21"/>
        <v>2125</v>
      </c>
      <c r="Y157" s="2">
        <f t="shared" si="22"/>
        <v>6374</v>
      </c>
      <c r="Z157" s="2">
        <f t="shared" si="23"/>
        <v>7169</v>
      </c>
      <c r="AA157" s="2">
        <f t="shared" si="24"/>
        <v>1288</v>
      </c>
      <c r="AB157" s="2">
        <f t="shared" si="25"/>
        <v>886</v>
      </c>
      <c r="AC157" s="2">
        <f t="shared" si="26"/>
        <v>686</v>
      </c>
      <c r="AD157" s="2">
        <f t="shared" si="27"/>
        <v>565</v>
      </c>
      <c r="AE157" s="2">
        <f t="shared" si="28"/>
        <v>485</v>
      </c>
      <c r="AF157" s="2" t="str">
        <f t="shared" si="29"/>
        <v>-</v>
      </c>
      <c r="AG157" s="2">
        <f t="shared" si="30"/>
        <v>2975</v>
      </c>
      <c r="AH157" s="2">
        <f t="shared" si="31"/>
        <v>5524</v>
      </c>
      <c r="AI157" s="2">
        <f t="shared" si="32"/>
        <v>6319</v>
      </c>
      <c r="AJ157" s="2">
        <f t="shared" si="33"/>
        <v>1136</v>
      </c>
      <c r="AK157" s="2">
        <f t="shared" si="34"/>
        <v>782</v>
      </c>
      <c r="AL157" s="2">
        <f t="shared" si="35"/>
        <v>605</v>
      </c>
      <c r="AM157" s="2">
        <f t="shared" si="36"/>
        <v>499</v>
      </c>
      <c r="AN157" s="2" t="str">
        <f t="shared" si="37"/>
        <v>-</v>
      </c>
      <c r="AO157" s="2" t="str">
        <f t="shared" si="38"/>
        <v>-</v>
      </c>
      <c r="AP157" s="2">
        <f t="shared" si="39"/>
        <v>3400</v>
      </c>
      <c r="AQ157" s="2">
        <f t="shared" si="40"/>
        <v>5099</v>
      </c>
      <c r="AR157" s="2">
        <f t="shared" si="41"/>
        <v>5894</v>
      </c>
      <c r="AS157" s="2">
        <f t="shared" si="42"/>
        <v>1061</v>
      </c>
      <c r="AT157" s="2">
        <f t="shared" si="43"/>
        <v>730</v>
      </c>
      <c r="AU157" s="2">
        <f t="shared" si="44"/>
        <v>565</v>
      </c>
      <c r="AV157" s="2" t="str">
        <f t="shared" si="45"/>
        <v>-</v>
      </c>
      <c r="AW157" s="2" t="str">
        <f t="shared" si="46"/>
        <v>-</v>
      </c>
      <c r="AX157" s="2" t="str">
        <f t="shared" si="47"/>
        <v>-</v>
      </c>
    </row>
    <row r="158" ht="14.25" customHeight="1">
      <c r="A158" s="2" t="str">
        <f t="array" ref="A158">IFERROR(INDEX('Product Price'!A:A,SMALL('Product Price'!$D:$D,156)),"")</f>
        <v>REDMI Note 15 4G 8/256 GB</v>
      </c>
      <c r="B158" s="2">
        <f t="array" ref="B158">IFERROR(INDEX('Product Price'!B:B,SMALL('Product Price'!$D:$D,156)),"")</f>
        <v>6699</v>
      </c>
      <c r="C158" s="2">
        <f t="array" ref="C158">IFERROR(INDEX('Product Price'!C:C,SMALL('Product Price'!$D:$D,156)),"")</f>
        <v>136</v>
      </c>
      <c r="D158" s="2">
        <f t="shared" si="1"/>
        <v>795</v>
      </c>
      <c r="E158" s="2">
        <f t="shared" si="2"/>
        <v>7494</v>
      </c>
      <c r="F158" s="2">
        <f t="shared" si="48"/>
        <v>1005</v>
      </c>
      <c r="G158" s="2">
        <f t="shared" si="4"/>
        <v>5694</v>
      </c>
      <c r="H158" s="2">
        <f t="shared" si="5"/>
        <v>6489</v>
      </c>
      <c r="I158" s="2">
        <f t="shared" si="6"/>
        <v>1167</v>
      </c>
      <c r="J158" s="2">
        <f t="shared" si="7"/>
        <v>803</v>
      </c>
      <c r="K158" s="2">
        <f t="shared" si="8"/>
        <v>621</v>
      </c>
      <c r="L158" s="2">
        <f t="shared" si="9"/>
        <v>512</v>
      </c>
      <c r="M158" s="2" t="str">
        <f t="shared" si="10"/>
        <v>-</v>
      </c>
      <c r="N158" s="2" t="str">
        <f t="shared" si="11"/>
        <v>-</v>
      </c>
      <c r="O158" s="2">
        <f t="shared" si="12"/>
        <v>1340</v>
      </c>
      <c r="P158" s="2">
        <f t="shared" si="13"/>
        <v>5359</v>
      </c>
      <c r="Q158" s="2">
        <f t="shared" si="14"/>
        <v>6154</v>
      </c>
      <c r="R158" s="2">
        <f t="shared" si="15"/>
        <v>1107</v>
      </c>
      <c r="S158" s="2">
        <f t="shared" si="16"/>
        <v>762</v>
      </c>
      <c r="T158" s="2">
        <f t="shared" si="17"/>
        <v>589</v>
      </c>
      <c r="U158" s="2">
        <f t="shared" si="18"/>
        <v>486</v>
      </c>
      <c r="V158" s="2" t="str">
        <f t="shared" si="19"/>
        <v>-</v>
      </c>
      <c r="W158" s="2" t="str">
        <f t="shared" si="20"/>
        <v>-</v>
      </c>
      <c r="X158" s="2">
        <f t="shared" si="21"/>
        <v>1675</v>
      </c>
      <c r="Y158" s="2">
        <f t="shared" si="22"/>
        <v>5024</v>
      </c>
      <c r="Z158" s="2">
        <f t="shared" si="23"/>
        <v>5819</v>
      </c>
      <c r="AA158" s="2">
        <f t="shared" si="24"/>
        <v>1047</v>
      </c>
      <c r="AB158" s="2">
        <f t="shared" si="25"/>
        <v>721</v>
      </c>
      <c r="AC158" s="2">
        <f t="shared" si="26"/>
        <v>558</v>
      </c>
      <c r="AD158" s="2" t="str">
        <f t="shared" si="27"/>
        <v>-</v>
      </c>
      <c r="AE158" s="2" t="str">
        <f t="shared" si="28"/>
        <v>-</v>
      </c>
      <c r="AF158" s="2" t="str">
        <f t="shared" si="29"/>
        <v>-</v>
      </c>
      <c r="AG158" s="2">
        <f t="shared" si="30"/>
        <v>2345</v>
      </c>
      <c r="AH158" s="2">
        <f t="shared" si="31"/>
        <v>4354</v>
      </c>
      <c r="AI158" s="2">
        <f t="shared" si="32"/>
        <v>5149</v>
      </c>
      <c r="AJ158" s="2">
        <f t="shared" si="33"/>
        <v>928</v>
      </c>
      <c r="AK158" s="2">
        <f t="shared" si="34"/>
        <v>639</v>
      </c>
      <c r="AL158" s="2">
        <f t="shared" si="35"/>
        <v>494</v>
      </c>
      <c r="AM158" s="2" t="str">
        <f t="shared" si="36"/>
        <v>-</v>
      </c>
      <c r="AN158" s="2" t="str">
        <f t="shared" si="37"/>
        <v>-</v>
      </c>
      <c r="AO158" s="2" t="str">
        <f t="shared" si="38"/>
        <v>-</v>
      </c>
      <c r="AP158" s="2">
        <f t="shared" si="39"/>
        <v>2680</v>
      </c>
      <c r="AQ158" s="2">
        <f t="shared" si="40"/>
        <v>4019</v>
      </c>
      <c r="AR158" s="2">
        <f t="shared" si="41"/>
        <v>4814</v>
      </c>
      <c r="AS158" s="2">
        <f t="shared" si="42"/>
        <v>868</v>
      </c>
      <c r="AT158" s="2">
        <f t="shared" si="43"/>
        <v>598</v>
      </c>
      <c r="AU158" s="2" t="str">
        <f t="shared" si="44"/>
        <v>-</v>
      </c>
      <c r="AV158" s="2" t="str">
        <f t="shared" si="45"/>
        <v>-</v>
      </c>
      <c r="AW158" s="2" t="str">
        <f t="shared" si="46"/>
        <v>-</v>
      </c>
      <c r="AX158" s="2" t="str">
        <f t="shared" si="47"/>
        <v>-</v>
      </c>
    </row>
    <row r="159" ht="14.25" customHeight="1">
      <c r="A159" s="2" t="str">
        <f t="array" ref="A159">IFERROR(INDEX('Product Price'!A:A,SMALL('Product Price'!$D:$D,157)),"")</f>
        <v>XIAOMI 17T Pro 12/512 GB</v>
      </c>
      <c r="B159" s="2">
        <f t="array" ref="B159">IFERROR(INDEX('Product Price'!B:B,SMALL('Product Price'!$D:$D,157)),"")</f>
        <v>27999</v>
      </c>
      <c r="C159" s="2">
        <f t="array" ref="C159">IFERROR(INDEX('Product Price'!C:C,SMALL('Product Price'!$D:$D,157)),"")</f>
        <v>137</v>
      </c>
      <c r="D159" s="2">
        <f t="shared" si="1"/>
        <v>1900</v>
      </c>
      <c r="E159" s="2">
        <f t="shared" si="2"/>
        <v>29899</v>
      </c>
      <c r="F159" s="2">
        <f t="shared" si="48"/>
        <v>4200</v>
      </c>
      <c r="G159" s="2">
        <f t="shared" si="4"/>
        <v>23799</v>
      </c>
      <c r="H159" s="2">
        <f t="shared" si="5"/>
        <v>25699</v>
      </c>
      <c r="I159" s="2">
        <f t="shared" si="6"/>
        <v>4603</v>
      </c>
      <c r="J159" s="2">
        <f t="shared" si="7"/>
        <v>3168</v>
      </c>
      <c r="K159" s="2">
        <f t="shared" si="8"/>
        <v>2450</v>
      </c>
      <c r="L159" s="2">
        <f t="shared" si="9"/>
        <v>2020</v>
      </c>
      <c r="M159" s="2">
        <f t="shared" si="10"/>
        <v>1733</v>
      </c>
      <c r="N159" s="2">
        <f t="shared" si="11"/>
        <v>1374</v>
      </c>
      <c r="O159" s="2">
        <f t="shared" si="12"/>
        <v>5600</v>
      </c>
      <c r="P159" s="2">
        <f t="shared" si="13"/>
        <v>22399</v>
      </c>
      <c r="Q159" s="2">
        <f t="shared" si="14"/>
        <v>24299</v>
      </c>
      <c r="R159" s="2">
        <f t="shared" si="15"/>
        <v>4353</v>
      </c>
      <c r="S159" s="2">
        <f t="shared" si="16"/>
        <v>2996</v>
      </c>
      <c r="T159" s="2">
        <f t="shared" si="17"/>
        <v>2317</v>
      </c>
      <c r="U159" s="2">
        <f t="shared" si="18"/>
        <v>1910</v>
      </c>
      <c r="V159" s="2">
        <f t="shared" si="19"/>
        <v>1639</v>
      </c>
      <c r="W159" s="2">
        <f t="shared" si="20"/>
        <v>1299</v>
      </c>
      <c r="X159" s="2">
        <f t="shared" si="21"/>
        <v>7000</v>
      </c>
      <c r="Y159" s="2">
        <f t="shared" si="22"/>
        <v>20999</v>
      </c>
      <c r="Z159" s="2">
        <f t="shared" si="23"/>
        <v>22899</v>
      </c>
      <c r="AA159" s="2">
        <f t="shared" si="24"/>
        <v>4104</v>
      </c>
      <c r="AB159" s="2">
        <f t="shared" si="25"/>
        <v>2824</v>
      </c>
      <c r="AC159" s="2">
        <f t="shared" si="26"/>
        <v>2185</v>
      </c>
      <c r="AD159" s="2">
        <f t="shared" si="27"/>
        <v>1801</v>
      </c>
      <c r="AE159" s="2">
        <f t="shared" si="28"/>
        <v>1545</v>
      </c>
      <c r="AF159" s="2">
        <f t="shared" si="29"/>
        <v>1225</v>
      </c>
      <c r="AG159" s="2">
        <f t="shared" si="30"/>
        <v>9800</v>
      </c>
      <c r="AH159" s="2">
        <f t="shared" si="31"/>
        <v>18199</v>
      </c>
      <c r="AI159" s="2">
        <f t="shared" si="32"/>
        <v>20099</v>
      </c>
      <c r="AJ159" s="2">
        <f t="shared" si="33"/>
        <v>3605</v>
      </c>
      <c r="AK159" s="2">
        <f t="shared" si="34"/>
        <v>2481</v>
      </c>
      <c r="AL159" s="2">
        <f t="shared" si="35"/>
        <v>1919</v>
      </c>
      <c r="AM159" s="2">
        <f t="shared" si="36"/>
        <v>1582</v>
      </c>
      <c r="AN159" s="2">
        <f t="shared" si="37"/>
        <v>1357</v>
      </c>
      <c r="AO159" s="2">
        <f t="shared" si="38"/>
        <v>1076</v>
      </c>
      <c r="AP159" s="2">
        <f t="shared" si="39"/>
        <v>11200</v>
      </c>
      <c r="AQ159" s="2">
        <f t="shared" si="40"/>
        <v>16799</v>
      </c>
      <c r="AR159" s="2">
        <f t="shared" si="41"/>
        <v>18699</v>
      </c>
      <c r="AS159" s="2">
        <f t="shared" si="42"/>
        <v>3356</v>
      </c>
      <c r="AT159" s="2">
        <f t="shared" si="43"/>
        <v>2310</v>
      </c>
      <c r="AU159" s="2">
        <f t="shared" si="44"/>
        <v>1786</v>
      </c>
      <c r="AV159" s="2">
        <f t="shared" si="45"/>
        <v>1473</v>
      </c>
      <c r="AW159" s="2">
        <f t="shared" si="46"/>
        <v>1263</v>
      </c>
      <c r="AX159" s="2">
        <f t="shared" si="47"/>
        <v>1002</v>
      </c>
    </row>
    <row r="160" ht="14.25" customHeight="1">
      <c r="A160" s="2" t="str">
        <f t="array" ref="A160">IFERROR(INDEX('Product Price'!A:A,SMALL('Product Price'!$D:$D,158)),"")</f>
        <v>XIAOMI 17T Pro 12/256 GB</v>
      </c>
      <c r="B160" s="2">
        <f t="array" ref="B160">IFERROR(INDEX('Product Price'!B:B,SMALL('Product Price'!$D:$D,158)),"")</f>
        <v>25999</v>
      </c>
      <c r="C160" s="2">
        <f t="array" ref="C160">IFERROR(INDEX('Product Price'!C:C,SMALL('Product Price'!$D:$D,158)),"")</f>
        <v>138</v>
      </c>
      <c r="D160" s="2">
        <f t="shared" si="1"/>
        <v>1900</v>
      </c>
      <c r="E160" s="2">
        <f t="shared" si="2"/>
        <v>27899</v>
      </c>
      <c r="F160" s="2">
        <f t="shared" si="48"/>
        <v>3900</v>
      </c>
      <c r="G160" s="2">
        <f t="shared" si="4"/>
        <v>22099</v>
      </c>
      <c r="H160" s="2">
        <f t="shared" si="5"/>
        <v>23999</v>
      </c>
      <c r="I160" s="2">
        <f t="shared" si="6"/>
        <v>4300</v>
      </c>
      <c r="J160" s="2">
        <f t="shared" si="7"/>
        <v>2959</v>
      </c>
      <c r="K160" s="2">
        <f t="shared" si="8"/>
        <v>2289</v>
      </c>
      <c r="L160" s="2">
        <f t="shared" si="9"/>
        <v>1887</v>
      </c>
      <c r="M160" s="2">
        <f t="shared" si="10"/>
        <v>1619</v>
      </c>
      <c r="N160" s="2">
        <f t="shared" si="11"/>
        <v>1284</v>
      </c>
      <c r="O160" s="2">
        <f t="shared" si="12"/>
        <v>5200</v>
      </c>
      <c r="P160" s="2">
        <f t="shared" si="13"/>
        <v>20799</v>
      </c>
      <c r="Q160" s="2">
        <f t="shared" si="14"/>
        <v>22699</v>
      </c>
      <c r="R160" s="2">
        <f t="shared" si="15"/>
        <v>4068</v>
      </c>
      <c r="S160" s="2">
        <f t="shared" si="16"/>
        <v>2800</v>
      </c>
      <c r="T160" s="2">
        <f t="shared" si="17"/>
        <v>2166</v>
      </c>
      <c r="U160" s="2">
        <f t="shared" si="18"/>
        <v>1785</v>
      </c>
      <c r="V160" s="2">
        <f t="shared" si="19"/>
        <v>1532</v>
      </c>
      <c r="W160" s="2">
        <f t="shared" si="20"/>
        <v>1214</v>
      </c>
      <c r="X160" s="2">
        <f t="shared" si="21"/>
        <v>6500</v>
      </c>
      <c r="Y160" s="2">
        <f t="shared" si="22"/>
        <v>19499</v>
      </c>
      <c r="Z160" s="2">
        <f t="shared" si="23"/>
        <v>21399</v>
      </c>
      <c r="AA160" s="2">
        <f t="shared" si="24"/>
        <v>3837</v>
      </c>
      <c r="AB160" s="2">
        <f t="shared" si="25"/>
        <v>2641</v>
      </c>
      <c r="AC160" s="2">
        <f t="shared" si="26"/>
        <v>2042</v>
      </c>
      <c r="AD160" s="2">
        <f t="shared" si="27"/>
        <v>1684</v>
      </c>
      <c r="AE160" s="2">
        <f t="shared" si="28"/>
        <v>1444</v>
      </c>
      <c r="AF160" s="2">
        <f t="shared" si="29"/>
        <v>1145</v>
      </c>
      <c r="AG160" s="2">
        <f t="shared" si="30"/>
        <v>9100</v>
      </c>
      <c r="AH160" s="2">
        <f t="shared" si="31"/>
        <v>16899</v>
      </c>
      <c r="AI160" s="2">
        <f t="shared" si="32"/>
        <v>18799</v>
      </c>
      <c r="AJ160" s="2">
        <f t="shared" si="33"/>
        <v>3374</v>
      </c>
      <c r="AK160" s="2">
        <f t="shared" si="34"/>
        <v>2322</v>
      </c>
      <c r="AL160" s="2">
        <f t="shared" si="35"/>
        <v>1796</v>
      </c>
      <c r="AM160" s="2">
        <f t="shared" si="36"/>
        <v>1480</v>
      </c>
      <c r="AN160" s="2">
        <f t="shared" si="37"/>
        <v>1270</v>
      </c>
      <c r="AO160" s="2">
        <f t="shared" si="38"/>
        <v>1007</v>
      </c>
      <c r="AP160" s="2">
        <f t="shared" si="39"/>
        <v>10400</v>
      </c>
      <c r="AQ160" s="2">
        <f t="shared" si="40"/>
        <v>15599</v>
      </c>
      <c r="AR160" s="2">
        <f t="shared" si="41"/>
        <v>17499</v>
      </c>
      <c r="AS160" s="2">
        <f t="shared" si="42"/>
        <v>3142</v>
      </c>
      <c r="AT160" s="2">
        <f t="shared" si="43"/>
        <v>2162</v>
      </c>
      <c r="AU160" s="2">
        <f t="shared" si="44"/>
        <v>1673</v>
      </c>
      <c r="AV160" s="2">
        <f t="shared" si="45"/>
        <v>1379</v>
      </c>
      <c r="AW160" s="2">
        <f t="shared" si="46"/>
        <v>1183</v>
      </c>
      <c r="AX160" s="2">
        <f t="shared" si="47"/>
        <v>938</v>
      </c>
    </row>
    <row r="161" ht="14.25" customHeight="1">
      <c r="A161" s="2" t="str">
        <f t="array" ref="A161">IFERROR(INDEX('Product Price'!A:A,SMALL('Product Price'!$D:$D,159)),"")</f>
        <v>XIAOMI 17T 12/512 GB</v>
      </c>
      <c r="B161" s="2">
        <f t="array" ref="B161">IFERROR(INDEX('Product Price'!B:B,SMALL('Product Price'!$D:$D,159)),"")</f>
        <v>22999</v>
      </c>
      <c r="C161" s="2">
        <f t="array" ref="C161">IFERROR(INDEX('Product Price'!C:C,SMALL('Product Price'!$D:$D,159)),"")</f>
        <v>139</v>
      </c>
      <c r="D161" s="2">
        <f t="shared" si="1"/>
        <v>1900</v>
      </c>
      <c r="E161" s="2">
        <f t="shared" si="2"/>
        <v>24899</v>
      </c>
      <c r="F161" s="2">
        <f t="shared" si="48"/>
        <v>3450</v>
      </c>
      <c r="G161" s="2">
        <f t="shared" si="4"/>
        <v>19549</v>
      </c>
      <c r="H161" s="2">
        <f t="shared" si="5"/>
        <v>21449</v>
      </c>
      <c r="I161" s="2">
        <f t="shared" si="6"/>
        <v>3846</v>
      </c>
      <c r="J161" s="2">
        <f t="shared" si="7"/>
        <v>2647</v>
      </c>
      <c r="K161" s="2">
        <f t="shared" si="8"/>
        <v>2047</v>
      </c>
      <c r="L161" s="2">
        <f t="shared" si="9"/>
        <v>1687</v>
      </c>
      <c r="M161" s="2">
        <f t="shared" si="10"/>
        <v>1448</v>
      </c>
      <c r="N161" s="2">
        <f t="shared" si="11"/>
        <v>1148</v>
      </c>
      <c r="O161" s="2">
        <f t="shared" si="12"/>
        <v>4600</v>
      </c>
      <c r="P161" s="2">
        <f t="shared" si="13"/>
        <v>18399</v>
      </c>
      <c r="Q161" s="2">
        <f t="shared" si="14"/>
        <v>20299</v>
      </c>
      <c r="R161" s="2">
        <f t="shared" si="15"/>
        <v>3641</v>
      </c>
      <c r="S161" s="2">
        <f t="shared" si="16"/>
        <v>2506</v>
      </c>
      <c r="T161" s="2">
        <f t="shared" si="17"/>
        <v>1938</v>
      </c>
      <c r="U161" s="2">
        <f t="shared" si="18"/>
        <v>1598</v>
      </c>
      <c r="V161" s="2">
        <f t="shared" si="19"/>
        <v>1371</v>
      </c>
      <c r="W161" s="2">
        <f t="shared" si="20"/>
        <v>1087</v>
      </c>
      <c r="X161" s="2">
        <f t="shared" si="21"/>
        <v>5750</v>
      </c>
      <c r="Y161" s="2">
        <f t="shared" si="22"/>
        <v>17249</v>
      </c>
      <c r="Z161" s="2">
        <f t="shared" si="23"/>
        <v>19149</v>
      </c>
      <c r="AA161" s="2">
        <f t="shared" si="24"/>
        <v>3436</v>
      </c>
      <c r="AB161" s="2">
        <f t="shared" si="25"/>
        <v>2365</v>
      </c>
      <c r="AC161" s="2">
        <f t="shared" si="26"/>
        <v>1829</v>
      </c>
      <c r="AD161" s="2">
        <f t="shared" si="27"/>
        <v>1508</v>
      </c>
      <c r="AE161" s="2">
        <f t="shared" si="28"/>
        <v>1293</v>
      </c>
      <c r="AF161" s="2">
        <f t="shared" si="29"/>
        <v>1026</v>
      </c>
      <c r="AG161" s="2">
        <f t="shared" si="30"/>
        <v>8050</v>
      </c>
      <c r="AH161" s="2">
        <f t="shared" si="31"/>
        <v>14949</v>
      </c>
      <c r="AI161" s="2">
        <f t="shared" si="32"/>
        <v>16849</v>
      </c>
      <c r="AJ161" s="2">
        <f t="shared" si="33"/>
        <v>3026</v>
      </c>
      <c r="AK161" s="2">
        <f t="shared" si="34"/>
        <v>2083</v>
      </c>
      <c r="AL161" s="2">
        <f t="shared" si="35"/>
        <v>1611</v>
      </c>
      <c r="AM161" s="2">
        <f t="shared" si="36"/>
        <v>1328</v>
      </c>
      <c r="AN161" s="2">
        <f t="shared" si="37"/>
        <v>1139</v>
      </c>
      <c r="AO161" s="2">
        <f t="shared" si="38"/>
        <v>903</v>
      </c>
      <c r="AP161" s="2">
        <f t="shared" si="39"/>
        <v>9200</v>
      </c>
      <c r="AQ161" s="2">
        <f t="shared" si="40"/>
        <v>13799</v>
      </c>
      <c r="AR161" s="2">
        <f t="shared" si="41"/>
        <v>15699</v>
      </c>
      <c r="AS161" s="2">
        <f t="shared" si="42"/>
        <v>2821</v>
      </c>
      <c r="AT161" s="2">
        <f t="shared" si="43"/>
        <v>1942</v>
      </c>
      <c r="AU161" s="2">
        <f t="shared" si="44"/>
        <v>1502</v>
      </c>
      <c r="AV161" s="2">
        <f t="shared" si="45"/>
        <v>1238</v>
      </c>
      <c r="AW161" s="2">
        <f t="shared" si="46"/>
        <v>1062</v>
      </c>
      <c r="AX161" s="2">
        <f t="shared" si="47"/>
        <v>842</v>
      </c>
    </row>
    <row r="162" ht="14.25" customHeight="1">
      <c r="A162" s="2" t="str">
        <f t="array" ref="A162">IFERROR(INDEX('Product Price'!A:A,SMALL('Product Price'!$D:$D,160)),"")</f>
        <v>XIAOMI 17T 12/256 GB</v>
      </c>
      <c r="B162" s="2">
        <f t="array" ref="B162">IFERROR(INDEX('Product Price'!B:B,SMALL('Product Price'!$D:$D,160)),"")</f>
        <v>19999</v>
      </c>
      <c r="C162" s="2">
        <f t="array" ref="C162">IFERROR(INDEX('Product Price'!C:C,SMALL('Product Price'!$D:$D,160)),"")</f>
        <v>140</v>
      </c>
      <c r="D162" s="2">
        <f t="shared" si="1"/>
        <v>1450</v>
      </c>
      <c r="E162" s="2">
        <f t="shared" si="2"/>
        <v>21449</v>
      </c>
      <c r="F162" s="2">
        <f t="shared" si="48"/>
        <v>3000</v>
      </c>
      <c r="G162" s="2">
        <f t="shared" si="4"/>
        <v>16999</v>
      </c>
      <c r="H162" s="2">
        <f t="shared" si="5"/>
        <v>18449</v>
      </c>
      <c r="I162" s="2">
        <f t="shared" si="6"/>
        <v>3306</v>
      </c>
      <c r="J162" s="2">
        <f t="shared" si="7"/>
        <v>2275</v>
      </c>
      <c r="K162" s="2">
        <f t="shared" si="8"/>
        <v>1760</v>
      </c>
      <c r="L162" s="2">
        <f t="shared" si="9"/>
        <v>1451</v>
      </c>
      <c r="M162" s="2">
        <f t="shared" si="10"/>
        <v>1244</v>
      </c>
      <c r="N162" s="2">
        <f t="shared" si="11"/>
        <v>987</v>
      </c>
      <c r="O162" s="2">
        <f t="shared" si="12"/>
        <v>4000</v>
      </c>
      <c r="P162" s="2">
        <f t="shared" si="13"/>
        <v>15999</v>
      </c>
      <c r="Q162" s="2">
        <f t="shared" si="14"/>
        <v>17449</v>
      </c>
      <c r="R162" s="2">
        <f t="shared" si="15"/>
        <v>3127</v>
      </c>
      <c r="S162" s="2">
        <f t="shared" si="16"/>
        <v>2152</v>
      </c>
      <c r="T162" s="2">
        <f t="shared" si="17"/>
        <v>1665</v>
      </c>
      <c r="U162" s="2">
        <f t="shared" si="18"/>
        <v>1372</v>
      </c>
      <c r="V162" s="2">
        <f t="shared" si="19"/>
        <v>1177</v>
      </c>
      <c r="W162" s="2">
        <f t="shared" si="20"/>
        <v>934</v>
      </c>
      <c r="X162" s="2">
        <f t="shared" si="21"/>
        <v>5000</v>
      </c>
      <c r="Y162" s="2">
        <f t="shared" si="22"/>
        <v>14999</v>
      </c>
      <c r="Z162" s="2">
        <f t="shared" si="23"/>
        <v>16449</v>
      </c>
      <c r="AA162" s="2">
        <f t="shared" si="24"/>
        <v>2949</v>
      </c>
      <c r="AB162" s="2">
        <f t="shared" si="25"/>
        <v>2030</v>
      </c>
      <c r="AC162" s="2">
        <f t="shared" si="26"/>
        <v>1570</v>
      </c>
      <c r="AD162" s="2">
        <f t="shared" si="27"/>
        <v>1294</v>
      </c>
      <c r="AE162" s="2">
        <f t="shared" si="28"/>
        <v>1110</v>
      </c>
      <c r="AF162" s="2">
        <f t="shared" si="29"/>
        <v>880</v>
      </c>
      <c r="AG162" s="2">
        <f t="shared" si="30"/>
        <v>7000</v>
      </c>
      <c r="AH162" s="2">
        <f t="shared" si="31"/>
        <v>12999</v>
      </c>
      <c r="AI162" s="2">
        <f t="shared" si="32"/>
        <v>14449</v>
      </c>
      <c r="AJ162" s="2">
        <f t="shared" si="33"/>
        <v>2593</v>
      </c>
      <c r="AK162" s="2">
        <f t="shared" si="34"/>
        <v>1785</v>
      </c>
      <c r="AL162" s="2">
        <f t="shared" si="35"/>
        <v>1380</v>
      </c>
      <c r="AM162" s="2">
        <f t="shared" si="36"/>
        <v>1138</v>
      </c>
      <c r="AN162" s="2">
        <f t="shared" si="37"/>
        <v>976</v>
      </c>
      <c r="AO162" s="2">
        <f t="shared" si="38"/>
        <v>774</v>
      </c>
      <c r="AP162" s="2">
        <f t="shared" si="39"/>
        <v>8000</v>
      </c>
      <c r="AQ162" s="2">
        <f t="shared" si="40"/>
        <v>11999</v>
      </c>
      <c r="AR162" s="2">
        <f t="shared" si="41"/>
        <v>13449</v>
      </c>
      <c r="AS162" s="2">
        <f t="shared" si="42"/>
        <v>2415</v>
      </c>
      <c r="AT162" s="2">
        <f t="shared" si="43"/>
        <v>1662</v>
      </c>
      <c r="AU162" s="2">
        <f t="shared" si="44"/>
        <v>1286</v>
      </c>
      <c r="AV162" s="2">
        <f t="shared" si="45"/>
        <v>1060</v>
      </c>
      <c r="AW162" s="2">
        <f t="shared" si="46"/>
        <v>909</v>
      </c>
      <c r="AX162" s="2">
        <f t="shared" si="47"/>
        <v>721</v>
      </c>
    </row>
    <row r="163" ht="14.25" customHeight="1">
      <c r="A163" s="2" t="str">
        <f t="array" ref="A163">IFERROR(INDEX('Product Price'!A:A,SMALL('Product Price'!$D:$D,161)),"")</f>
        <v>REDMI Pad 2 9.7 4G 4/128 GB</v>
      </c>
      <c r="B163" s="2">
        <f t="array" ref="B163">IFERROR(INDEX('Product Price'!B:B,SMALL('Product Price'!$D:$D,161)),"")</f>
        <v>5999</v>
      </c>
      <c r="C163" s="2">
        <f t="array" ref="C163">IFERROR(INDEX('Product Price'!C:C,SMALL('Product Price'!$D:$D,161)),"")</f>
        <v>141</v>
      </c>
      <c r="D163" s="2">
        <f t="shared" si="1"/>
        <v>795</v>
      </c>
      <c r="E163" s="2">
        <f t="shared" si="2"/>
        <v>6794</v>
      </c>
      <c r="F163" s="2">
        <f t="shared" si="48"/>
        <v>900</v>
      </c>
      <c r="G163" s="2">
        <f t="shared" si="4"/>
        <v>5099</v>
      </c>
      <c r="H163" s="2">
        <f t="shared" si="5"/>
        <v>5894</v>
      </c>
      <c r="I163" s="2">
        <f t="shared" si="6"/>
        <v>1061</v>
      </c>
      <c r="J163" s="2">
        <f t="shared" si="7"/>
        <v>730</v>
      </c>
      <c r="K163" s="2">
        <f t="shared" si="8"/>
        <v>565</v>
      </c>
      <c r="L163" s="2" t="str">
        <f t="shared" si="9"/>
        <v>-</v>
      </c>
      <c r="M163" s="2" t="str">
        <f t="shared" si="10"/>
        <v>-</v>
      </c>
      <c r="N163" s="2" t="str">
        <f t="shared" si="11"/>
        <v>-</v>
      </c>
      <c r="O163" s="2">
        <f t="shared" si="12"/>
        <v>1200</v>
      </c>
      <c r="P163" s="2">
        <f t="shared" si="13"/>
        <v>4799</v>
      </c>
      <c r="Q163" s="2">
        <f t="shared" si="14"/>
        <v>5594</v>
      </c>
      <c r="R163" s="2">
        <f t="shared" si="15"/>
        <v>1007</v>
      </c>
      <c r="S163" s="2">
        <f t="shared" si="16"/>
        <v>693</v>
      </c>
      <c r="T163" s="2">
        <f t="shared" si="17"/>
        <v>536</v>
      </c>
      <c r="U163" s="2" t="str">
        <f t="shared" si="18"/>
        <v>-</v>
      </c>
      <c r="V163" s="2" t="str">
        <f t="shared" si="19"/>
        <v>-</v>
      </c>
      <c r="W163" s="2" t="str">
        <f t="shared" si="20"/>
        <v>-</v>
      </c>
      <c r="X163" s="2">
        <f t="shared" si="21"/>
        <v>1500</v>
      </c>
      <c r="Y163" s="2">
        <f t="shared" si="22"/>
        <v>4499</v>
      </c>
      <c r="Z163" s="2">
        <f t="shared" si="23"/>
        <v>5294</v>
      </c>
      <c r="AA163" s="2">
        <f t="shared" si="24"/>
        <v>954</v>
      </c>
      <c r="AB163" s="2">
        <f t="shared" si="25"/>
        <v>656</v>
      </c>
      <c r="AC163" s="2">
        <f t="shared" si="26"/>
        <v>508</v>
      </c>
      <c r="AD163" s="2" t="str">
        <f t="shared" si="27"/>
        <v>-</v>
      </c>
      <c r="AE163" s="2" t="str">
        <f t="shared" si="28"/>
        <v>-</v>
      </c>
      <c r="AF163" s="2" t="str">
        <f t="shared" si="29"/>
        <v>-</v>
      </c>
      <c r="AG163" s="2">
        <f t="shared" si="30"/>
        <v>2100</v>
      </c>
      <c r="AH163" s="2">
        <f t="shared" si="31"/>
        <v>3899</v>
      </c>
      <c r="AI163" s="2">
        <f t="shared" si="32"/>
        <v>4694</v>
      </c>
      <c r="AJ163" s="2">
        <f t="shared" si="33"/>
        <v>847</v>
      </c>
      <c r="AK163" s="2">
        <f t="shared" si="34"/>
        <v>583</v>
      </c>
      <c r="AL163" s="2" t="str">
        <f t="shared" si="35"/>
        <v>-</v>
      </c>
      <c r="AM163" s="2" t="str">
        <f t="shared" si="36"/>
        <v>-</v>
      </c>
      <c r="AN163" s="2" t="str">
        <f t="shared" si="37"/>
        <v>-</v>
      </c>
      <c r="AO163" s="2" t="str">
        <f t="shared" si="38"/>
        <v>-</v>
      </c>
      <c r="AP163" s="2">
        <f t="shared" si="39"/>
        <v>2400</v>
      </c>
      <c r="AQ163" s="2">
        <f t="shared" si="40"/>
        <v>3599</v>
      </c>
      <c r="AR163" s="2">
        <f t="shared" si="41"/>
        <v>4394</v>
      </c>
      <c r="AS163" s="2">
        <f t="shared" si="42"/>
        <v>793</v>
      </c>
      <c r="AT163" s="2">
        <f t="shared" si="43"/>
        <v>546</v>
      </c>
      <c r="AU163" s="2" t="str">
        <f t="shared" si="44"/>
        <v>-</v>
      </c>
      <c r="AV163" s="2" t="str">
        <f t="shared" si="45"/>
        <v>-</v>
      </c>
      <c r="AW163" s="2" t="str">
        <f t="shared" si="46"/>
        <v>-</v>
      </c>
      <c r="AX163" s="2" t="str">
        <f t="shared" si="47"/>
        <v>-</v>
      </c>
    </row>
    <row r="164" ht="14.25" customHeight="1">
      <c r="A164" s="2" t="str">
        <f t="array" ref="A164">IFERROR(INDEX('Product Price'!A:A,SMALL('Product Price'!$D:$D,162)),"")</f>
        <v>REDMI Pad 2 9.7 4G 4/64 GB</v>
      </c>
      <c r="B164" s="2">
        <f t="array" ref="B164">IFERROR(INDEX('Product Price'!B:B,SMALL('Product Price'!$D:$D,162)),"")</f>
        <v>5499</v>
      </c>
      <c r="C164" s="2">
        <f t="array" ref="C164">IFERROR(INDEX('Product Price'!C:C,SMALL('Product Price'!$D:$D,162)),"")</f>
        <v>142</v>
      </c>
      <c r="D164" s="2">
        <f t="shared" si="1"/>
        <v>795</v>
      </c>
      <c r="E164" s="2">
        <f t="shared" si="2"/>
        <v>6294</v>
      </c>
      <c r="F164" s="2">
        <f t="shared" si="48"/>
        <v>825</v>
      </c>
      <c r="G164" s="2">
        <f t="shared" si="4"/>
        <v>4674</v>
      </c>
      <c r="H164" s="2">
        <f t="shared" si="5"/>
        <v>5469</v>
      </c>
      <c r="I164" s="2">
        <f t="shared" si="6"/>
        <v>985</v>
      </c>
      <c r="J164" s="2">
        <f t="shared" si="7"/>
        <v>678</v>
      </c>
      <c r="K164" s="2">
        <f t="shared" si="8"/>
        <v>524</v>
      </c>
      <c r="L164" s="2" t="str">
        <f t="shared" si="9"/>
        <v>-</v>
      </c>
      <c r="M164" s="2" t="str">
        <f t="shared" si="10"/>
        <v>-</v>
      </c>
      <c r="N164" s="2" t="str">
        <f t="shared" si="11"/>
        <v>-</v>
      </c>
      <c r="O164" s="2">
        <f t="shared" si="12"/>
        <v>1100</v>
      </c>
      <c r="P164" s="2">
        <f t="shared" si="13"/>
        <v>4399</v>
      </c>
      <c r="Q164" s="2">
        <f t="shared" si="14"/>
        <v>5194</v>
      </c>
      <c r="R164" s="2">
        <f t="shared" si="15"/>
        <v>936</v>
      </c>
      <c r="S164" s="2">
        <f t="shared" si="16"/>
        <v>644</v>
      </c>
      <c r="T164" s="2">
        <f t="shared" si="17"/>
        <v>498</v>
      </c>
      <c r="U164" s="2" t="str">
        <f t="shared" si="18"/>
        <v>-</v>
      </c>
      <c r="V164" s="2" t="str">
        <f t="shared" si="19"/>
        <v>-</v>
      </c>
      <c r="W164" s="2" t="str">
        <f t="shared" si="20"/>
        <v>-</v>
      </c>
      <c r="X164" s="2">
        <f t="shared" si="21"/>
        <v>1375</v>
      </c>
      <c r="Y164" s="2">
        <f t="shared" si="22"/>
        <v>4124</v>
      </c>
      <c r="Z164" s="2">
        <f t="shared" si="23"/>
        <v>4919</v>
      </c>
      <c r="AA164" s="2">
        <f t="shared" si="24"/>
        <v>887</v>
      </c>
      <c r="AB164" s="2">
        <f t="shared" si="25"/>
        <v>610</v>
      </c>
      <c r="AC164" s="2" t="str">
        <f t="shared" si="26"/>
        <v>-</v>
      </c>
      <c r="AD164" s="2" t="str">
        <f t="shared" si="27"/>
        <v>-</v>
      </c>
      <c r="AE164" s="2" t="str">
        <f t="shared" si="28"/>
        <v>-</v>
      </c>
      <c r="AF164" s="2" t="str">
        <f t="shared" si="29"/>
        <v>-</v>
      </c>
      <c r="AG164" s="2">
        <f t="shared" si="30"/>
        <v>1925</v>
      </c>
      <c r="AH164" s="2">
        <f t="shared" si="31"/>
        <v>3574</v>
      </c>
      <c r="AI164" s="2">
        <f t="shared" si="32"/>
        <v>4369</v>
      </c>
      <c r="AJ164" s="2">
        <f t="shared" si="33"/>
        <v>789</v>
      </c>
      <c r="AK164" s="2">
        <f t="shared" si="34"/>
        <v>543</v>
      </c>
      <c r="AL164" s="2" t="str">
        <f t="shared" si="35"/>
        <v>-</v>
      </c>
      <c r="AM164" s="2" t="str">
        <f t="shared" si="36"/>
        <v>-</v>
      </c>
      <c r="AN164" s="2" t="str">
        <f t="shared" si="37"/>
        <v>-</v>
      </c>
      <c r="AO164" s="2" t="str">
        <f t="shared" si="38"/>
        <v>-</v>
      </c>
      <c r="AP164" s="2">
        <f t="shared" si="39"/>
        <v>2200</v>
      </c>
      <c r="AQ164" s="2">
        <f t="shared" si="40"/>
        <v>3299</v>
      </c>
      <c r="AR164" s="2">
        <f t="shared" si="41"/>
        <v>4094</v>
      </c>
      <c r="AS164" s="2">
        <f t="shared" si="42"/>
        <v>740</v>
      </c>
      <c r="AT164" s="2">
        <f t="shared" si="43"/>
        <v>509</v>
      </c>
      <c r="AU164" s="2" t="str">
        <f t="shared" si="44"/>
        <v>-</v>
      </c>
      <c r="AV164" s="2" t="str">
        <f t="shared" si="45"/>
        <v>-</v>
      </c>
      <c r="AW164" s="2" t="str">
        <f t="shared" si="46"/>
        <v>-</v>
      </c>
      <c r="AX164" s="2" t="str">
        <f t="shared" si="47"/>
        <v>-</v>
      </c>
    </row>
    <row r="165" ht="14.25" customHeight="1">
      <c r="A165" s="2" t="str">
        <f t="array" ref="A165">IFERROR(INDEX('Product Price'!A:A,SMALL('Product Price'!$D:$D,163)),"")</f>
        <v>REDMI 17 5G 4/256 GB</v>
      </c>
      <c r="B165" s="2">
        <f t="array" ref="B165">IFERROR(INDEX('Product Price'!B:B,SMALL('Product Price'!$D:$D,163)),"")</f>
        <v>8999</v>
      </c>
      <c r="C165" s="2">
        <f t="array" ref="C165">IFERROR(INDEX('Product Price'!C:C,SMALL('Product Price'!$D:$D,163)),"")</f>
        <v>150</v>
      </c>
      <c r="D165" s="2">
        <f t="shared" si="1"/>
        <v>795</v>
      </c>
      <c r="E165" s="2">
        <f t="shared" si="2"/>
        <v>9794</v>
      </c>
      <c r="F165" s="2">
        <f t="shared" si="48"/>
        <v>1350</v>
      </c>
      <c r="G165" s="2">
        <f t="shared" si="4"/>
        <v>7649</v>
      </c>
      <c r="H165" s="2">
        <f t="shared" si="5"/>
        <v>8444</v>
      </c>
      <c r="I165" s="2">
        <f t="shared" si="6"/>
        <v>1515</v>
      </c>
      <c r="J165" s="2">
        <f t="shared" si="7"/>
        <v>1043</v>
      </c>
      <c r="K165" s="2">
        <f t="shared" si="8"/>
        <v>807</v>
      </c>
      <c r="L165" s="2">
        <f t="shared" si="9"/>
        <v>665</v>
      </c>
      <c r="M165" s="2">
        <f t="shared" si="10"/>
        <v>570</v>
      </c>
      <c r="N165" s="2">
        <f t="shared" si="11"/>
        <v>452</v>
      </c>
      <c r="O165" s="2">
        <f t="shared" si="12"/>
        <v>1800</v>
      </c>
      <c r="P165" s="2">
        <f t="shared" si="13"/>
        <v>7199</v>
      </c>
      <c r="Q165" s="2">
        <f t="shared" si="14"/>
        <v>7994</v>
      </c>
      <c r="R165" s="2">
        <f t="shared" si="15"/>
        <v>1435</v>
      </c>
      <c r="S165" s="2">
        <f t="shared" si="16"/>
        <v>987</v>
      </c>
      <c r="T165" s="2">
        <f t="shared" si="17"/>
        <v>764</v>
      </c>
      <c r="U165" s="2">
        <f t="shared" si="18"/>
        <v>630</v>
      </c>
      <c r="V165" s="2">
        <f t="shared" si="19"/>
        <v>540</v>
      </c>
      <c r="W165" s="2" t="str">
        <f t="shared" si="20"/>
        <v>-</v>
      </c>
      <c r="X165" s="2">
        <f t="shared" si="21"/>
        <v>2250</v>
      </c>
      <c r="Y165" s="2">
        <f t="shared" si="22"/>
        <v>6749</v>
      </c>
      <c r="Z165" s="2">
        <f t="shared" si="23"/>
        <v>7544</v>
      </c>
      <c r="AA165" s="2">
        <f t="shared" si="24"/>
        <v>1355</v>
      </c>
      <c r="AB165" s="2">
        <f t="shared" si="25"/>
        <v>932</v>
      </c>
      <c r="AC165" s="2">
        <f t="shared" si="26"/>
        <v>721</v>
      </c>
      <c r="AD165" s="2">
        <f t="shared" si="27"/>
        <v>595</v>
      </c>
      <c r="AE165" s="2">
        <f t="shared" si="28"/>
        <v>510</v>
      </c>
      <c r="AF165" s="2" t="str">
        <f t="shared" si="29"/>
        <v>-</v>
      </c>
      <c r="AG165" s="2">
        <f t="shared" si="30"/>
        <v>3150</v>
      </c>
      <c r="AH165" s="2">
        <f t="shared" si="31"/>
        <v>5849</v>
      </c>
      <c r="AI165" s="2">
        <f t="shared" si="32"/>
        <v>6644</v>
      </c>
      <c r="AJ165" s="2">
        <f t="shared" si="33"/>
        <v>1194</v>
      </c>
      <c r="AK165" s="2">
        <f t="shared" si="34"/>
        <v>822</v>
      </c>
      <c r="AL165" s="2">
        <f t="shared" si="35"/>
        <v>636</v>
      </c>
      <c r="AM165" s="2">
        <f t="shared" si="36"/>
        <v>524</v>
      </c>
      <c r="AN165" s="2" t="str">
        <f t="shared" si="37"/>
        <v>-</v>
      </c>
      <c r="AO165" s="2" t="str">
        <f t="shared" si="38"/>
        <v>-</v>
      </c>
      <c r="AP165" s="2">
        <f t="shared" si="39"/>
        <v>3600</v>
      </c>
      <c r="AQ165" s="2">
        <f t="shared" si="40"/>
        <v>5399</v>
      </c>
      <c r="AR165" s="2">
        <f t="shared" si="41"/>
        <v>6194</v>
      </c>
      <c r="AS165" s="2">
        <f t="shared" si="42"/>
        <v>1114</v>
      </c>
      <c r="AT165" s="2">
        <f t="shared" si="43"/>
        <v>767</v>
      </c>
      <c r="AU165" s="2">
        <f t="shared" si="44"/>
        <v>593</v>
      </c>
      <c r="AV165" s="2">
        <f t="shared" si="45"/>
        <v>489</v>
      </c>
      <c r="AW165" s="2" t="str">
        <f t="shared" si="46"/>
        <v>-</v>
      </c>
      <c r="AX165" s="2" t="str">
        <f t="shared" si="47"/>
        <v>-</v>
      </c>
    </row>
    <row r="166" ht="14.25" customHeight="1">
      <c r="A166" s="2" t="str">
        <f t="array" ref="A166">IFERROR(INDEX('Product Price'!A:A,SMALL('Product Price'!$D:$D,164)),"")</f>
        <v>REDMI 17 5G 4/128 GB</v>
      </c>
      <c r="B166" s="2">
        <f t="array" ref="B166">IFERROR(INDEX('Product Price'!B:B,SMALL('Product Price'!$D:$D,164)),"")</f>
        <v>7999</v>
      </c>
      <c r="C166" s="2">
        <f t="array" ref="C166">IFERROR(INDEX('Product Price'!C:C,SMALL('Product Price'!$D:$D,164)),"")</f>
        <v>151</v>
      </c>
      <c r="D166" s="2">
        <f t="shared" si="1"/>
        <v>795</v>
      </c>
      <c r="E166" s="2">
        <f t="shared" si="2"/>
        <v>8794</v>
      </c>
      <c r="F166" s="2">
        <f t="shared" si="48"/>
        <v>1200</v>
      </c>
      <c r="G166" s="2">
        <f t="shared" si="4"/>
        <v>6799</v>
      </c>
      <c r="H166" s="2">
        <f t="shared" si="5"/>
        <v>7594</v>
      </c>
      <c r="I166" s="2">
        <f t="shared" si="6"/>
        <v>1363</v>
      </c>
      <c r="J166" s="2">
        <f t="shared" si="7"/>
        <v>938</v>
      </c>
      <c r="K166" s="2">
        <f t="shared" si="8"/>
        <v>726</v>
      </c>
      <c r="L166" s="2">
        <f t="shared" si="9"/>
        <v>598</v>
      </c>
      <c r="M166" s="2">
        <f t="shared" si="10"/>
        <v>513</v>
      </c>
      <c r="N166" s="2" t="str">
        <f t="shared" si="11"/>
        <v>-</v>
      </c>
      <c r="O166" s="2">
        <f t="shared" si="12"/>
        <v>1600</v>
      </c>
      <c r="P166" s="2">
        <f t="shared" si="13"/>
        <v>6399</v>
      </c>
      <c r="Q166" s="2">
        <f t="shared" si="14"/>
        <v>7194</v>
      </c>
      <c r="R166" s="2">
        <f t="shared" si="15"/>
        <v>1292</v>
      </c>
      <c r="S166" s="2">
        <f t="shared" si="16"/>
        <v>889</v>
      </c>
      <c r="T166" s="2">
        <f t="shared" si="17"/>
        <v>688</v>
      </c>
      <c r="U166" s="2">
        <f t="shared" si="18"/>
        <v>567</v>
      </c>
      <c r="V166" s="2">
        <f t="shared" si="19"/>
        <v>487</v>
      </c>
      <c r="W166" s="2" t="str">
        <f t="shared" si="20"/>
        <v>-</v>
      </c>
      <c r="X166" s="2">
        <f t="shared" si="21"/>
        <v>2000</v>
      </c>
      <c r="Y166" s="2">
        <f t="shared" si="22"/>
        <v>5999</v>
      </c>
      <c r="Z166" s="2">
        <f t="shared" si="23"/>
        <v>6794</v>
      </c>
      <c r="AA166" s="2">
        <f t="shared" si="24"/>
        <v>1221</v>
      </c>
      <c r="AB166" s="2">
        <f t="shared" si="25"/>
        <v>840</v>
      </c>
      <c r="AC166" s="2">
        <f t="shared" si="26"/>
        <v>650</v>
      </c>
      <c r="AD166" s="2">
        <f t="shared" si="27"/>
        <v>536</v>
      </c>
      <c r="AE166" s="2">
        <f t="shared" si="28"/>
        <v>460</v>
      </c>
      <c r="AF166" s="2" t="str">
        <f t="shared" si="29"/>
        <v>-</v>
      </c>
      <c r="AG166" s="2">
        <f t="shared" si="30"/>
        <v>2800</v>
      </c>
      <c r="AH166" s="2">
        <f t="shared" si="31"/>
        <v>5199</v>
      </c>
      <c r="AI166" s="2">
        <f t="shared" si="32"/>
        <v>5994</v>
      </c>
      <c r="AJ166" s="2">
        <f t="shared" si="33"/>
        <v>1078</v>
      </c>
      <c r="AK166" s="2">
        <f t="shared" si="34"/>
        <v>742</v>
      </c>
      <c r="AL166" s="2">
        <f t="shared" si="35"/>
        <v>574</v>
      </c>
      <c r="AM166" s="2">
        <f t="shared" si="36"/>
        <v>473</v>
      </c>
      <c r="AN166" s="2" t="str">
        <f t="shared" si="37"/>
        <v>-</v>
      </c>
      <c r="AO166" s="2" t="str">
        <f t="shared" si="38"/>
        <v>-</v>
      </c>
      <c r="AP166" s="2">
        <f t="shared" si="39"/>
        <v>3200</v>
      </c>
      <c r="AQ166" s="2">
        <f t="shared" si="40"/>
        <v>4799</v>
      </c>
      <c r="AR166" s="2">
        <f t="shared" si="41"/>
        <v>5594</v>
      </c>
      <c r="AS166" s="2">
        <f t="shared" si="42"/>
        <v>1007</v>
      </c>
      <c r="AT166" s="2">
        <f t="shared" si="43"/>
        <v>693</v>
      </c>
      <c r="AU166" s="2">
        <f t="shared" si="44"/>
        <v>536</v>
      </c>
      <c r="AV166" s="2" t="str">
        <f t="shared" si="45"/>
        <v>-</v>
      </c>
      <c r="AW166" s="2" t="str">
        <f t="shared" si="46"/>
        <v>-</v>
      </c>
      <c r="AX166" s="2" t="str">
        <f t="shared" si="47"/>
        <v>-</v>
      </c>
    </row>
    <row r="167" ht="14.25" customHeight="1">
      <c r="A167" s="2" t="str">
        <f t="array" ref="A167">IFERROR(INDEX('Product Price'!A:A,SMALL('Product Price'!$D:$D,165)),"")</f>
        <v>REDMI 17 4/256 GB</v>
      </c>
      <c r="B167" s="2">
        <f t="array" ref="B167">IFERROR(INDEX('Product Price'!B:B,SMALL('Product Price'!$D:$D,165)),"")</f>
        <v>7999</v>
      </c>
      <c r="C167" s="2">
        <f t="array" ref="C167">IFERROR(INDEX('Product Price'!C:C,SMALL('Product Price'!$D:$D,165)),"")</f>
        <v>152</v>
      </c>
      <c r="D167" s="2">
        <f t="shared" si="1"/>
        <v>795</v>
      </c>
      <c r="E167" s="2">
        <f t="shared" si="2"/>
        <v>8794</v>
      </c>
      <c r="F167" s="2">
        <f t="shared" si="48"/>
        <v>1200</v>
      </c>
      <c r="G167" s="2">
        <f t="shared" si="4"/>
        <v>6799</v>
      </c>
      <c r="H167" s="2">
        <f t="shared" si="5"/>
        <v>7594</v>
      </c>
      <c r="I167" s="2">
        <f t="shared" si="6"/>
        <v>1363</v>
      </c>
      <c r="J167" s="2">
        <f t="shared" si="7"/>
        <v>938</v>
      </c>
      <c r="K167" s="2">
        <f t="shared" si="8"/>
        <v>726</v>
      </c>
      <c r="L167" s="2">
        <f t="shared" si="9"/>
        <v>598</v>
      </c>
      <c r="M167" s="2">
        <f t="shared" si="10"/>
        <v>513</v>
      </c>
      <c r="N167" s="2" t="str">
        <f t="shared" si="11"/>
        <v>-</v>
      </c>
      <c r="O167" s="2">
        <f t="shared" si="12"/>
        <v>1600</v>
      </c>
      <c r="P167" s="2">
        <f t="shared" si="13"/>
        <v>6399</v>
      </c>
      <c r="Q167" s="2">
        <f t="shared" si="14"/>
        <v>7194</v>
      </c>
      <c r="R167" s="2">
        <f t="shared" si="15"/>
        <v>1292</v>
      </c>
      <c r="S167" s="2">
        <f t="shared" si="16"/>
        <v>889</v>
      </c>
      <c r="T167" s="2">
        <f t="shared" si="17"/>
        <v>688</v>
      </c>
      <c r="U167" s="2">
        <f t="shared" si="18"/>
        <v>567</v>
      </c>
      <c r="V167" s="2">
        <f t="shared" si="19"/>
        <v>487</v>
      </c>
      <c r="W167" s="2" t="str">
        <f t="shared" si="20"/>
        <v>-</v>
      </c>
      <c r="X167" s="2">
        <f t="shared" si="21"/>
        <v>2000</v>
      </c>
      <c r="Y167" s="2">
        <f t="shared" si="22"/>
        <v>5999</v>
      </c>
      <c r="Z167" s="2">
        <f t="shared" si="23"/>
        <v>6794</v>
      </c>
      <c r="AA167" s="2">
        <f t="shared" si="24"/>
        <v>1221</v>
      </c>
      <c r="AB167" s="2">
        <f t="shared" si="25"/>
        <v>840</v>
      </c>
      <c r="AC167" s="2">
        <f t="shared" si="26"/>
        <v>650</v>
      </c>
      <c r="AD167" s="2">
        <f t="shared" si="27"/>
        <v>536</v>
      </c>
      <c r="AE167" s="2">
        <f t="shared" si="28"/>
        <v>460</v>
      </c>
      <c r="AF167" s="2" t="str">
        <f t="shared" si="29"/>
        <v>-</v>
      </c>
      <c r="AG167" s="2">
        <f t="shared" si="30"/>
        <v>2800</v>
      </c>
      <c r="AH167" s="2">
        <f t="shared" si="31"/>
        <v>5199</v>
      </c>
      <c r="AI167" s="2">
        <f t="shared" si="32"/>
        <v>5994</v>
      </c>
      <c r="AJ167" s="2">
        <f t="shared" si="33"/>
        <v>1078</v>
      </c>
      <c r="AK167" s="2">
        <f t="shared" si="34"/>
        <v>742</v>
      </c>
      <c r="AL167" s="2">
        <f t="shared" si="35"/>
        <v>574</v>
      </c>
      <c r="AM167" s="2">
        <f t="shared" si="36"/>
        <v>473</v>
      </c>
      <c r="AN167" s="2" t="str">
        <f t="shared" si="37"/>
        <v>-</v>
      </c>
      <c r="AO167" s="2" t="str">
        <f t="shared" si="38"/>
        <v>-</v>
      </c>
      <c r="AP167" s="2">
        <f t="shared" si="39"/>
        <v>3200</v>
      </c>
      <c r="AQ167" s="2">
        <f t="shared" si="40"/>
        <v>4799</v>
      </c>
      <c r="AR167" s="2">
        <f t="shared" si="41"/>
        <v>5594</v>
      </c>
      <c r="AS167" s="2">
        <f t="shared" si="42"/>
        <v>1007</v>
      </c>
      <c r="AT167" s="2">
        <f t="shared" si="43"/>
        <v>693</v>
      </c>
      <c r="AU167" s="2">
        <f t="shared" si="44"/>
        <v>536</v>
      </c>
      <c r="AV167" s="2" t="str">
        <f t="shared" si="45"/>
        <v>-</v>
      </c>
      <c r="AW167" s="2" t="str">
        <f t="shared" si="46"/>
        <v>-</v>
      </c>
      <c r="AX167" s="2" t="str">
        <f t="shared" si="47"/>
        <v>-</v>
      </c>
    </row>
    <row r="168" ht="14.25" customHeight="1">
      <c r="A168" s="2" t="str">
        <f t="array" ref="A168">IFERROR(INDEX('Product Price'!A:A,SMALL('Product Price'!$D:$D,166)),"")</f>
        <v>REDMI 17 4/128 GB</v>
      </c>
      <c r="B168" s="2">
        <f t="array" ref="B168">IFERROR(INDEX('Product Price'!B:B,SMALL('Product Price'!$D:$D,166)),"")</f>
        <v>6999</v>
      </c>
      <c r="C168" s="2">
        <f t="array" ref="C168">IFERROR(INDEX('Product Price'!C:C,SMALL('Product Price'!$D:$D,166)),"")</f>
        <v>153</v>
      </c>
      <c r="D168" s="2">
        <f t="shared" si="1"/>
        <v>795</v>
      </c>
      <c r="E168" s="2">
        <f t="shared" si="2"/>
        <v>7794</v>
      </c>
      <c r="F168" s="2">
        <f t="shared" si="48"/>
        <v>1050</v>
      </c>
      <c r="G168" s="2">
        <f t="shared" si="4"/>
        <v>5949</v>
      </c>
      <c r="H168" s="2">
        <f t="shared" si="5"/>
        <v>6744</v>
      </c>
      <c r="I168" s="2">
        <f t="shared" si="6"/>
        <v>1212</v>
      </c>
      <c r="J168" s="2">
        <f t="shared" si="7"/>
        <v>834</v>
      </c>
      <c r="K168" s="2">
        <f t="shared" si="8"/>
        <v>645</v>
      </c>
      <c r="L168" s="2">
        <f t="shared" si="9"/>
        <v>532</v>
      </c>
      <c r="M168" s="2" t="str">
        <f t="shared" si="10"/>
        <v>-</v>
      </c>
      <c r="N168" s="2" t="str">
        <f t="shared" si="11"/>
        <v>-</v>
      </c>
      <c r="O168" s="2">
        <f t="shared" si="12"/>
        <v>1400</v>
      </c>
      <c r="P168" s="2">
        <f t="shared" si="13"/>
        <v>5599</v>
      </c>
      <c r="Q168" s="2">
        <f t="shared" si="14"/>
        <v>6394</v>
      </c>
      <c r="R168" s="2">
        <f t="shared" si="15"/>
        <v>1150</v>
      </c>
      <c r="S168" s="2">
        <f t="shared" si="16"/>
        <v>791</v>
      </c>
      <c r="T168" s="2">
        <f t="shared" si="17"/>
        <v>612</v>
      </c>
      <c r="U168" s="2">
        <f t="shared" si="18"/>
        <v>505</v>
      </c>
      <c r="V168" s="2" t="str">
        <f t="shared" si="19"/>
        <v>-</v>
      </c>
      <c r="W168" s="2" t="str">
        <f t="shared" si="20"/>
        <v>-</v>
      </c>
      <c r="X168" s="2">
        <f t="shared" si="21"/>
        <v>1750</v>
      </c>
      <c r="Y168" s="2">
        <f t="shared" si="22"/>
        <v>5249</v>
      </c>
      <c r="Z168" s="2">
        <f t="shared" si="23"/>
        <v>6044</v>
      </c>
      <c r="AA168" s="2">
        <f t="shared" si="24"/>
        <v>1087</v>
      </c>
      <c r="AB168" s="2">
        <f t="shared" si="25"/>
        <v>748</v>
      </c>
      <c r="AC168" s="2">
        <f t="shared" si="26"/>
        <v>579</v>
      </c>
      <c r="AD168" s="2">
        <f t="shared" si="27"/>
        <v>477</v>
      </c>
      <c r="AE168" s="2" t="str">
        <f t="shared" si="28"/>
        <v>-</v>
      </c>
      <c r="AF168" s="2" t="str">
        <f t="shared" si="29"/>
        <v>-</v>
      </c>
      <c r="AG168" s="2">
        <f t="shared" si="30"/>
        <v>2450</v>
      </c>
      <c r="AH168" s="2">
        <f t="shared" si="31"/>
        <v>4549</v>
      </c>
      <c r="AI168" s="2">
        <f t="shared" si="32"/>
        <v>5344</v>
      </c>
      <c r="AJ168" s="2">
        <f t="shared" si="33"/>
        <v>963</v>
      </c>
      <c r="AK168" s="2">
        <f t="shared" si="34"/>
        <v>663</v>
      </c>
      <c r="AL168" s="2">
        <f t="shared" si="35"/>
        <v>513</v>
      </c>
      <c r="AM168" s="2" t="str">
        <f t="shared" si="36"/>
        <v>-</v>
      </c>
      <c r="AN168" s="2" t="str">
        <f t="shared" si="37"/>
        <v>-</v>
      </c>
      <c r="AO168" s="2" t="str">
        <f t="shared" si="38"/>
        <v>-</v>
      </c>
      <c r="AP168" s="2">
        <f t="shared" si="39"/>
        <v>2800</v>
      </c>
      <c r="AQ168" s="2">
        <f t="shared" si="40"/>
        <v>4199</v>
      </c>
      <c r="AR168" s="2">
        <f t="shared" si="41"/>
        <v>4994</v>
      </c>
      <c r="AS168" s="2">
        <f t="shared" si="42"/>
        <v>900</v>
      </c>
      <c r="AT168" s="2">
        <f t="shared" si="43"/>
        <v>620</v>
      </c>
      <c r="AU168" s="2" t="str">
        <f t="shared" si="44"/>
        <v>-</v>
      </c>
      <c r="AV168" s="2" t="str">
        <f t="shared" si="45"/>
        <v>-</v>
      </c>
      <c r="AW168" s="2" t="str">
        <f t="shared" si="46"/>
        <v>-</v>
      </c>
      <c r="AX168" s="2" t="str">
        <f t="shared" si="47"/>
        <v>-</v>
      </c>
    </row>
    <row r="169" ht="14.25" customHeight="1">
      <c r="A169" s="2" t="str">
        <f t="array" ref="A169">IFERROR(INDEX('Product Price'!A:A,SMALL('Product Price'!$D:$D,167)),"")</f>
        <v>XIAOMI Bundle 17T Pro 12/512 GB &amp; Redmi Watch 6</v>
      </c>
      <c r="B169" s="2">
        <f t="array" ref="B169">IFERROR(INDEX('Product Price'!B:B,SMALL('Product Price'!$D:$D,167)),"")</f>
        <v>31189</v>
      </c>
      <c r="C169" s="2">
        <f t="array" ref="C169">IFERROR(INDEX('Product Price'!C:C,SMALL('Product Price'!$D:$D,167)),"")</f>
        <v>154</v>
      </c>
      <c r="D169" s="2">
        <f t="shared" si="1"/>
        <v>1900</v>
      </c>
      <c r="E169" s="2">
        <f t="shared" si="2"/>
        <v>33089</v>
      </c>
      <c r="F169" s="2">
        <f t="shared" si="48"/>
        <v>4679</v>
      </c>
      <c r="G169" s="2">
        <f t="shared" si="4"/>
        <v>26510</v>
      </c>
      <c r="H169" s="2">
        <f t="shared" si="5"/>
        <v>28410</v>
      </c>
      <c r="I169" s="2">
        <f t="shared" si="6"/>
        <v>5086</v>
      </c>
      <c r="J169" s="2">
        <f t="shared" si="7"/>
        <v>3500</v>
      </c>
      <c r="K169" s="2">
        <f t="shared" si="8"/>
        <v>2707</v>
      </c>
      <c r="L169" s="2">
        <f t="shared" si="9"/>
        <v>2232</v>
      </c>
      <c r="M169" s="2">
        <f t="shared" si="10"/>
        <v>1914</v>
      </c>
      <c r="N169" s="2">
        <f t="shared" si="11"/>
        <v>1518</v>
      </c>
      <c r="O169" s="2">
        <f t="shared" si="12"/>
        <v>6238</v>
      </c>
      <c r="P169" s="2">
        <f t="shared" si="13"/>
        <v>24951</v>
      </c>
      <c r="Q169" s="2">
        <f t="shared" si="14"/>
        <v>26851</v>
      </c>
      <c r="R169" s="2">
        <f t="shared" si="15"/>
        <v>4808</v>
      </c>
      <c r="S169" s="2">
        <f t="shared" si="16"/>
        <v>3309</v>
      </c>
      <c r="T169" s="2">
        <f t="shared" si="17"/>
        <v>2559</v>
      </c>
      <c r="U169" s="2">
        <f t="shared" si="18"/>
        <v>2110</v>
      </c>
      <c r="V169" s="2">
        <f t="shared" si="19"/>
        <v>1810</v>
      </c>
      <c r="W169" s="2">
        <f t="shared" si="20"/>
        <v>1435</v>
      </c>
      <c r="X169" s="2">
        <f t="shared" si="21"/>
        <v>7798</v>
      </c>
      <c r="Y169" s="2">
        <f t="shared" si="22"/>
        <v>23391</v>
      </c>
      <c r="Z169" s="2">
        <f t="shared" si="23"/>
        <v>25291</v>
      </c>
      <c r="AA169" s="2">
        <f t="shared" si="24"/>
        <v>4530</v>
      </c>
      <c r="AB169" s="2">
        <f t="shared" si="25"/>
        <v>3118</v>
      </c>
      <c r="AC169" s="2">
        <f t="shared" si="26"/>
        <v>2412</v>
      </c>
      <c r="AD169" s="2">
        <f t="shared" si="27"/>
        <v>1988</v>
      </c>
      <c r="AE169" s="2">
        <f t="shared" si="28"/>
        <v>1705</v>
      </c>
      <c r="AF169" s="2">
        <f t="shared" si="29"/>
        <v>1352</v>
      </c>
      <c r="AG169" s="2">
        <f t="shared" si="30"/>
        <v>10917</v>
      </c>
      <c r="AH169" s="2">
        <f t="shared" si="31"/>
        <v>20272</v>
      </c>
      <c r="AI169" s="2">
        <f t="shared" si="32"/>
        <v>22172</v>
      </c>
      <c r="AJ169" s="2">
        <f t="shared" si="33"/>
        <v>3975</v>
      </c>
      <c r="AK169" s="2">
        <f t="shared" si="34"/>
        <v>2735</v>
      </c>
      <c r="AL169" s="2">
        <f t="shared" si="35"/>
        <v>2116</v>
      </c>
      <c r="AM169" s="2">
        <f t="shared" si="36"/>
        <v>1744</v>
      </c>
      <c r="AN169" s="2">
        <f t="shared" si="37"/>
        <v>1496</v>
      </c>
      <c r="AO169" s="2">
        <f t="shared" si="38"/>
        <v>1186</v>
      </c>
      <c r="AP169" s="2">
        <f t="shared" si="39"/>
        <v>12476</v>
      </c>
      <c r="AQ169" s="2">
        <f t="shared" si="40"/>
        <v>18713</v>
      </c>
      <c r="AR169" s="2">
        <f t="shared" si="41"/>
        <v>20613</v>
      </c>
      <c r="AS169" s="2">
        <f t="shared" si="42"/>
        <v>3697</v>
      </c>
      <c r="AT169" s="2">
        <f t="shared" si="43"/>
        <v>2544</v>
      </c>
      <c r="AU169" s="2">
        <f t="shared" si="44"/>
        <v>1968</v>
      </c>
      <c r="AV169" s="2">
        <f t="shared" si="45"/>
        <v>1622</v>
      </c>
      <c r="AW169" s="2">
        <f t="shared" si="46"/>
        <v>1392</v>
      </c>
      <c r="AX169" s="2">
        <f t="shared" si="47"/>
        <v>1103</v>
      </c>
    </row>
    <row r="170" ht="14.25" customHeight="1">
      <c r="A170" s="2" t="str">
        <f t="array" ref="A170">IFERROR(INDEX('Product Price'!A:A,SMALL('Product Price'!$D:$D,168)),"")</f>
        <v>XIAOMI Bundle 17T Pro 12/256 GB &amp; Redmi Watch 6</v>
      </c>
      <c r="B170" s="2">
        <f t="array" ref="B170">IFERROR(INDEX('Product Price'!B:B,SMALL('Product Price'!$D:$D,168)),"")</f>
        <v>29189</v>
      </c>
      <c r="C170" s="2">
        <f t="array" ref="C170">IFERROR(INDEX('Product Price'!C:C,SMALL('Product Price'!$D:$D,168)),"")</f>
        <v>155</v>
      </c>
      <c r="D170" s="2">
        <f t="shared" si="1"/>
        <v>1900</v>
      </c>
      <c r="E170" s="2">
        <f t="shared" si="2"/>
        <v>31089</v>
      </c>
      <c r="F170" s="2">
        <f t="shared" si="48"/>
        <v>4379</v>
      </c>
      <c r="G170" s="2">
        <f t="shared" si="4"/>
        <v>24810</v>
      </c>
      <c r="H170" s="2">
        <f t="shared" si="5"/>
        <v>26710</v>
      </c>
      <c r="I170" s="2">
        <f t="shared" si="6"/>
        <v>4783</v>
      </c>
      <c r="J170" s="2">
        <f t="shared" si="7"/>
        <v>3292</v>
      </c>
      <c r="K170" s="2">
        <f t="shared" si="8"/>
        <v>2546</v>
      </c>
      <c r="L170" s="2">
        <f t="shared" si="9"/>
        <v>2099</v>
      </c>
      <c r="M170" s="2">
        <f t="shared" si="10"/>
        <v>1800</v>
      </c>
      <c r="N170" s="2">
        <f t="shared" si="11"/>
        <v>1428</v>
      </c>
      <c r="O170" s="2">
        <f t="shared" si="12"/>
        <v>5838</v>
      </c>
      <c r="P170" s="2">
        <f t="shared" si="13"/>
        <v>23351</v>
      </c>
      <c r="Q170" s="2">
        <f t="shared" si="14"/>
        <v>25251</v>
      </c>
      <c r="R170" s="2">
        <f t="shared" si="15"/>
        <v>4523</v>
      </c>
      <c r="S170" s="2">
        <f t="shared" si="16"/>
        <v>3113</v>
      </c>
      <c r="T170" s="2">
        <f t="shared" si="17"/>
        <v>2408</v>
      </c>
      <c r="U170" s="2">
        <f t="shared" si="18"/>
        <v>1985</v>
      </c>
      <c r="V170" s="2">
        <f t="shared" si="19"/>
        <v>1703</v>
      </c>
      <c r="W170" s="2">
        <f t="shared" si="20"/>
        <v>1350</v>
      </c>
      <c r="X170" s="2">
        <f t="shared" si="21"/>
        <v>7298</v>
      </c>
      <c r="Y170" s="2">
        <f t="shared" si="22"/>
        <v>21891</v>
      </c>
      <c r="Z170" s="2">
        <f t="shared" si="23"/>
        <v>23791</v>
      </c>
      <c r="AA170" s="2">
        <f t="shared" si="24"/>
        <v>4263</v>
      </c>
      <c r="AB170" s="2">
        <f t="shared" si="25"/>
        <v>2934</v>
      </c>
      <c r="AC170" s="2">
        <f t="shared" si="26"/>
        <v>2269</v>
      </c>
      <c r="AD170" s="2">
        <f t="shared" si="27"/>
        <v>1871</v>
      </c>
      <c r="AE170" s="2">
        <f t="shared" si="28"/>
        <v>1605</v>
      </c>
      <c r="AF170" s="2">
        <f t="shared" si="29"/>
        <v>1272</v>
      </c>
      <c r="AG170" s="2">
        <f t="shared" si="30"/>
        <v>10217</v>
      </c>
      <c r="AH170" s="2">
        <f t="shared" si="31"/>
        <v>18972</v>
      </c>
      <c r="AI170" s="2">
        <f t="shared" si="32"/>
        <v>20872</v>
      </c>
      <c r="AJ170" s="2">
        <f t="shared" si="33"/>
        <v>3743</v>
      </c>
      <c r="AK170" s="2">
        <f t="shared" si="34"/>
        <v>2576</v>
      </c>
      <c r="AL170" s="2">
        <f t="shared" si="35"/>
        <v>1992</v>
      </c>
      <c r="AM170" s="2">
        <f t="shared" si="36"/>
        <v>1642</v>
      </c>
      <c r="AN170" s="2">
        <f t="shared" si="37"/>
        <v>1409</v>
      </c>
      <c r="AO170" s="2">
        <f t="shared" si="38"/>
        <v>1117</v>
      </c>
      <c r="AP170" s="2">
        <f t="shared" si="39"/>
        <v>11676</v>
      </c>
      <c r="AQ170" s="2">
        <f t="shared" si="40"/>
        <v>17513</v>
      </c>
      <c r="AR170" s="2">
        <f t="shared" si="41"/>
        <v>19413</v>
      </c>
      <c r="AS170" s="2">
        <f t="shared" si="42"/>
        <v>3483</v>
      </c>
      <c r="AT170" s="2">
        <f t="shared" si="43"/>
        <v>2397</v>
      </c>
      <c r="AU170" s="2">
        <f t="shared" si="44"/>
        <v>1854</v>
      </c>
      <c r="AV170" s="2">
        <f t="shared" si="45"/>
        <v>1528</v>
      </c>
      <c r="AW170" s="2">
        <f t="shared" si="46"/>
        <v>1311</v>
      </c>
      <c r="AX170" s="2">
        <f t="shared" si="47"/>
        <v>1040</v>
      </c>
    </row>
    <row r="171" ht="14.25" customHeight="1">
      <c r="A171" s="2" t="str">
        <f t="array" ref="A171">IFERROR(INDEX('Product Price'!A:A,SMALL('Product Price'!$D:$D,169)),"")</f>
        <v>XIAOMI Bundle 17T 12/512 GB &amp; Redmi Watch 6</v>
      </c>
      <c r="B171" s="2">
        <f t="array" ref="B171">IFERROR(INDEX('Product Price'!B:B,SMALL('Product Price'!$D:$D,169)),"")</f>
        <v>26189</v>
      </c>
      <c r="C171" s="2">
        <f t="array" ref="C171">IFERROR(INDEX('Product Price'!C:C,SMALL('Product Price'!$D:$D,169)),"")</f>
        <v>156</v>
      </c>
      <c r="D171" s="2">
        <f t="shared" si="1"/>
        <v>1900</v>
      </c>
      <c r="E171" s="2">
        <f t="shared" si="2"/>
        <v>28089</v>
      </c>
      <c r="F171" s="2">
        <f t="shared" si="48"/>
        <v>3929</v>
      </c>
      <c r="G171" s="2">
        <f t="shared" si="4"/>
        <v>22260</v>
      </c>
      <c r="H171" s="2">
        <f t="shared" si="5"/>
        <v>24160</v>
      </c>
      <c r="I171" s="2">
        <f t="shared" si="6"/>
        <v>4329</v>
      </c>
      <c r="J171" s="2">
        <f t="shared" si="7"/>
        <v>2979</v>
      </c>
      <c r="K171" s="2">
        <f t="shared" si="8"/>
        <v>2304</v>
      </c>
      <c r="L171" s="2">
        <f t="shared" si="9"/>
        <v>1899</v>
      </c>
      <c r="M171" s="2">
        <f t="shared" si="10"/>
        <v>1629</v>
      </c>
      <c r="N171" s="2">
        <f t="shared" si="11"/>
        <v>1292</v>
      </c>
      <c r="O171" s="2">
        <f t="shared" si="12"/>
        <v>5238</v>
      </c>
      <c r="P171" s="2">
        <f t="shared" si="13"/>
        <v>20951</v>
      </c>
      <c r="Q171" s="2">
        <f t="shared" si="14"/>
        <v>22851</v>
      </c>
      <c r="R171" s="2">
        <f t="shared" si="15"/>
        <v>4095</v>
      </c>
      <c r="S171" s="2">
        <f t="shared" si="16"/>
        <v>2819</v>
      </c>
      <c r="T171" s="2">
        <f t="shared" si="17"/>
        <v>2180</v>
      </c>
      <c r="U171" s="2">
        <f t="shared" si="18"/>
        <v>1797</v>
      </c>
      <c r="V171" s="2">
        <f t="shared" si="19"/>
        <v>1542</v>
      </c>
      <c r="W171" s="2">
        <f t="shared" si="20"/>
        <v>1222</v>
      </c>
      <c r="X171" s="2">
        <f t="shared" si="21"/>
        <v>6548</v>
      </c>
      <c r="Y171" s="2">
        <f t="shared" si="22"/>
        <v>19641</v>
      </c>
      <c r="Z171" s="2">
        <f t="shared" si="23"/>
        <v>21541</v>
      </c>
      <c r="AA171" s="2">
        <f t="shared" si="24"/>
        <v>3862</v>
      </c>
      <c r="AB171" s="2">
        <f t="shared" si="25"/>
        <v>2658</v>
      </c>
      <c r="AC171" s="2">
        <f t="shared" si="26"/>
        <v>2056</v>
      </c>
      <c r="AD171" s="2">
        <f t="shared" si="27"/>
        <v>1695</v>
      </c>
      <c r="AE171" s="2">
        <f t="shared" si="28"/>
        <v>1454</v>
      </c>
      <c r="AF171" s="2">
        <f t="shared" si="29"/>
        <v>1153</v>
      </c>
      <c r="AG171" s="2">
        <f t="shared" si="30"/>
        <v>9167</v>
      </c>
      <c r="AH171" s="2">
        <f t="shared" si="31"/>
        <v>17022</v>
      </c>
      <c r="AI171" s="2">
        <f t="shared" si="32"/>
        <v>18922</v>
      </c>
      <c r="AJ171" s="2">
        <f t="shared" si="33"/>
        <v>3395</v>
      </c>
      <c r="AK171" s="2">
        <f t="shared" si="34"/>
        <v>2337</v>
      </c>
      <c r="AL171" s="2">
        <f t="shared" si="35"/>
        <v>1808</v>
      </c>
      <c r="AM171" s="2">
        <f t="shared" si="36"/>
        <v>1490</v>
      </c>
      <c r="AN171" s="2">
        <f t="shared" si="37"/>
        <v>1278</v>
      </c>
      <c r="AO171" s="2">
        <f t="shared" si="38"/>
        <v>1014</v>
      </c>
      <c r="AP171" s="2">
        <f t="shared" si="39"/>
        <v>10476</v>
      </c>
      <c r="AQ171" s="2">
        <f t="shared" si="40"/>
        <v>15713</v>
      </c>
      <c r="AR171" s="2">
        <f t="shared" si="41"/>
        <v>17613</v>
      </c>
      <c r="AS171" s="2">
        <f t="shared" si="42"/>
        <v>3162</v>
      </c>
      <c r="AT171" s="2">
        <f t="shared" si="43"/>
        <v>2176</v>
      </c>
      <c r="AU171" s="2">
        <f t="shared" si="44"/>
        <v>1683</v>
      </c>
      <c r="AV171" s="2">
        <f t="shared" si="45"/>
        <v>1388</v>
      </c>
      <c r="AW171" s="2">
        <f t="shared" si="46"/>
        <v>1190</v>
      </c>
      <c r="AX171" s="2">
        <f t="shared" si="47"/>
        <v>944</v>
      </c>
    </row>
    <row r="172" ht="14.25" customHeight="1">
      <c r="A172" s="2" t="str">
        <f t="array" ref="A172">IFERROR(INDEX('Product Price'!A:A,SMALL('Product Price'!$D:$D,170)),"")</f>
        <v>XIAOMI Bundle 17T 12/256 GB &amp; Redmi Watch 6</v>
      </c>
      <c r="B172" s="2">
        <f t="array" ref="B172">IFERROR(INDEX('Product Price'!B:B,SMALL('Product Price'!$D:$D,170)),"")</f>
        <v>23189</v>
      </c>
      <c r="C172" s="2">
        <f t="array" ref="C172">IFERROR(INDEX('Product Price'!C:C,SMALL('Product Price'!$D:$D,170)),"")</f>
        <v>157</v>
      </c>
      <c r="D172" s="2">
        <f t="shared" si="1"/>
        <v>1900</v>
      </c>
      <c r="E172" s="2">
        <f t="shared" si="2"/>
        <v>25089</v>
      </c>
      <c r="F172" s="2">
        <f t="shared" si="48"/>
        <v>3479</v>
      </c>
      <c r="G172" s="2">
        <f t="shared" si="4"/>
        <v>19710</v>
      </c>
      <c r="H172" s="2">
        <f t="shared" si="5"/>
        <v>21610</v>
      </c>
      <c r="I172" s="2">
        <f t="shared" si="6"/>
        <v>3874</v>
      </c>
      <c r="J172" s="2">
        <f t="shared" si="7"/>
        <v>2666</v>
      </c>
      <c r="K172" s="2">
        <f t="shared" si="8"/>
        <v>2062</v>
      </c>
      <c r="L172" s="2">
        <f t="shared" si="9"/>
        <v>1700</v>
      </c>
      <c r="M172" s="2">
        <f t="shared" si="10"/>
        <v>1458</v>
      </c>
      <c r="N172" s="2">
        <f t="shared" si="11"/>
        <v>1157</v>
      </c>
      <c r="O172" s="2">
        <f t="shared" si="12"/>
        <v>4638</v>
      </c>
      <c r="P172" s="2">
        <f t="shared" si="13"/>
        <v>18551</v>
      </c>
      <c r="Q172" s="2">
        <f t="shared" si="14"/>
        <v>20451</v>
      </c>
      <c r="R172" s="2">
        <f t="shared" si="15"/>
        <v>3668</v>
      </c>
      <c r="S172" s="2">
        <f t="shared" si="16"/>
        <v>2524</v>
      </c>
      <c r="T172" s="2">
        <f t="shared" si="17"/>
        <v>1953</v>
      </c>
      <c r="U172" s="2">
        <f t="shared" si="18"/>
        <v>1609</v>
      </c>
      <c r="V172" s="2">
        <f t="shared" si="19"/>
        <v>1381</v>
      </c>
      <c r="W172" s="2">
        <f t="shared" si="20"/>
        <v>1095</v>
      </c>
      <c r="X172" s="2">
        <f t="shared" si="21"/>
        <v>5798</v>
      </c>
      <c r="Y172" s="2">
        <f t="shared" si="22"/>
        <v>17391</v>
      </c>
      <c r="Z172" s="2">
        <f t="shared" si="23"/>
        <v>19291</v>
      </c>
      <c r="AA172" s="2">
        <f t="shared" si="24"/>
        <v>3461</v>
      </c>
      <c r="AB172" s="2">
        <f t="shared" si="25"/>
        <v>2382</v>
      </c>
      <c r="AC172" s="2">
        <f t="shared" si="26"/>
        <v>1843</v>
      </c>
      <c r="AD172" s="2">
        <f t="shared" si="27"/>
        <v>1519</v>
      </c>
      <c r="AE172" s="2">
        <f t="shared" si="28"/>
        <v>1303</v>
      </c>
      <c r="AF172" s="2">
        <f t="shared" si="29"/>
        <v>1033</v>
      </c>
      <c r="AG172" s="2">
        <f t="shared" si="30"/>
        <v>8117</v>
      </c>
      <c r="AH172" s="2">
        <f t="shared" si="31"/>
        <v>15072</v>
      </c>
      <c r="AI172" s="2">
        <f t="shared" si="32"/>
        <v>16972</v>
      </c>
      <c r="AJ172" s="2">
        <f t="shared" si="33"/>
        <v>3048</v>
      </c>
      <c r="AK172" s="2">
        <f t="shared" si="34"/>
        <v>2098</v>
      </c>
      <c r="AL172" s="2">
        <f t="shared" si="35"/>
        <v>1623</v>
      </c>
      <c r="AM172" s="2">
        <f t="shared" si="36"/>
        <v>1338</v>
      </c>
      <c r="AN172" s="2">
        <f t="shared" si="37"/>
        <v>1147</v>
      </c>
      <c r="AO172" s="2">
        <f t="shared" si="38"/>
        <v>910</v>
      </c>
      <c r="AP172" s="2">
        <f t="shared" si="39"/>
        <v>9276</v>
      </c>
      <c r="AQ172" s="2">
        <f t="shared" si="40"/>
        <v>13913</v>
      </c>
      <c r="AR172" s="2">
        <f t="shared" si="41"/>
        <v>15813</v>
      </c>
      <c r="AS172" s="2">
        <f t="shared" si="42"/>
        <v>2842</v>
      </c>
      <c r="AT172" s="2">
        <f t="shared" si="43"/>
        <v>1956</v>
      </c>
      <c r="AU172" s="2">
        <f t="shared" si="44"/>
        <v>1513</v>
      </c>
      <c r="AV172" s="2">
        <f t="shared" si="45"/>
        <v>1247</v>
      </c>
      <c r="AW172" s="2">
        <f t="shared" si="46"/>
        <v>1070</v>
      </c>
      <c r="AX172" s="2">
        <f t="shared" si="47"/>
        <v>848</v>
      </c>
    </row>
    <row r="173" ht="14.25" customHeight="1">
      <c r="A173" s="2" t="str">
        <f t="array" ref="A173">IFERROR(INDEX('Product Price'!A:A,SMALL('Product Price'!$D:$D,171)),"")</f>
        <v>INFINIX HOT 70 4/128 GB</v>
      </c>
      <c r="B173" s="2">
        <f t="array" ref="B173">IFERROR(INDEX('Product Price'!B:B,SMALL('Product Price'!$D:$D,171)),"")</f>
        <v>5799</v>
      </c>
      <c r="C173" s="2">
        <f t="array" ref="C173">IFERROR(INDEX('Product Price'!C:C,SMALL('Product Price'!$D:$D,171)),"")</f>
        <v>161</v>
      </c>
      <c r="D173" s="2">
        <f t="shared" si="1"/>
        <v>795</v>
      </c>
      <c r="E173" s="2">
        <f t="shared" si="2"/>
        <v>6594</v>
      </c>
      <c r="F173" s="2">
        <f t="shared" si="48"/>
        <v>870</v>
      </c>
      <c r="G173" s="2">
        <f t="shared" si="4"/>
        <v>4929</v>
      </c>
      <c r="H173" s="2">
        <f t="shared" si="5"/>
        <v>5724</v>
      </c>
      <c r="I173" s="2">
        <f t="shared" si="6"/>
        <v>1030</v>
      </c>
      <c r="J173" s="2">
        <f t="shared" si="7"/>
        <v>709</v>
      </c>
      <c r="K173" s="2">
        <f t="shared" si="8"/>
        <v>549</v>
      </c>
      <c r="L173" s="2" t="str">
        <f t="shared" si="9"/>
        <v>-</v>
      </c>
      <c r="M173" s="2" t="str">
        <f t="shared" si="10"/>
        <v>-</v>
      </c>
      <c r="N173" s="2" t="str">
        <f t="shared" si="11"/>
        <v>-</v>
      </c>
      <c r="O173" s="2">
        <f t="shared" si="12"/>
        <v>1160</v>
      </c>
      <c r="P173" s="2">
        <f t="shared" si="13"/>
        <v>4639</v>
      </c>
      <c r="Q173" s="2">
        <f t="shared" si="14"/>
        <v>5434</v>
      </c>
      <c r="R173" s="2">
        <f t="shared" si="15"/>
        <v>979</v>
      </c>
      <c r="S173" s="2">
        <f t="shared" si="16"/>
        <v>674</v>
      </c>
      <c r="T173" s="2">
        <f t="shared" si="17"/>
        <v>521</v>
      </c>
      <c r="U173" s="2" t="str">
        <f t="shared" si="18"/>
        <v>-</v>
      </c>
      <c r="V173" s="2" t="str">
        <f t="shared" si="19"/>
        <v>-</v>
      </c>
      <c r="W173" s="2" t="str">
        <f t="shared" si="20"/>
        <v>-</v>
      </c>
      <c r="X173" s="2">
        <f t="shared" si="21"/>
        <v>1450</v>
      </c>
      <c r="Y173" s="2">
        <f t="shared" si="22"/>
        <v>4349</v>
      </c>
      <c r="Z173" s="2">
        <f t="shared" si="23"/>
        <v>5144</v>
      </c>
      <c r="AA173" s="2">
        <f t="shared" si="24"/>
        <v>927</v>
      </c>
      <c r="AB173" s="2">
        <f t="shared" si="25"/>
        <v>638</v>
      </c>
      <c r="AC173" s="2">
        <f t="shared" si="26"/>
        <v>494</v>
      </c>
      <c r="AD173" s="2" t="str">
        <f t="shared" si="27"/>
        <v>-</v>
      </c>
      <c r="AE173" s="2" t="str">
        <f t="shared" si="28"/>
        <v>-</v>
      </c>
      <c r="AF173" s="2" t="str">
        <f t="shared" si="29"/>
        <v>-</v>
      </c>
      <c r="AG173" s="2">
        <f t="shared" si="30"/>
        <v>2030</v>
      </c>
      <c r="AH173" s="2">
        <f t="shared" si="31"/>
        <v>3769</v>
      </c>
      <c r="AI173" s="2">
        <f t="shared" si="32"/>
        <v>4564</v>
      </c>
      <c r="AJ173" s="2">
        <f t="shared" si="33"/>
        <v>824</v>
      </c>
      <c r="AK173" s="2">
        <f t="shared" si="34"/>
        <v>567</v>
      </c>
      <c r="AL173" s="2" t="str">
        <f t="shared" si="35"/>
        <v>-</v>
      </c>
      <c r="AM173" s="2" t="str">
        <f t="shared" si="36"/>
        <v>-</v>
      </c>
      <c r="AN173" s="2" t="str">
        <f t="shared" si="37"/>
        <v>-</v>
      </c>
      <c r="AO173" s="2" t="str">
        <f t="shared" si="38"/>
        <v>-</v>
      </c>
      <c r="AP173" s="2">
        <f t="shared" si="39"/>
        <v>2320</v>
      </c>
      <c r="AQ173" s="2">
        <f t="shared" si="40"/>
        <v>3479</v>
      </c>
      <c r="AR173" s="2">
        <f t="shared" si="41"/>
        <v>4274</v>
      </c>
      <c r="AS173" s="2">
        <f t="shared" si="42"/>
        <v>772</v>
      </c>
      <c r="AT173" s="2">
        <f t="shared" si="43"/>
        <v>531</v>
      </c>
      <c r="AU173" s="2" t="str">
        <f t="shared" si="44"/>
        <v>-</v>
      </c>
      <c r="AV173" s="2" t="str">
        <f t="shared" si="45"/>
        <v>-</v>
      </c>
      <c r="AW173" s="2" t="str">
        <f t="shared" si="46"/>
        <v>-</v>
      </c>
      <c r="AX173" s="2" t="str">
        <f t="shared" si="47"/>
        <v>-</v>
      </c>
    </row>
    <row r="174" ht="14.25" customHeight="1">
      <c r="A174" s="2" t="str">
        <f t="array" ref="A174">IFERROR(INDEX('Product Price'!A:A,SMALL('Product Price'!$D:$D,172)),"")</f>
        <v>realme Bundle 16 Pro+ 5G 12/512 GB &amp; realme Watch S5</v>
      </c>
      <c r="B174" s="2">
        <f t="array" ref="B174">IFERROR(INDEX('Product Price'!B:B,SMALL('Product Price'!$D:$D,172)),"")</f>
        <v>27998</v>
      </c>
      <c r="C174" s="2">
        <f t="array" ref="C174">IFERROR(INDEX('Product Price'!C:C,SMALL('Product Price'!$D:$D,172)),"")</f>
        <v>170</v>
      </c>
      <c r="D174" s="2">
        <f t="shared" si="1"/>
        <v>1900</v>
      </c>
      <c r="E174" s="2">
        <f t="shared" si="2"/>
        <v>29898</v>
      </c>
      <c r="F174" s="2">
        <f t="shared" si="48"/>
        <v>4200</v>
      </c>
      <c r="G174" s="2">
        <f t="shared" si="4"/>
        <v>23798</v>
      </c>
      <c r="H174" s="2">
        <f t="shared" si="5"/>
        <v>25698</v>
      </c>
      <c r="I174" s="2">
        <f t="shared" si="6"/>
        <v>4603</v>
      </c>
      <c r="J174" s="2">
        <f t="shared" si="7"/>
        <v>3168</v>
      </c>
      <c r="K174" s="2">
        <f t="shared" si="8"/>
        <v>2450</v>
      </c>
      <c r="L174" s="2">
        <f t="shared" si="9"/>
        <v>2020</v>
      </c>
      <c r="M174" s="2">
        <f t="shared" si="10"/>
        <v>1733</v>
      </c>
      <c r="N174" s="2">
        <f t="shared" si="11"/>
        <v>1374</v>
      </c>
      <c r="O174" s="2">
        <f t="shared" si="12"/>
        <v>5600</v>
      </c>
      <c r="P174" s="2">
        <f t="shared" si="13"/>
        <v>22398</v>
      </c>
      <c r="Q174" s="2">
        <f t="shared" si="14"/>
        <v>24298</v>
      </c>
      <c r="R174" s="2">
        <f t="shared" si="15"/>
        <v>4353</v>
      </c>
      <c r="S174" s="2">
        <f t="shared" si="16"/>
        <v>2996</v>
      </c>
      <c r="T174" s="2">
        <f t="shared" si="17"/>
        <v>2317</v>
      </c>
      <c r="U174" s="2">
        <f t="shared" si="18"/>
        <v>1910</v>
      </c>
      <c r="V174" s="2">
        <f t="shared" si="19"/>
        <v>1639</v>
      </c>
      <c r="W174" s="2">
        <f t="shared" si="20"/>
        <v>1299</v>
      </c>
      <c r="X174" s="2">
        <f t="shared" si="21"/>
        <v>7000</v>
      </c>
      <c r="Y174" s="2">
        <f t="shared" si="22"/>
        <v>20998</v>
      </c>
      <c r="Z174" s="2">
        <f t="shared" si="23"/>
        <v>22898</v>
      </c>
      <c r="AA174" s="2">
        <f t="shared" si="24"/>
        <v>4104</v>
      </c>
      <c r="AB174" s="2">
        <f t="shared" si="25"/>
        <v>2824</v>
      </c>
      <c r="AC174" s="2">
        <f t="shared" si="26"/>
        <v>2185</v>
      </c>
      <c r="AD174" s="2">
        <f t="shared" si="27"/>
        <v>1801</v>
      </c>
      <c r="AE174" s="2">
        <f t="shared" si="28"/>
        <v>1545</v>
      </c>
      <c r="AF174" s="2">
        <f t="shared" si="29"/>
        <v>1225</v>
      </c>
      <c r="AG174" s="2">
        <f t="shared" si="30"/>
        <v>9800</v>
      </c>
      <c r="AH174" s="2">
        <f t="shared" si="31"/>
        <v>18198</v>
      </c>
      <c r="AI174" s="2">
        <f t="shared" si="32"/>
        <v>20098</v>
      </c>
      <c r="AJ174" s="2">
        <f t="shared" si="33"/>
        <v>3605</v>
      </c>
      <c r="AK174" s="2">
        <f t="shared" si="34"/>
        <v>2481</v>
      </c>
      <c r="AL174" s="2">
        <f t="shared" si="35"/>
        <v>1919</v>
      </c>
      <c r="AM174" s="2">
        <f t="shared" si="36"/>
        <v>1582</v>
      </c>
      <c r="AN174" s="2">
        <f t="shared" si="37"/>
        <v>1357</v>
      </c>
      <c r="AO174" s="2">
        <f t="shared" si="38"/>
        <v>1076</v>
      </c>
      <c r="AP174" s="2">
        <f t="shared" si="39"/>
        <v>11200</v>
      </c>
      <c r="AQ174" s="2">
        <f t="shared" si="40"/>
        <v>16798</v>
      </c>
      <c r="AR174" s="2">
        <f t="shared" si="41"/>
        <v>18698</v>
      </c>
      <c r="AS174" s="2">
        <f t="shared" si="42"/>
        <v>3356</v>
      </c>
      <c r="AT174" s="2">
        <f t="shared" si="43"/>
        <v>2309</v>
      </c>
      <c r="AU174" s="2">
        <f t="shared" si="44"/>
        <v>1786</v>
      </c>
      <c r="AV174" s="2">
        <f t="shared" si="45"/>
        <v>1472</v>
      </c>
      <c r="AW174" s="2">
        <f t="shared" si="46"/>
        <v>1263</v>
      </c>
      <c r="AX174" s="2">
        <f t="shared" si="47"/>
        <v>1002</v>
      </c>
    </row>
    <row r="175" ht="14.25" customHeight="1">
      <c r="A175" s="2" t="str">
        <f t="array" ref="A175">IFERROR(INDEX('Product Price'!A:A,SMALL('Product Price'!$D:$D,173)),"")</f>
        <v>realme Bundle 16 Pro 5G 12/512 GB &amp; realme Watch S5</v>
      </c>
      <c r="B175" s="2">
        <f t="array" ref="B175">IFERROR(INDEX('Product Price'!B:B,SMALL('Product Price'!$D:$D,173)),"")</f>
        <v>22998</v>
      </c>
      <c r="C175" s="2">
        <f t="array" ref="C175">IFERROR(INDEX('Product Price'!C:C,SMALL('Product Price'!$D:$D,173)),"")</f>
        <v>171</v>
      </c>
      <c r="D175" s="2">
        <f t="shared" si="1"/>
        <v>1900</v>
      </c>
      <c r="E175" s="2">
        <f t="shared" si="2"/>
        <v>24898</v>
      </c>
      <c r="F175" s="2">
        <f t="shared" si="48"/>
        <v>3450</v>
      </c>
      <c r="G175" s="2">
        <f t="shared" si="4"/>
        <v>19548</v>
      </c>
      <c r="H175" s="2">
        <f t="shared" si="5"/>
        <v>21448</v>
      </c>
      <c r="I175" s="2">
        <f t="shared" si="6"/>
        <v>3846</v>
      </c>
      <c r="J175" s="2">
        <f t="shared" si="7"/>
        <v>2647</v>
      </c>
      <c r="K175" s="2">
        <f t="shared" si="8"/>
        <v>2047</v>
      </c>
      <c r="L175" s="2">
        <f t="shared" si="9"/>
        <v>1687</v>
      </c>
      <c r="M175" s="2">
        <f t="shared" si="10"/>
        <v>1448</v>
      </c>
      <c r="N175" s="2">
        <f t="shared" si="11"/>
        <v>1148</v>
      </c>
      <c r="O175" s="2">
        <f t="shared" si="12"/>
        <v>4600</v>
      </c>
      <c r="P175" s="2">
        <f t="shared" si="13"/>
        <v>18398</v>
      </c>
      <c r="Q175" s="2">
        <f t="shared" si="14"/>
        <v>20298</v>
      </c>
      <c r="R175" s="2">
        <f t="shared" si="15"/>
        <v>3641</v>
      </c>
      <c r="S175" s="2">
        <f t="shared" si="16"/>
        <v>2506</v>
      </c>
      <c r="T175" s="2">
        <f t="shared" si="17"/>
        <v>1938</v>
      </c>
      <c r="U175" s="2">
        <f t="shared" si="18"/>
        <v>1598</v>
      </c>
      <c r="V175" s="2">
        <f t="shared" si="19"/>
        <v>1371</v>
      </c>
      <c r="W175" s="2">
        <f t="shared" si="20"/>
        <v>1087</v>
      </c>
      <c r="X175" s="2">
        <f t="shared" si="21"/>
        <v>5750</v>
      </c>
      <c r="Y175" s="2">
        <f t="shared" si="22"/>
        <v>17248</v>
      </c>
      <c r="Z175" s="2">
        <f t="shared" si="23"/>
        <v>19148</v>
      </c>
      <c r="AA175" s="2">
        <f t="shared" si="24"/>
        <v>3436</v>
      </c>
      <c r="AB175" s="2">
        <f t="shared" si="25"/>
        <v>2365</v>
      </c>
      <c r="AC175" s="2">
        <f t="shared" si="26"/>
        <v>1829</v>
      </c>
      <c r="AD175" s="2">
        <f t="shared" si="27"/>
        <v>1508</v>
      </c>
      <c r="AE175" s="2">
        <f t="shared" si="28"/>
        <v>1293</v>
      </c>
      <c r="AF175" s="2">
        <f t="shared" si="29"/>
        <v>1026</v>
      </c>
      <c r="AG175" s="2">
        <f t="shared" si="30"/>
        <v>8050</v>
      </c>
      <c r="AH175" s="2">
        <f t="shared" si="31"/>
        <v>14948</v>
      </c>
      <c r="AI175" s="2">
        <f t="shared" si="32"/>
        <v>16848</v>
      </c>
      <c r="AJ175" s="2">
        <f t="shared" si="33"/>
        <v>3026</v>
      </c>
      <c r="AK175" s="2">
        <f t="shared" si="34"/>
        <v>2083</v>
      </c>
      <c r="AL175" s="2">
        <f t="shared" si="35"/>
        <v>1611</v>
      </c>
      <c r="AM175" s="2">
        <f t="shared" si="36"/>
        <v>1328</v>
      </c>
      <c r="AN175" s="2">
        <f t="shared" si="37"/>
        <v>1139</v>
      </c>
      <c r="AO175" s="2">
        <f t="shared" si="38"/>
        <v>903</v>
      </c>
      <c r="AP175" s="2">
        <f t="shared" si="39"/>
        <v>9200</v>
      </c>
      <c r="AQ175" s="2">
        <f t="shared" si="40"/>
        <v>13798</v>
      </c>
      <c r="AR175" s="2">
        <f t="shared" si="41"/>
        <v>15698</v>
      </c>
      <c r="AS175" s="2">
        <f t="shared" si="42"/>
        <v>2821</v>
      </c>
      <c r="AT175" s="2">
        <f t="shared" si="43"/>
        <v>1942</v>
      </c>
      <c r="AU175" s="2">
        <f t="shared" si="44"/>
        <v>1502</v>
      </c>
      <c r="AV175" s="2">
        <f t="shared" si="45"/>
        <v>1238</v>
      </c>
      <c r="AW175" s="2">
        <f t="shared" si="46"/>
        <v>1062</v>
      </c>
      <c r="AX175" s="2">
        <f t="shared" si="47"/>
        <v>842</v>
      </c>
    </row>
    <row r="176" ht="14.25" customHeight="1">
      <c r="A176" s="2" t="str">
        <f t="array" ref="A176">IFERROR(INDEX('Product Price'!A:A,SMALL('Product Price'!$D:$D,174)),"")</f>
        <v>realme Bundle 16 5G 8/256 GB &amp; realme Watch S5</v>
      </c>
      <c r="B176" s="2">
        <f t="array" ref="B176">IFERROR(INDEX('Product Price'!B:B,SMALL('Product Price'!$D:$D,174)),"")</f>
        <v>17998</v>
      </c>
      <c r="C176" s="2">
        <f t="array" ref="C176">IFERROR(INDEX('Product Price'!C:C,SMALL('Product Price'!$D:$D,174)),"")</f>
        <v>172</v>
      </c>
      <c r="D176" s="2">
        <f t="shared" si="1"/>
        <v>1450</v>
      </c>
      <c r="E176" s="2">
        <f t="shared" si="2"/>
        <v>19448</v>
      </c>
      <c r="F176" s="2">
        <f t="shared" si="48"/>
        <v>2700</v>
      </c>
      <c r="G176" s="2">
        <f t="shared" si="4"/>
        <v>15298</v>
      </c>
      <c r="H176" s="2">
        <f t="shared" si="5"/>
        <v>16748</v>
      </c>
      <c r="I176" s="2">
        <f t="shared" si="6"/>
        <v>3003</v>
      </c>
      <c r="J176" s="2">
        <f t="shared" si="7"/>
        <v>2066</v>
      </c>
      <c r="K176" s="2">
        <f t="shared" si="8"/>
        <v>1598</v>
      </c>
      <c r="L176" s="2">
        <f t="shared" si="9"/>
        <v>1318</v>
      </c>
      <c r="M176" s="2">
        <f t="shared" si="10"/>
        <v>1130</v>
      </c>
      <c r="N176" s="2">
        <f t="shared" si="11"/>
        <v>896</v>
      </c>
      <c r="O176" s="2">
        <f t="shared" si="12"/>
        <v>3600</v>
      </c>
      <c r="P176" s="2">
        <f t="shared" si="13"/>
        <v>14398</v>
      </c>
      <c r="Q176" s="2">
        <f t="shared" si="14"/>
        <v>15848</v>
      </c>
      <c r="R176" s="2">
        <f t="shared" si="15"/>
        <v>2842</v>
      </c>
      <c r="S176" s="2">
        <f t="shared" si="16"/>
        <v>1956</v>
      </c>
      <c r="T176" s="2">
        <f t="shared" si="17"/>
        <v>1513</v>
      </c>
      <c r="U176" s="2">
        <f t="shared" si="18"/>
        <v>1247</v>
      </c>
      <c r="V176" s="2">
        <f t="shared" si="19"/>
        <v>1070</v>
      </c>
      <c r="W176" s="2">
        <f t="shared" si="20"/>
        <v>848</v>
      </c>
      <c r="X176" s="2">
        <f t="shared" si="21"/>
        <v>4500</v>
      </c>
      <c r="Y176" s="2">
        <f t="shared" si="22"/>
        <v>13498</v>
      </c>
      <c r="Z176" s="2">
        <f t="shared" si="23"/>
        <v>14948</v>
      </c>
      <c r="AA176" s="2">
        <f t="shared" si="24"/>
        <v>2682</v>
      </c>
      <c r="AB176" s="2">
        <f t="shared" si="25"/>
        <v>1846</v>
      </c>
      <c r="AC176" s="2">
        <f t="shared" si="26"/>
        <v>1428</v>
      </c>
      <c r="AD176" s="2">
        <f t="shared" si="27"/>
        <v>1177</v>
      </c>
      <c r="AE176" s="2">
        <f t="shared" si="28"/>
        <v>1010</v>
      </c>
      <c r="AF176" s="2">
        <f t="shared" si="29"/>
        <v>801</v>
      </c>
      <c r="AG176" s="2">
        <f t="shared" si="30"/>
        <v>6300</v>
      </c>
      <c r="AH176" s="2">
        <f t="shared" si="31"/>
        <v>11698</v>
      </c>
      <c r="AI176" s="2">
        <f t="shared" si="32"/>
        <v>13148</v>
      </c>
      <c r="AJ176" s="2">
        <f t="shared" si="33"/>
        <v>2361</v>
      </c>
      <c r="AK176" s="2">
        <f t="shared" si="34"/>
        <v>1625</v>
      </c>
      <c r="AL176" s="2">
        <f t="shared" si="35"/>
        <v>1257</v>
      </c>
      <c r="AM176" s="2">
        <f t="shared" si="36"/>
        <v>1036</v>
      </c>
      <c r="AN176" s="2">
        <f t="shared" si="37"/>
        <v>889</v>
      </c>
      <c r="AO176" s="2">
        <f t="shared" si="38"/>
        <v>705</v>
      </c>
      <c r="AP176" s="2">
        <f t="shared" si="39"/>
        <v>7200</v>
      </c>
      <c r="AQ176" s="2">
        <f t="shared" si="40"/>
        <v>10798</v>
      </c>
      <c r="AR176" s="2">
        <f t="shared" si="41"/>
        <v>12248</v>
      </c>
      <c r="AS176" s="2">
        <f t="shared" si="42"/>
        <v>2201</v>
      </c>
      <c r="AT176" s="2">
        <f t="shared" si="43"/>
        <v>1515</v>
      </c>
      <c r="AU176" s="2">
        <f t="shared" si="44"/>
        <v>1172</v>
      </c>
      <c r="AV176" s="2">
        <f t="shared" si="45"/>
        <v>966</v>
      </c>
      <c r="AW176" s="2">
        <f t="shared" si="46"/>
        <v>829</v>
      </c>
      <c r="AX176" s="2">
        <f t="shared" si="47"/>
        <v>657</v>
      </c>
    </row>
    <row r="177" ht="14.25" customHeight="1">
      <c r="A177" s="2" t="str">
        <f t="array" ref="A177">IFERROR(INDEX('Product Price'!A:A,SMALL('Product Price'!$D:$D,175)),"")</f>
        <v>realme Bundle C100 5G 6/128 GB &amp; realme Watch S5</v>
      </c>
      <c r="B177" s="2">
        <f t="array" ref="B177">IFERROR(INDEX('Product Price'!B:B,SMALL('Product Price'!$D:$D,175)),"")</f>
        <v>12498</v>
      </c>
      <c r="C177" s="2">
        <f t="array" ref="C177">IFERROR(INDEX('Product Price'!C:C,SMALL('Product Price'!$D:$D,175)),"")</f>
        <v>183</v>
      </c>
      <c r="D177" s="2">
        <f t="shared" si="1"/>
        <v>1450</v>
      </c>
      <c r="E177" s="2">
        <f t="shared" si="2"/>
        <v>13948</v>
      </c>
      <c r="F177" s="2">
        <f t="shared" si="48"/>
        <v>1875</v>
      </c>
      <c r="G177" s="2">
        <f t="shared" si="4"/>
        <v>10623</v>
      </c>
      <c r="H177" s="2">
        <f t="shared" si="5"/>
        <v>12073</v>
      </c>
      <c r="I177" s="2">
        <f t="shared" si="6"/>
        <v>2170</v>
      </c>
      <c r="J177" s="2">
        <f t="shared" si="7"/>
        <v>1493</v>
      </c>
      <c r="K177" s="2">
        <f t="shared" si="8"/>
        <v>1155</v>
      </c>
      <c r="L177" s="2">
        <f t="shared" si="9"/>
        <v>952</v>
      </c>
      <c r="M177" s="2">
        <f t="shared" si="10"/>
        <v>817</v>
      </c>
      <c r="N177" s="2">
        <f t="shared" si="11"/>
        <v>648</v>
      </c>
      <c r="O177" s="2">
        <f t="shared" si="12"/>
        <v>2500</v>
      </c>
      <c r="P177" s="2">
        <f t="shared" si="13"/>
        <v>9998</v>
      </c>
      <c r="Q177" s="2">
        <f t="shared" si="14"/>
        <v>11448</v>
      </c>
      <c r="R177" s="2">
        <f t="shared" si="15"/>
        <v>2058</v>
      </c>
      <c r="S177" s="2">
        <f t="shared" si="16"/>
        <v>1417</v>
      </c>
      <c r="T177" s="2">
        <f t="shared" si="17"/>
        <v>1096</v>
      </c>
      <c r="U177" s="2">
        <f t="shared" si="18"/>
        <v>903</v>
      </c>
      <c r="V177" s="2">
        <f t="shared" si="19"/>
        <v>775</v>
      </c>
      <c r="W177" s="2">
        <f t="shared" si="20"/>
        <v>615</v>
      </c>
      <c r="X177" s="2">
        <f t="shared" si="21"/>
        <v>3125</v>
      </c>
      <c r="Y177" s="2">
        <f t="shared" si="22"/>
        <v>9373</v>
      </c>
      <c r="Z177" s="2">
        <f t="shared" si="23"/>
        <v>10823</v>
      </c>
      <c r="AA177" s="2">
        <f t="shared" si="24"/>
        <v>1947</v>
      </c>
      <c r="AB177" s="2">
        <f t="shared" si="25"/>
        <v>1340</v>
      </c>
      <c r="AC177" s="2">
        <f t="shared" si="26"/>
        <v>1037</v>
      </c>
      <c r="AD177" s="2">
        <f t="shared" si="27"/>
        <v>854</v>
      </c>
      <c r="AE177" s="2">
        <f t="shared" si="28"/>
        <v>733</v>
      </c>
      <c r="AF177" s="2">
        <f t="shared" si="29"/>
        <v>581</v>
      </c>
      <c r="AG177" s="2">
        <f t="shared" si="30"/>
        <v>4375</v>
      </c>
      <c r="AH177" s="2">
        <f t="shared" si="31"/>
        <v>8123</v>
      </c>
      <c r="AI177" s="2">
        <f t="shared" si="32"/>
        <v>9573</v>
      </c>
      <c r="AJ177" s="2">
        <f t="shared" si="33"/>
        <v>1724</v>
      </c>
      <c r="AK177" s="2">
        <f t="shared" si="34"/>
        <v>1187</v>
      </c>
      <c r="AL177" s="2">
        <f t="shared" si="35"/>
        <v>918</v>
      </c>
      <c r="AM177" s="2">
        <f t="shared" si="36"/>
        <v>757</v>
      </c>
      <c r="AN177" s="2">
        <f t="shared" si="37"/>
        <v>649</v>
      </c>
      <c r="AO177" s="2">
        <f t="shared" si="38"/>
        <v>515</v>
      </c>
      <c r="AP177" s="2">
        <f t="shared" si="39"/>
        <v>5000</v>
      </c>
      <c r="AQ177" s="2">
        <f t="shared" si="40"/>
        <v>7498</v>
      </c>
      <c r="AR177" s="2">
        <f t="shared" si="41"/>
        <v>8948</v>
      </c>
      <c r="AS177" s="2">
        <f t="shared" si="42"/>
        <v>1613</v>
      </c>
      <c r="AT177" s="2">
        <f t="shared" si="43"/>
        <v>1110</v>
      </c>
      <c r="AU177" s="2">
        <f t="shared" si="44"/>
        <v>859</v>
      </c>
      <c r="AV177" s="2">
        <f t="shared" si="45"/>
        <v>708</v>
      </c>
      <c r="AW177" s="2">
        <f t="shared" si="46"/>
        <v>607</v>
      </c>
      <c r="AX177" s="2" t="str">
        <f t="shared" si="47"/>
        <v>-</v>
      </c>
    </row>
    <row r="178" ht="14.25" customHeight="1">
      <c r="A178" s="2" t="str">
        <f t="array" ref="A178">IFERROR(INDEX('Product Price'!A:A,SMALL('Product Price'!$D:$D,176)),"")</f>
        <v>realme Bundle C100 5G 4/128 GB &amp; realme Watch S5</v>
      </c>
      <c r="B178" s="2">
        <f t="array" ref="B178">IFERROR(INDEX('Product Price'!B:B,SMALL('Product Price'!$D:$D,176)),"")</f>
        <v>11998</v>
      </c>
      <c r="C178" s="2">
        <f t="array" ref="C178">IFERROR(INDEX('Product Price'!C:C,SMALL('Product Price'!$D:$D,176)),"")</f>
        <v>184</v>
      </c>
      <c r="D178" s="2">
        <f t="shared" si="1"/>
        <v>1450</v>
      </c>
      <c r="E178" s="2">
        <f t="shared" si="2"/>
        <v>13448</v>
      </c>
      <c r="F178" s="2">
        <f t="shared" si="48"/>
        <v>1800</v>
      </c>
      <c r="G178" s="2">
        <f t="shared" si="4"/>
        <v>10198</v>
      </c>
      <c r="H178" s="2">
        <f t="shared" si="5"/>
        <v>11648</v>
      </c>
      <c r="I178" s="2">
        <f t="shared" si="6"/>
        <v>2094</v>
      </c>
      <c r="J178" s="2">
        <f t="shared" si="7"/>
        <v>1441</v>
      </c>
      <c r="K178" s="2">
        <f t="shared" si="8"/>
        <v>1115</v>
      </c>
      <c r="L178" s="2">
        <f t="shared" si="9"/>
        <v>919</v>
      </c>
      <c r="M178" s="2">
        <f t="shared" si="10"/>
        <v>788</v>
      </c>
      <c r="N178" s="2">
        <f t="shared" si="11"/>
        <v>625</v>
      </c>
      <c r="O178" s="2">
        <f t="shared" si="12"/>
        <v>2400</v>
      </c>
      <c r="P178" s="2">
        <f t="shared" si="13"/>
        <v>9598</v>
      </c>
      <c r="Q178" s="2">
        <f t="shared" si="14"/>
        <v>11048</v>
      </c>
      <c r="R178" s="2">
        <f t="shared" si="15"/>
        <v>1987</v>
      </c>
      <c r="S178" s="2">
        <f t="shared" si="16"/>
        <v>1368</v>
      </c>
      <c r="T178" s="2">
        <f t="shared" si="17"/>
        <v>1058</v>
      </c>
      <c r="U178" s="2">
        <f t="shared" si="18"/>
        <v>872</v>
      </c>
      <c r="V178" s="2">
        <f t="shared" si="19"/>
        <v>748</v>
      </c>
      <c r="W178" s="2">
        <f t="shared" si="20"/>
        <v>593</v>
      </c>
      <c r="X178" s="2">
        <f t="shared" si="21"/>
        <v>3000</v>
      </c>
      <c r="Y178" s="2">
        <f t="shared" si="22"/>
        <v>8998</v>
      </c>
      <c r="Z178" s="2">
        <f t="shared" si="23"/>
        <v>10448</v>
      </c>
      <c r="AA178" s="2">
        <f t="shared" si="24"/>
        <v>1880</v>
      </c>
      <c r="AB178" s="2">
        <f t="shared" si="25"/>
        <v>1294</v>
      </c>
      <c r="AC178" s="2">
        <f t="shared" si="26"/>
        <v>1001</v>
      </c>
      <c r="AD178" s="2">
        <f t="shared" si="27"/>
        <v>825</v>
      </c>
      <c r="AE178" s="2">
        <f t="shared" si="28"/>
        <v>708</v>
      </c>
      <c r="AF178" s="2">
        <f t="shared" si="29"/>
        <v>561</v>
      </c>
      <c r="AG178" s="2">
        <f t="shared" si="30"/>
        <v>4200</v>
      </c>
      <c r="AH178" s="2">
        <f t="shared" si="31"/>
        <v>7798</v>
      </c>
      <c r="AI178" s="2">
        <f t="shared" si="32"/>
        <v>9248</v>
      </c>
      <c r="AJ178" s="2">
        <f t="shared" si="33"/>
        <v>1666</v>
      </c>
      <c r="AK178" s="2">
        <f t="shared" si="34"/>
        <v>1147</v>
      </c>
      <c r="AL178" s="2">
        <f t="shared" si="35"/>
        <v>887</v>
      </c>
      <c r="AM178" s="2">
        <f t="shared" si="36"/>
        <v>731</v>
      </c>
      <c r="AN178" s="2">
        <f t="shared" si="37"/>
        <v>627</v>
      </c>
      <c r="AO178" s="2">
        <f t="shared" si="38"/>
        <v>498</v>
      </c>
      <c r="AP178" s="2">
        <f t="shared" si="39"/>
        <v>4800</v>
      </c>
      <c r="AQ178" s="2">
        <f t="shared" si="40"/>
        <v>7198</v>
      </c>
      <c r="AR178" s="2">
        <f t="shared" si="41"/>
        <v>8648</v>
      </c>
      <c r="AS178" s="2">
        <f t="shared" si="42"/>
        <v>1559</v>
      </c>
      <c r="AT178" s="2">
        <f t="shared" si="43"/>
        <v>1073</v>
      </c>
      <c r="AU178" s="2">
        <f t="shared" si="44"/>
        <v>830</v>
      </c>
      <c r="AV178" s="2">
        <f t="shared" si="45"/>
        <v>684</v>
      </c>
      <c r="AW178" s="2">
        <f t="shared" si="46"/>
        <v>587</v>
      </c>
      <c r="AX178" s="2" t="str">
        <f t="shared" si="47"/>
        <v>-</v>
      </c>
    </row>
    <row r="179" ht="14.25" customHeight="1">
      <c r="A179" s="2" t="str">
        <f t="array" ref="A179">IFERROR(INDEX('Product Price'!A:A,SMALL('Product Price'!$D:$D,177)),"")</f>
        <v>OPPO Find N6 16/512 GB</v>
      </c>
      <c r="B179" s="2">
        <f t="array" ref="B179">IFERROR(INDEX('Product Price'!B:B,SMALL('Product Price'!$D:$D,177)),"")</f>
        <v>79999</v>
      </c>
      <c r="C179" s="2">
        <f t="array" ref="C179">IFERROR(INDEX('Product Price'!C:C,SMALL('Product Price'!$D:$D,177)),"")</f>
        <v>185</v>
      </c>
      <c r="D179" s="2">
        <f t="shared" si="1"/>
        <v>4025</v>
      </c>
      <c r="E179" s="2">
        <f t="shared" si="2"/>
        <v>84024</v>
      </c>
      <c r="F179" s="2">
        <f t="shared" si="48"/>
        <v>12000</v>
      </c>
      <c r="G179" s="2">
        <f t="shared" si="4"/>
        <v>67999</v>
      </c>
      <c r="H179" s="2">
        <f t="shared" si="5"/>
        <v>72024</v>
      </c>
      <c r="I179" s="2">
        <f t="shared" si="6"/>
        <v>12883</v>
      </c>
      <c r="J179" s="2">
        <f t="shared" si="7"/>
        <v>8866</v>
      </c>
      <c r="K179" s="2">
        <f t="shared" si="8"/>
        <v>6857</v>
      </c>
      <c r="L179" s="2">
        <f t="shared" si="9"/>
        <v>5652</v>
      </c>
      <c r="M179" s="2">
        <f t="shared" si="10"/>
        <v>4849</v>
      </c>
      <c r="N179" s="2">
        <f t="shared" si="11"/>
        <v>3845</v>
      </c>
      <c r="O179" s="2">
        <f t="shared" si="12"/>
        <v>16000</v>
      </c>
      <c r="P179" s="2">
        <f t="shared" si="13"/>
        <v>63999</v>
      </c>
      <c r="Q179" s="2">
        <f t="shared" si="14"/>
        <v>68024</v>
      </c>
      <c r="R179" s="2">
        <f t="shared" si="15"/>
        <v>12170</v>
      </c>
      <c r="S179" s="2">
        <f t="shared" si="16"/>
        <v>8376</v>
      </c>
      <c r="T179" s="2">
        <f t="shared" si="17"/>
        <v>6478</v>
      </c>
      <c r="U179" s="2">
        <f t="shared" si="18"/>
        <v>5340</v>
      </c>
      <c r="V179" s="2">
        <f t="shared" si="19"/>
        <v>4581</v>
      </c>
      <c r="W179" s="2">
        <f t="shared" si="20"/>
        <v>3632</v>
      </c>
      <c r="X179" s="2">
        <f t="shared" si="21"/>
        <v>20000</v>
      </c>
      <c r="Y179" s="2">
        <f t="shared" si="22"/>
        <v>59999</v>
      </c>
      <c r="Z179" s="2">
        <f t="shared" si="23"/>
        <v>64024</v>
      </c>
      <c r="AA179" s="2">
        <f t="shared" si="24"/>
        <v>11458</v>
      </c>
      <c r="AB179" s="2">
        <f t="shared" si="25"/>
        <v>7885</v>
      </c>
      <c r="AC179" s="2">
        <f t="shared" si="26"/>
        <v>6099</v>
      </c>
      <c r="AD179" s="2">
        <f t="shared" si="27"/>
        <v>5027</v>
      </c>
      <c r="AE179" s="2">
        <f t="shared" si="28"/>
        <v>4313</v>
      </c>
      <c r="AF179" s="2">
        <f t="shared" si="29"/>
        <v>3419</v>
      </c>
      <c r="AG179" s="2">
        <f t="shared" si="30"/>
        <v>28000</v>
      </c>
      <c r="AH179" s="2">
        <f t="shared" si="31"/>
        <v>51999</v>
      </c>
      <c r="AI179" s="2">
        <f t="shared" si="32"/>
        <v>56024</v>
      </c>
      <c r="AJ179" s="2">
        <f t="shared" si="33"/>
        <v>10032</v>
      </c>
      <c r="AK179" s="2">
        <f t="shared" si="34"/>
        <v>6904</v>
      </c>
      <c r="AL179" s="2">
        <f t="shared" si="35"/>
        <v>5340</v>
      </c>
      <c r="AM179" s="2">
        <f t="shared" si="36"/>
        <v>4402</v>
      </c>
      <c r="AN179" s="2">
        <f t="shared" si="37"/>
        <v>3776</v>
      </c>
      <c r="AO179" s="2">
        <f t="shared" si="38"/>
        <v>2994</v>
      </c>
      <c r="AP179" s="2">
        <f t="shared" si="39"/>
        <v>32000</v>
      </c>
      <c r="AQ179" s="2">
        <f t="shared" si="40"/>
        <v>47999</v>
      </c>
      <c r="AR179" s="2">
        <f t="shared" si="41"/>
        <v>52024</v>
      </c>
      <c r="AS179" s="2">
        <f t="shared" si="42"/>
        <v>9320</v>
      </c>
      <c r="AT179" s="2">
        <f t="shared" si="43"/>
        <v>6414</v>
      </c>
      <c r="AU179" s="2">
        <f t="shared" si="44"/>
        <v>4961</v>
      </c>
      <c r="AV179" s="2">
        <f t="shared" si="45"/>
        <v>4089</v>
      </c>
      <c r="AW179" s="2">
        <f t="shared" si="46"/>
        <v>3508</v>
      </c>
      <c r="AX179" s="2">
        <f t="shared" si="47"/>
        <v>2781</v>
      </c>
    </row>
    <row r="180" ht="14.25" customHeight="1">
      <c r="A180" s="2" t="str">
        <f t="array" ref="A180">IFERROR(INDEX('Product Price'!A:A,SMALL('Product Price'!$D:$D,178)),"")</f>
        <v>OPPO Find X9 Ultra 16/1TB</v>
      </c>
      <c r="B180" s="2">
        <f t="array" ref="B180">IFERROR(INDEX('Product Price'!B:B,SMALL('Product Price'!$D:$D,178)),"")</f>
        <v>69999</v>
      </c>
      <c r="C180" s="2">
        <f t="array" ref="C180">IFERROR(INDEX('Product Price'!C:C,SMALL('Product Price'!$D:$D,178)),"")</f>
        <v>186</v>
      </c>
      <c r="D180" s="2">
        <f t="shared" si="1"/>
        <v>4025</v>
      </c>
      <c r="E180" s="2">
        <f t="shared" si="2"/>
        <v>74024</v>
      </c>
      <c r="F180" s="2">
        <f t="shared" si="48"/>
        <v>10500</v>
      </c>
      <c r="G180" s="2">
        <f t="shared" si="4"/>
        <v>59499</v>
      </c>
      <c r="H180" s="2">
        <f t="shared" si="5"/>
        <v>63524</v>
      </c>
      <c r="I180" s="2">
        <f t="shared" si="6"/>
        <v>11369</v>
      </c>
      <c r="J180" s="2">
        <f t="shared" si="7"/>
        <v>7824</v>
      </c>
      <c r="K180" s="2">
        <f t="shared" si="8"/>
        <v>6051</v>
      </c>
      <c r="L180" s="2">
        <f t="shared" si="9"/>
        <v>4988</v>
      </c>
      <c r="M180" s="2">
        <f t="shared" si="10"/>
        <v>4279</v>
      </c>
      <c r="N180" s="2">
        <f t="shared" si="11"/>
        <v>3393</v>
      </c>
      <c r="O180" s="2">
        <f t="shared" si="12"/>
        <v>14000</v>
      </c>
      <c r="P180" s="2">
        <f t="shared" si="13"/>
        <v>55999</v>
      </c>
      <c r="Q180" s="2">
        <f t="shared" si="14"/>
        <v>60024</v>
      </c>
      <c r="R180" s="2">
        <f t="shared" si="15"/>
        <v>10745</v>
      </c>
      <c r="S180" s="2">
        <f t="shared" si="16"/>
        <v>7395</v>
      </c>
      <c r="T180" s="2">
        <f t="shared" si="17"/>
        <v>5719</v>
      </c>
      <c r="U180" s="2">
        <f t="shared" si="18"/>
        <v>4714</v>
      </c>
      <c r="V180" s="2">
        <f t="shared" si="19"/>
        <v>4044</v>
      </c>
      <c r="W180" s="2">
        <f t="shared" si="20"/>
        <v>3207</v>
      </c>
      <c r="X180" s="2">
        <f t="shared" si="21"/>
        <v>17500</v>
      </c>
      <c r="Y180" s="2">
        <f t="shared" si="22"/>
        <v>52499</v>
      </c>
      <c r="Z180" s="2">
        <f t="shared" si="23"/>
        <v>56524</v>
      </c>
      <c r="AA180" s="2">
        <f t="shared" si="24"/>
        <v>10121</v>
      </c>
      <c r="AB180" s="2">
        <f t="shared" si="25"/>
        <v>6966</v>
      </c>
      <c r="AC180" s="2">
        <f t="shared" si="26"/>
        <v>5388</v>
      </c>
      <c r="AD180" s="2">
        <f t="shared" si="27"/>
        <v>4441</v>
      </c>
      <c r="AE180" s="2">
        <f t="shared" si="28"/>
        <v>3810</v>
      </c>
      <c r="AF180" s="2">
        <f t="shared" si="29"/>
        <v>3021</v>
      </c>
      <c r="AG180" s="2">
        <f t="shared" si="30"/>
        <v>24500</v>
      </c>
      <c r="AH180" s="2">
        <f t="shared" si="31"/>
        <v>45499</v>
      </c>
      <c r="AI180" s="2">
        <f t="shared" si="32"/>
        <v>49524</v>
      </c>
      <c r="AJ180" s="2">
        <f t="shared" si="33"/>
        <v>8874</v>
      </c>
      <c r="AK180" s="2">
        <f t="shared" si="34"/>
        <v>6107</v>
      </c>
      <c r="AL180" s="2">
        <f t="shared" si="35"/>
        <v>4724</v>
      </c>
      <c r="AM180" s="2">
        <f t="shared" si="36"/>
        <v>3894</v>
      </c>
      <c r="AN180" s="2">
        <f t="shared" si="37"/>
        <v>3340</v>
      </c>
      <c r="AO180" s="2">
        <f t="shared" si="38"/>
        <v>2649</v>
      </c>
      <c r="AP180" s="2">
        <f t="shared" si="39"/>
        <v>28000</v>
      </c>
      <c r="AQ180" s="2">
        <f t="shared" si="40"/>
        <v>41999</v>
      </c>
      <c r="AR180" s="2">
        <f t="shared" si="41"/>
        <v>46024</v>
      </c>
      <c r="AS180" s="2">
        <f t="shared" si="42"/>
        <v>8251</v>
      </c>
      <c r="AT180" s="2">
        <f t="shared" si="43"/>
        <v>5678</v>
      </c>
      <c r="AU180" s="2">
        <f t="shared" si="44"/>
        <v>4392</v>
      </c>
      <c r="AV180" s="2">
        <f t="shared" si="45"/>
        <v>3620</v>
      </c>
      <c r="AW180" s="2">
        <f t="shared" si="46"/>
        <v>3106</v>
      </c>
      <c r="AX180" s="2">
        <f t="shared" si="47"/>
        <v>2462</v>
      </c>
    </row>
    <row r="181" ht="14.25" customHeight="1">
      <c r="A181" s="2" t="str">
        <f t="array" ref="A181">IFERROR(INDEX('Product Price'!A:A,SMALL('Product Price'!$D:$D,179)),"")</f>
        <v>OPPO Find X9 Ultra 12/512 GB</v>
      </c>
      <c r="B181" s="2">
        <f t="array" ref="B181">IFERROR(INDEX('Product Price'!B:B,SMALL('Product Price'!$D:$D,179)),"")</f>
        <v>54999</v>
      </c>
      <c r="C181" s="2">
        <f t="array" ref="C181">IFERROR(INDEX('Product Price'!C:C,SMALL('Product Price'!$D:$D,179)),"")</f>
        <v>187</v>
      </c>
      <c r="D181" s="2">
        <f t="shared" si="1"/>
        <v>2475</v>
      </c>
      <c r="E181" s="2">
        <f t="shared" si="2"/>
        <v>57474</v>
      </c>
      <c r="F181" s="2">
        <f t="shared" si="48"/>
        <v>8250</v>
      </c>
      <c r="G181" s="2">
        <f t="shared" si="4"/>
        <v>46749</v>
      </c>
      <c r="H181" s="2">
        <f t="shared" si="5"/>
        <v>49224</v>
      </c>
      <c r="I181" s="2">
        <f t="shared" si="6"/>
        <v>8801</v>
      </c>
      <c r="J181" s="2">
        <f t="shared" si="7"/>
        <v>6057</v>
      </c>
      <c r="K181" s="2">
        <f t="shared" si="8"/>
        <v>4685</v>
      </c>
      <c r="L181" s="2">
        <f t="shared" si="9"/>
        <v>3862</v>
      </c>
      <c r="M181" s="2">
        <f t="shared" si="10"/>
        <v>3313</v>
      </c>
      <c r="N181" s="2">
        <f t="shared" si="11"/>
        <v>2627</v>
      </c>
      <c r="O181" s="2">
        <f t="shared" si="12"/>
        <v>11000</v>
      </c>
      <c r="P181" s="2">
        <f t="shared" si="13"/>
        <v>43999</v>
      </c>
      <c r="Q181" s="2">
        <f t="shared" si="14"/>
        <v>46474</v>
      </c>
      <c r="R181" s="2">
        <f t="shared" si="15"/>
        <v>8311</v>
      </c>
      <c r="S181" s="2">
        <f t="shared" si="16"/>
        <v>5720</v>
      </c>
      <c r="T181" s="2">
        <f t="shared" si="17"/>
        <v>4424</v>
      </c>
      <c r="U181" s="2">
        <f t="shared" si="18"/>
        <v>3647</v>
      </c>
      <c r="V181" s="2">
        <f t="shared" si="19"/>
        <v>3128</v>
      </c>
      <c r="W181" s="2">
        <f t="shared" si="20"/>
        <v>2481</v>
      </c>
      <c r="X181" s="2">
        <f t="shared" si="21"/>
        <v>13750</v>
      </c>
      <c r="Y181" s="2">
        <f t="shared" si="22"/>
        <v>41249</v>
      </c>
      <c r="Z181" s="2">
        <f t="shared" si="23"/>
        <v>43724</v>
      </c>
      <c r="AA181" s="2">
        <f t="shared" si="24"/>
        <v>7822</v>
      </c>
      <c r="AB181" s="2">
        <f t="shared" si="25"/>
        <v>5383</v>
      </c>
      <c r="AC181" s="2">
        <f t="shared" si="26"/>
        <v>4163</v>
      </c>
      <c r="AD181" s="2">
        <f t="shared" si="27"/>
        <v>3432</v>
      </c>
      <c r="AE181" s="2">
        <f t="shared" si="28"/>
        <v>2944</v>
      </c>
      <c r="AF181" s="2">
        <f t="shared" si="29"/>
        <v>2334</v>
      </c>
      <c r="AG181" s="2">
        <f t="shared" si="30"/>
        <v>19250</v>
      </c>
      <c r="AH181" s="2">
        <f t="shared" si="31"/>
        <v>35749</v>
      </c>
      <c r="AI181" s="2">
        <f t="shared" si="32"/>
        <v>38224</v>
      </c>
      <c r="AJ181" s="2">
        <f t="shared" si="33"/>
        <v>6842</v>
      </c>
      <c r="AK181" s="2">
        <f t="shared" si="34"/>
        <v>4708</v>
      </c>
      <c r="AL181" s="2">
        <f t="shared" si="35"/>
        <v>3642</v>
      </c>
      <c r="AM181" s="2">
        <f t="shared" si="36"/>
        <v>3002</v>
      </c>
      <c r="AN181" s="2">
        <f t="shared" si="37"/>
        <v>2575</v>
      </c>
      <c r="AO181" s="2">
        <f t="shared" si="38"/>
        <v>2042</v>
      </c>
      <c r="AP181" s="2">
        <f t="shared" si="39"/>
        <v>22000</v>
      </c>
      <c r="AQ181" s="2">
        <f t="shared" si="40"/>
        <v>32999</v>
      </c>
      <c r="AR181" s="2">
        <f t="shared" si="41"/>
        <v>35474</v>
      </c>
      <c r="AS181" s="2">
        <f t="shared" si="42"/>
        <v>6352</v>
      </c>
      <c r="AT181" s="2">
        <f t="shared" si="43"/>
        <v>4371</v>
      </c>
      <c r="AU181" s="2">
        <f t="shared" si="44"/>
        <v>3381</v>
      </c>
      <c r="AV181" s="2">
        <f t="shared" si="45"/>
        <v>2787</v>
      </c>
      <c r="AW181" s="2">
        <f t="shared" si="46"/>
        <v>2391</v>
      </c>
      <c r="AX181" s="2">
        <f t="shared" si="47"/>
        <v>1896</v>
      </c>
    </row>
    <row r="182" ht="14.25" customHeight="1">
      <c r="A182" s="2" t="str">
        <f t="array" ref="A182">IFERROR(INDEX('Product Price'!A:A,SMALL('Product Price'!$D:$D,180)),"")</f>
        <v>OPPO Find X9s 12/512 GB</v>
      </c>
      <c r="B182" s="2">
        <f t="array" ref="B182">IFERROR(INDEX('Product Price'!B:B,SMALL('Product Price'!$D:$D,180)),"")</f>
        <v>34999</v>
      </c>
      <c r="C182" s="2">
        <f t="array" ref="C182">IFERROR(INDEX('Product Price'!C:C,SMALL('Product Price'!$D:$D,180)),"")</f>
        <v>188</v>
      </c>
      <c r="D182" s="2">
        <f t="shared" si="1"/>
        <v>1900</v>
      </c>
      <c r="E182" s="2">
        <f t="shared" si="2"/>
        <v>36899</v>
      </c>
      <c r="F182" s="2">
        <f t="shared" si="48"/>
        <v>5250</v>
      </c>
      <c r="G182" s="2">
        <f t="shared" si="4"/>
        <v>29749</v>
      </c>
      <c r="H182" s="2">
        <f t="shared" si="5"/>
        <v>31649</v>
      </c>
      <c r="I182" s="2">
        <f t="shared" si="6"/>
        <v>5663</v>
      </c>
      <c r="J182" s="2">
        <f t="shared" si="7"/>
        <v>3897</v>
      </c>
      <c r="K182" s="2">
        <f t="shared" si="8"/>
        <v>3014</v>
      </c>
      <c r="L182" s="2">
        <f t="shared" si="9"/>
        <v>2485</v>
      </c>
      <c r="M182" s="2">
        <f t="shared" si="10"/>
        <v>2132</v>
      </c>
      <c r="N182" s="2">
        <f t="shared" si="11"/>
        <v>1690</v>
      </c>
      <c r="O182" s="2">
        <f t="shared" si="12"/>
        <v>7000</v>
      </c>
      <c r="P182" s="2">
        <f t="shared" si="13"/>
        <v>27999</v>
      </c>
      <c r="Q182" s="2">
        <f t="shared" si="14"/>
        <v>29899</v>
      </c>
      <c r="R182" s="2">
        <f t="shared" si="15"/>
        <v>5351</v>
      </c>
      <c r="S182" s="2">
        <f t="shared" si="16"/>
        <v>3683</v>
      </c>
      <c r="T182" s="2">
        <f t="shared" si="17"/>
        <v>2849</v>
      </c>
      <c r="U182" s="2">
        <f t="shared" si="18"/>
        <v>2348</v>
      </c>
      <c r="V182" s="2">
        <f t="shared" si="19"/>
        <v>2014</v>
      </c>
      <c r="W182" s="2">
        <f t="shared" si="20"/>
        <v>1597</v>
      </c>
      <c r="X182" s="2">
        <f t="shared" si="21"/>
        <v>8750</v>
      </c>
      <c r="Y182" s="2">
        <f t="shared" si="22"/>
        <v>26249</v>
      </c>
      <c r="Z182" s="2">
        <f t="shared" si="23"/>
        <v>28149</v>
      </c>
      <c r="AA182" s="2">
        <f t="shared" si="24"/>
        <v>5039</v>
      </c>
      <c r="AB182" s="2">
        <f t="shared" si="25"/>
        <v>3468</v>
      </c>
      <c r="AC182" s="2">
        <f t="shared" si="26"/>
        <v>2683</v>
      </c>
      <c r="AD182" s="2">
        <f t="shared" si="27"/>
        <v>2211</v>
      </c>
      <c r="AE182" s="2">
        <f t="shared" si="28"/>
        <v>1897</v>
      </c>
      <c r="AF182" s="2">
        <f t="shared" si="29"/>
        <v>1504</v>
      </c>
      <c r="AG182" s="2">
        <f t="shared" si="30"/>
        <v>12250</v>
      </c>
      <c r="AH182" s="2">
        <f t="shared" si="31"/>
        <v>22749</v>
      </c>
      <c r="AI182" s="2">
        <f t="shared" si="32"/>
        <v>24649</v>
      </c>
      <c r="AJ182" s="2">
        <f t="shared" si="33"/>
        <v>4416</v>
      </c>
      <c r="AK182" s="2">
        <f t="shared" si="34"/>
        <v>3039</v>
      </c>
      <c r="AL182" s="2">
        <f t="shared" si="35"/>
        <v>2351</v>
      </c>
      <c r="AM182" s="2">
        <f t="shared" si="36"/>
        <v>1938</v>
      </c>
      <c r="AN182" s="2">
        <f t="shared" si="37"/>
        <v>1662</v>
      </c>
      <c r="AO182" s="2">
        <f t="shared" si="38"/>
        <v>1318</v>
      </c>
      <c r="AP182" s="2">
        <f t="shared" si="39"/>
        <v>14000</v>
      </c>
      <c r="AQ182" s="2">
        <f t="shared" si="40"/>
        <v>20999</v>
      </c>
      <c r="AR182" s="2">
        <f t="shared" si="41"/>
        <v>22899</v>
      </c>
      <c r="AS182" s="2">
        <f t="shared" si="42"/>
        <v>4104</v>
      </c>
      <c r="AT182" s="2">
        <f t="shared" si="43"/>
        <v>2824</v>
      </c>
      <c r="AU182" s="2">
        <f t="shared" si="44"/>
        <v>2185</v>
      </c>
      <c r="AV182" s="2">
        <f t="shared" si="45"/>
        <v>1801</v>
      </c>
      <c r="AW182" s="2">
        <f t="shared" si="46"/>
        <v>1545</v>
      </c>
      <c r="AX182" s="2">
        <f t="shared" si="47"/>
        <v>1225</v>
      </c>
    </row>
    <row r="183" ht="14.25" customHeight="1">
      <c r="A183" s="2" t="str">
        <f t="array" ref="A183">IFERROR(INDEX('Product Price'!A:A,SMALL('Product Price'!$D:$D,181)),"")</f>
        <v>OPPO Find X9s 12/256 GB</v>
      </c>
      <c r="B183" s="2">
        <f t="array" ref="B183">IFERROR(INDEX('Product Price'!B:B,SMALL('Product Price'!$D:$D,181)),"")</f>
        <v>31999</v>
      </c>
      <c r="C183" s="2">
        <f t="array" ref="C183">IFERROR(INDEX('Product Price'!C:C,SMALL('Product Price'!$D:$D,181)),"")</f>
        <v>189</v>
      </c>
      <c r="D183" s="2">
        <f t="shared" si="1"/>
        <v>1900</v>
      </c>
      <c r="E183" s="2">
        <f t="shared" si="2"/>
        <v>33899</v>
      </c>
      <c r="F183" s="2">
        <f t="shared" si="48"/>
        <v>4800</v>
      </c>
      <c r="G183" s="2">
        <f t="shared" si="4"/>
        <v>27199</v>
      </c>
      <c r="H183" s="2">
        <f t="shared" si="5"/>
        <v>29099</v>
      </c>
      <c r="I183" s="2">
        <f t="shared" si="6"/>
        <v>5209</v>
      </c>
      <c r="J183" s="2">
        <f t="shared" si="7"/>
        <v>3585</v>
      </c>
      <c r="K183" s="2">
        <f t="shared" si="8"/>
        <v>2773</v>
      </c>
      <c r="L183" s="2">
        <f t="shared" si="9"/>
        <v>2285</v>
      </c>
      <c r="M183" s="2">
        <f t="shared" si="10"/>
        <v>1961</v>
      </c>
      <c r="N183" s="2">
        <f t="shared" si="11"/>
        <v>1555</v>
      </c>
      <c r="O183" s="2">
        <f t="shared" si="12"/>
        <v>6400</v>
      </c>
      <c r="P183" s="2">
        <f t="shared" si="13"/>
        <v>25599</v>
      </c>
      <c r="Q183" s="2">
        <f t="shared" si="14"/>
        <v>27499</v>
      </c>
      <c r="R183" s="2">
        <f t="shared" si="15"/>
        <v>4924</v>
      </c>
      <c r="S183" s="2">
        <f t="shared" si="16"/>
        <v>3388</v>
      </c>
      <c r="T183" s="2">
        <f t="shared" si="17"/>
        <v>2621</v>
      </c>
      <c r="U183" s="2">
        <f t="shared" si="18"/>
        <v>2160</v>
      </c>
      <c r="V183" s="2">
        <f t="shared" si="19"/>
        <v>1853</v>
      </c>
      <c r="W183" s="2">
        <f t="shared" si="20"/>
        <v>1470</v>
      </c>
      <c r="X183" s="2">
        <f t="shared" si="21"/>
        <v>8000</v>
      </c>
      <c r="Y183" s="2">
        <f t="shared" si="22"/>
        <v>23999</v>
      </c>
      <c r="Z183" s="2">
        <f t="shared" si="23"/>
        <v>25899</v>
      </c>
      <c r="AA183" s="2">
        <f t="shared" si="24"/>
        <v>4639</v>
      </c>
      <c r="AB183" s="2">
        <f t="shared" si="25"/>
        <v>3192</v>
      </c>
      <c r="AC183" s="2">
        <f t="shared" si="26"/>
        <v>2469</v>
      </c>
      <c r="AD183" s="2">
        <f t="shared" si="27"/>
        <v>2035</v>
      </c>
      <c r="AE183" s="2">
        <f t="shared" si="28"/>
        <v>1746</v>
      </c>
      <c r="AF183" s="2">
        <f t="shared" si="29"/>
        <v>1385</v>
      </c>
      <c r="AG183" s="2">
        <f t="shared" si="30"/>
        <v>11200</v>
      </c>
      <c r="AH183" s="2">
        <f t="shared" si="31"/>
        <v>20799</v>
      </c>
      <c r="AI183" s="2">
        <f t="shared" si="32"/>
        <v>22699</v>
      </c>
      <c r="AJ183" s="2">
        <f t="shared" si="33"/>
        <v>4068</v>
      </c>
      <c r="AK183" s="2">
        <f t="shared" si="34"/>
        <v>2800</v>
      </c>
      <c r="AL183" s="2">
        <f t="shared" si="35"/>
        <v>2166</v>
      </c>
      <c r="AM183" s="2">
        <f t="shared" si="36"/>
        <v>1785</v>
      </c>
      <c r="AN183" s="2">
        <f t="shared" si="37"/>
        <v>1532</v>
      </c>
      <c r="AO183" s="2">
        <f t="shared" si="38"/>
        <v>1214</v>
      </c>
      <c r="AP183" s="2">
        <f t="shared" si="39"/>
        <v>12800</v>
      </c>
      <c r="AQ183" s="2">
        <f t="shared" si="40"/>
        <v>19199</v>
      </c>
      <c r="AR183" s="2">
        <f t="shared" si="41"/>
        <v>21099</v>
      </c>
      <c r="AS183" s="2">
        <f t="shared" si="42"/>
        <v>3783</v>
      </c>
      <c r="AT183" s="2">
        <f t="shared" si="43"/>
        <v>2604</v>
      </c>
      <c r="AU183" s="2">
        <f t="shared" si="44"/>
        <v>2014</v>
      </c>
      <c r="AV183" s="2">
        <f t="shared" si="45"/>
        <v>1660</v>
      </c>
      <c r="AW183" s="2">
        <f t="shared" si="46"/>
        <v>1424</v>
      </c>
      <c r="AX183" s="2">
        <f t="shared" si="47"/>
        <v>1129</v>
      </c>
    </row>
    <row r="184" ht="14.25" customHeight="1">
      <c r="A184" s="2" t="str">
        <f t="array" ref="A184">IFERROR(INDEX('Product Price'!A:A,SMALL('Product Price'!$D:$D,182)),"")</f>
        <v>OPPO Reno 16 Pro 12/256 GB</v>
      </c>
      <c r="B184" s="2">
        <f t="array" ref="B184">IFERROR(INDEX('Product Price'!B:B,SMALL('Product Price'!$D:$D,182)),"")</f>
        <v>29999</v>
      </c>
      <c r="C184" s="2">
        <f t="array" ref="C184">IFERROR(INDEX('Product Price'!C:C,SMALL('Product Price'!$D:$D,182)),"")</f>
        <v>190</v>
      </c>
      <c r="D184" s="2">
        <f t="shared" si="1"/>
        <v>1900</v>
      </c>
      <c r="E184" s="2">
        <f t="shared" si="2"/>
        <v>31899</v>
      </c>
      <c r="F184" s="2">
        <f t="shared" si="48"/>
        <v>4500</v>
      </c>
      <c r="G184" s="2">
        <f t="shared" si="4"/>
        <v>25499</v>
      </c>
      <c r="H184" s="2">
        <f t="shared" si="5"/>
        <v>27399</v>
      </c>
      <c r="I184" s="2">
        <f t="shared" si="6"/>
        <v>4906</v>
      </c>
      <c r="J184" s="2">
        <f t="shared" si="7"/>
        <v>3376</v>
      </c>
      <c r="K184" s="2">
        <f t="shared" si="8"/>
        <v>2611</v>
      </c>
      <c r="L184" s="2">
        <f t="shared" si="9"/>
        <v>2153</v>
      </c>
      <c r="M184" s="2">
        <f t="shared" si="10"/>
        <v>1847</v>
      </c>
      <c r="N184" s="2">
        <f t="shared" si="11"/>
        <v>1464</v>
      </c>
      <c r="O184" s="2">
        <f t="shared" si="12"/>
        <v>6000</v>
      </c>
      <c r="P184" s="2">
        <f t="shared" si="13"/>
        <v>23999</v>
      </c>
      <c r="Q184" s="2">
        <f t="shared" si="14"/>
        <v>25899</v>
      </c>
      <c r="R184" s="2">
        <f t="shared" si="15"/>
        <v>4639</v>
      </c>
      <c r="S184" s="2">
        <f t="shared" si="16"/>
        <v>3192</v>
      </c>
      <c r="T184" s="2">
        <f t="shared" si="17"/>
        <v>2469</v>
      </c>
      <c r="U184" s="2">
        <f t="shared" si="18"/>
        <v>2035</v>
      </c>
      <c r="V184" s="2">
        <f t="shared" si="19"/>
        <v>1746</v>
      </c>
      <c r="W184" s="2">
        <f t="shared" si="20"/>
        <v>1385</v>
      </c>
      <c r="X184" s="2">
        <f t="shared" si="21"/>
        <v>7500</v>
      </c>
      <c r="Y184" s="2">
        <f t="shared" si="22"/>
        <v>22499</v>
      </c>
      <c r="Z184" s="2">
        <f t="shared" si="23"/>
        <v>24399</v>
      </c>
      <c r="AA184" s="2">
        <f t="shared" si="24"/>
        <v>4371</v>
      </c>
      <c r="AB184" s="2">
        <f t="shared" si="25"/>
        <v>3008</v>
      </c>
      <c r="AC184" s="2">
        <f t="shared" si="26"/>
        <v>2327</v>
      </c>
      <c r="AD184" s="2">
        <f t="shared" si="27"/>
        <v>1918</v>
      </c>
      <c r="AE184" s="2">
        <f t="shared" si="28"/>
        <v>1646</v>
      </c>
      <c r="AF184" s="2">
        <f t="shared" si="29"/>
        <v>1305</v>
      </c>
      <c r="AG184" s="2">
        <f t="shared" si="30"/>
        <v>10500</v>
      </c>
      <c r="AH184" s="2">
        <f t="shared" si="31"/>
        <v>19499</v>
      </c>
      <c r="AI184" s="2">
        <f t="shared" si="32"/>
        <v>21399</v>
      </c>
      <c r="AJ184" s="2">
        <f t="shared" si="33"/>
        <v>3837</v>
      </c>
      <c r="AK184" s="2">
        <f t="shared" si="34"/>
        <v>2641</v>
      </c>
      <c r="AL184" s="2">
        <f t="shared" si="35"/>
        <v>2042</v>
      </c>
      <c r="AM184" s="2">
        <f t="shared" si="36"/>
        <v>1684</v>
      </c>
      <c r="AN184" s="2">
        <f t="shared" si="37"/>
        <v>1444</v>
      </c>
      <c r="AO184" s="2">
        <f t="shared" si="38"/>
        <v>1145</v>
      </c>
      <c r="AP184" s="2">
        <f t="shared" si="39"/>
        <v>12000</v>
      </c>
      <c r="AQ184" s="2">
        <f t="shared" si="40"/>
        <v>17999</v>
      </c>
      <c r="AR184" s="2">
        <f t="shared" si="41"/>
        <v>19899</v>
      </c>
      <c r="AS184" s="2">
        <f t="shared" si="42"/>
        <v>3570</v>
      </c>
      <c r="AT184" s="2">
        <f t="shared" si="43"/>
        <v>2457</v>
      </c>
      <c r="AU184" s="2">
        <f t="shared" si="44"/>
        <v>1900</v>
      </c>
      <c r="AV184" s="2">
        <f t="shared" si="45"/>
        <v>1566</v>
      </c>
      <c r="AW184" s="2">
        <f t="shared" si="46"/>
        <v>1344</v>
      </c>
      <c r="AX184" s="2">
        <f t="shared" si="47"/>
        <v>1066</v>
      </c>
    </row>
    <row r="185" ht="14.25" customHeight="1">
      <c r="A185" s="2" t="str">
        <f t="array" ref="A185">IFERROR(INDEX('Product Price'!A:A,SMALL('Product Price'!$D:$D,183)),"")</f>
        <v>OPPO Reno 16 5G 12/512 GB</v>
      </c>
      <c r="B185" s="2">
        <f t="array" ref="B185">IFERROR(INDEX('Product Price'!B:B,SMALL('Product Price'!$D:$D,183)),"")</f>
        <v>26999</v>
      </c>
      <c r="C185" s="2">
        <f t="array" ref="C185">IFERROR(INDEX('Product Price'!C:C,SMALL('Product Price'!$D:$D,183)),"")</f>
        <v>192</v>
      </c>
      <c r="D185" s="2">
        <f t="shared" si="1"/>
        <v>1900</v>
      </c>
      <c r="E185" s="2">
        <f t="shared" si="2"/>
        <v>28899</v>
      </c>
      <c r="F185" s="2">
        <f t="shared" si="48"/>
        <v>4050</v>
      </c>
      <c r="G185" s="2">
        <f t="shared" si="4"/>
        <v>22949</v>
      </c>
      <c r="H185" s="2">
        <f t="shared" si="5"/>
        <v>24849</v>
      </c>
      <c r="I185" s="2">
        <f t="shared" si="6"/>
        <v>4451</v>
      </c>
      <c r="J185" s="2">
        <f t="shared" si="7"/>
        <v>3064</v>
      </c>
      <c r="K185" s="2">
        <f t="shared" si="8"/>
        <v>2370</v>
      </c>
      <c r="L185" s="2">
        <f t="shared" si="9"/>
        <v>1953</v>
      </c>
      <c r="M185" s="2">
        <f t="shared" si="10"/>
        <v>1676</v>
      </c>
      <c r="N185" s="2">
        <f t="shared" si="11"/>
        <v>1329</v>
      </c>
      <c r="O185" s="2">
        <f t="shared" si="12"/>
        <v>5400</v>
      </c>
      <c r="P185" s="2">
        <f t="shared" si="13"/>
        <v>21599</v>
      </c>
      <c r="Q185" s="2">
        <f t="shared" si="14"/>
        <v>23499</v>
      </c>
      <c r="R185" s="2">
        <f t="shared" si="15"/>
        <v>4211</v>
      </c>
      <c r="S185" s="2">
        <f t="shared" si="16"/>
        <v>2898</v>
      </c>
      <c r="T185" s="2">
        <f t="shared" si="17"/>
        <v>2242</v>
      </c>
      <c r="U185" s="2">
        <f t="shared" si="18"/>
        <v>1848</v>
      </c>
      <c r="V185" s="2">
        <f t="shared" si="19"/>
        <v>1585</v>
      </c>
      <c r="W185" s="2">
        <f t="shared" si="20"/>
        <v>1257</v>
      </c>
      <c r="X185" s="2">
        <f t="shared" si="21"/>
        <v>6750</v>
      </c>
      <c r="Y185" s="2">
        <f t="shared" si="22"/>
        <v>20249</v>
      </c>
      <c r="Z185" s="2">
        <f t="shared" si="23"/>
        <v>22149</v>
      </c>
      <c r="AA185" s="2">
        <f t="shared" si="24"/>
        <v>3970</v>
      </c>
      <c r="AB185" s="2">
        <f t="shared" si="25"/>
        <v>2733</v>
      </c>
      <c r="AC185" s="2">
        <f t="shared" si="26"/>
        <v>2114</v>
      </c>
      <c r="AD185" s="2">
        <f t="shared" si="27"/>
        <v>1742</v>
      </c>
      <c r="AE185" s="2">
        <f t="shared" si="28"/>
        <v>1495</v>
      </c>
      <c r="AF185" s="2">
        <f t="shared" si="29"/>
        <v>1185</v>
      </c>
      <c r="AG185" s="2">
        <f t="shared" si="30"/>
        <v>9450</v>
      </c>
      <c r="AH185" s="2">
        <f t="shared" si="31"/>
        <v>17549</v>
      </c>
      <c r="AI185" s="2">
        <f t="shared" si="32"/>
        <v>19449</v>
      </c>
      <c r="AJ185" s="2">
        <f t="shared" si="33"/>
        <v>3489</v>
      </c>
      <c r="AK185" s="2">
        <f t="shared" si="34"/>
        <v>2401</v>
      </c>
      <c r="AL185" s="2">
        <f t="shared" si="35"/>
        <v>1858</v>
      </c>
      <c r="AM185" s="2">
        <f t="shared" si="36"/>
        <v>1531</v>
      </c>
      <c r="AN185" s="2">
        <f t="shared" si="37"/>
        <v>1314</v>
      </c>
      <c r="AO185" s="2">
        <f t="shared" si="38"/>
        <v>1042</v>
      </c>
      <c r="AP185" s="2">
        <f t="shared" si="39"/>
        <v>10800</v>
      </c>
      <c r="AQ185" s="2">
        <f t="shared" si="40"/>
        <v>16199</v>
      </c>
      <c r="AR185" s="2">
        <f t="shared" si="41"/>
        <v>18099</v>
      </c>
      <c r="AS185" s="2">
        <f t="shared" si="42"/>
        <v>3249</v>
      </c>
      <c r="AT185" s="2">
        <f t="shared" si="43"/>
        <v>2236</v>
      </c>
      <c r="AU185" s="2">
        <f t="shared" si="44"/>
        <v>1730</v>
      </c>
      <c r="AV185" s="2">
        <f t="shared" si="45"/>
        <v>1426</v>
      </c>
      <c r="AW185" s="2">
        <f t="shared" si="46"/>
        <v>1223</v>
      </c>
      <c r="AX185" s="2">
        <f t="shared" si="47"/>
        <v>970</v>
      </c>
    </row>
    <row r="186" ht="14.25" customHeight="1">
      <c r="A186" s="2" t="str">
        <f t="array" ref="A186">IFERROR(INDEX('Product Price'!A:A,SMALL('Product Price'!$D:$D,184)),"")</f>
        <v>OPPO Reno 16 5G 12/256 GB</v>
      </c>
      <c r="B186" s="2">
        <f t="array" ref="B186">IFERROR(INDEX('Product Price'!B:B,SMALL('Product Price'!$D:$D,184)),"")</f>
        <v>24999</v>
      </c>
      <c r="C186" s="2">
        <f t="array" ref="C186">IFERROR(INDEX('Product Price'!C:C,SMALL('Product Price'!$D:$D,184)),"")</f>
        <v>193</v>
      </c>
      <c r="D186" s="2">
        <f t="shared" si="1"/>
        <v>1900</v>
      </c>
      <c r="E186" s="2">
        <f t="shared" si="2"/>
        <v>26899</v>
      </c>
      <c r="F186" s="2">
        <f t="shared" si="48"/>
        <v>3750</v>
      </c>
      <c r="G186" s="2">
        <f t="shared" si="4"/>
        <v>21249</v>
      </c>
      <c r="H186" s="2">
        <f t="shared" si="5"/>
        <v>23149</v>
      </c>
      <c r="I186" s="2">
        <f t="shared" si="6"/>
        <v>4149</v>
      </c>
      <c r="J186" s="2">
        <f t="shared" si="7"/>
        <v>2855</v>
      </c>
      <c r="K186" s="2">
        <f t="shared" si="8"/>
        <v>2208</v>
      </c>
      <c r="L186" s="2">
        <f t="shared" si="9"/>
        <v>1820</v>
      </c>
      <c r="M186" s="2">
        <f t="shared" si="10"/>
        <v>1562</v>
      </c>
      <c r="N186" s="2">
        <f t="shared" si="11"/>
        <v>1238</v>
      </c>
      <c r="O186" s="2">
        <f t="shared" si="12"/>
        <v>5000</v>
      </c>
      <c r="P186" s="2">
        <f t="shared" si="13"/>
        <v>19999</v>
      </c>
      <c r="Q186" s="2">
        <f t="shared" si="14"/>
        <v>21899</v>
      </c>
      <c r="R186" s="2">
        <f t="shared" si="15"/>
        <v>3926</v>
      </c>
      <c r="S186" s="2">
        <f t="shared" si="16"/>
        <v>2702</v>
      </c>
      <c r="T186" s="2">
        <f t="shared" si="17"/>
        <v>2090</v>
      </c>
      <c r="U186" s="2">
        <f t="shared" si="18"/>
        <v>1723</v>
      </c>
      <c r="V186" s="2">
        <f t="shared" si="19"/>
        <v>1478</v>
      </c>
      <c r="W186" s="2">
        <f t="shared" si="20"/>
        <v>1172</v>
      </c>
      <c r="X186" s="2">
        <f t="shared" si="21"/>
        <v>6250</v>
      </c>
      <c r="Y186" s="2">
        <f t="shared" si="22"/>
        <v>18749</v>
      </c>
      <c r="Z186" s="2">
        <f t="shared" si="23"/>
        <v>20649</v>
      </c>
      <c r="AA186" s="2">
        <f t="shared" si="24"/>
        <v>3703</v>
      </c>
      <c r="AB186" s="2">
        <f t="shared" si="25"/>
        <v>2549</v>
      </c>
      <c r="AC186" s="2">
        <f t="shared" si="26"/>
        <v>1971</v>
      </c>
      <c r="AD186" s="2">
        <f t="shared" si="27"/>
        <v>1625</v>
      </c>
      <c r="AE186" s="2">
        <f t="shared" si="28"/>
        <v>1394</v>
      </c>
      <c r="AF186" s="2">
        <f t="shared" si="29"/>
        <v>1105</v>
      </c>
      <c r="AG186" s="2">
        <f t="shared" si="30"/>
        <v>8750</v>
      </c>
      <c r="AH186" s="2">
        <f t="shared" si="31"/>
        <v>16249</v>
      </c>
      <c r="AI186" s="2">
        <f t="shared" si="32"/>
        <v>18149</v>
      </c>
      <c r="AJ186" s="2">
        <f t="shared" si="33"/>
        <v>3258</v>
      </c>
      <c r="AK186" s="2">
        <f t="shared" si="34"/>
        <v>2242</v>
      </c>
      <c r="AL186" s="2">
        <f t="shared" si="35"/>
        <v>1734</v>
      </c>
      <c r="AM186" s="2">
        <f t="shared" si="36"/>
        <v>1430</v>
      </c>
      <c r="AN186" s="2">
        <f t="shared" si="37"/>
        <v>1226</v>
      </c>
      <c r="AO186" s="2">
        <f t="shared" si="38"/>
        <v>972</v>
      </c>
      <c r="AP186" s="2">
        <f t="shared" si="39"/>
        <v>10000</v>
      </c>
      <c r="AQ186" s="2">
        <f t="shared" si="40"/>
        <v>14999</v>
      </c>
      <c r="AR186" s="2">
        <f t="shared" si="41"/>
        <v>16899</v>
      </c>
      <c r="AS186" s="2">
        <f t="shared" si="42"/>
        <v>3035</v>
      </c>
      <c r="AT186" s="2">
        <f t="shared" si="43"/>
        <v>2089</v>
      </c>
      <c r="AU186" s="2">
        <f t="shared" si="44"/>
        <v>1616</v>
      </c>
      <c r="AV186" s="2">
        <f t="shared" si="45"/>
        <v>1332</v>
      </c>
      <c r="AW186" s="2">
        <f t="shared" si="46"/>
        <v>1143</v>
      </c>
      <c r="AX186" s="2">
        <f t="shared" si="47"/>
        <v>906</v>
      </c>
    </row>
    <row r="187" ht="14.25" customHeight="1">
      <c r="A187" s="2" t="str">
        <f t="array" ref="A187">IFERROR(INDEX('Product Price'!A:A,SMALL('Product Price'!$D:$D,185)),"")</f>
        <v>OPPO Reno 16 5G 8/256 GB</v>
      </c>
      <c r="B187" s="2">
        <f t="array" ref="B187">IFERROR(INDEX('Product Price'!B:B,SMALL('Product Price'!$D:$D,185)),"")</f>
        <v>21999</v>
      </c>
      <c r="C187" s="2">
        <f t="array" ref="C187">IFERROR(INDEX('Product Price'!C:C,SMALL('Product Price'!$D:$D,185)),"")</f>
        <v>194</v>
      </c>
      <c r="D187" s="2">
        <f t="shared" si="1"/>
        <v>1900</v>
      </c>
      <c r="E187" s="2">
        <f t="shared" si="2"/>
        <v>23899</v>
      </c>
      <c r="F187" s="2">
        <f t="shared" si="48"/>
        <v>3300</v>
      </c>
      <c r="G187" s="2">
        <f t="shared" si="4"/>
        <v>18699</v>
      </c>
      <c r="H187" s="2">
        <f t="shared" si="5"/>
        <v>20599</v>
      </c>
      <c r="I187" s="2">
        <f t="shared" si="6"/>
        <v>3694</v>
      </c>
      <c r="J187" s="2">
        <f t="shared" si="7"/>
        <v>2542</v>
      </c>
      <c r="K187" s="2">
        <f t="shared" si="8"/>
        <v>1967</v>
      </c>
      <c r="L187" s="2">
        <f t="shared" si="9"/>
        <v>1621</v>
      </c>
      <c r="M187" s="2">
        <f t="shared" si="10"/>
        <v>1391</v>
      </c>
      <c r="N187" s="2">
        <f t="shared" si="11"/>
        <v>1103</v>
      </c>
      <c r="O187" s="2">
        <f t="shared" si="12"/>
        <v>4400</v>
      </c>
      <c r="P187" s="2">
        <f t="shared" si="13"/>
        <v>17599</v>
      </c>
      <c r="Q187" s="2">
        <f t="shared" si="14"/>
        <v>19499</v>
      </c>
      <c r="R187" s="2">
        <f t="shared" si="15"/>
        <v>3498</v>
      </c>
      <c r="S187" s="2">
        <f t="shared" si="16"/>
        <v>2408</v>
      </c>
      <c r="T187" s="2">
        <f t="shared" si="17"/>
        <v>1862</v>
      </c>
      <c r="U187" s="2">
        <f t="shared" si="18"/>
        <v>1535</v>
      </c>
      <c r="V187" s="2">
        <f t="shared" si="19"/>
        <v>1317</v>
      </c>
      <c r="W187" s="2">
        <f t="shared" si="20"/>
        <v>1044</v>
      </c>
      <c r="X187" s="2">
        <f t="shared" si="21"/>
        <v>5500</v>
      </c>
      <c r="Y187" s="2">
        <f t="shared" si="22"/>
        <v>16499</v>
      </c>
      <c r="Z187" s="2">
        <f t="shared" si="23"/>
        <v>18399</v>
      </c>
      <c r="AA187" s="2">
        <f t="shared" si="24"/>
        <v>3302</v>
      </c>
      <c r="AB187" s="2">
        <f t="shared" si="25"/>
        <v>2273</v>
      </c>
      <c r="AC187" s="2">
        <f t="shared" si="26"/>
        <v>1758</v>
      </c>
      <c r="AD187" s="2">
        <f t="shared" si="27"/>
        <v>1449</v>
      </c>
      <c r="AE187" s="2">
        <f t="shared" si="28"/>
        <v>1243</v>
      </c>
      <c r="AF187" s="2">
        <f t="shared" si="29"/>
        <v>986</v>
      </c>
      <c r="AG187" s="2">
        <f t="shared" si="30"/>
        <v>7700</v>
      </c>
      <c r="AH187" s="2">
        <f t="shared" si="31"/>
        <v>14299</v>
      </c>
      <c r="AI187" s="2">
        <f t="shared" si="32"/>
        <v>16199</v>
      </c>
      <c r="AJ187" s="2">
        <f t="shared" si="33"/>
        <v>2910</v>
      </c>
      <c r="AK187" s="2">
        <f t="shared" si="34"/>
        <v>2003</v>
      </c>
      <c r="AL187" s="2">
        <f t="shared" si="35"/>
        <v>1549</v>
      </c>
      <c r="AM187" s="2">
        <f t="shared" si="36"/>
        <v>1277</v>
      </c>
      <c r="AN187" s="2">
        <f t="shared" si="37"/>
        <v>1096</v>
      </c>
      <c r="AO187" s="2">
        <f t="shared" si="38"/>
        <v>869</v>
      </c>
      <c r="AP187" s="2">
        <f t="shared" si="39"/>
        <v>8800</v>
      </c>
      <c r="AQ187" s="2">
        <f t="shared" si="40"/>
        <v>13199</v>
      </c>
      <c r="AR187" s="2">
        <f t="shared" si="41"/>
        <v>15099</v>
      </c>
      <c r="AS187" s="2">
        <f t="shared" si="42"/>
        <v>2714</v>
      </c>
      <c r="AT187" s="2">
        <f t="shared" si="43"/>
        <v>1868</v>
      </c>
      <c r="AU187" s="2">
        <f t="shared" si="44"/>
        <v>1445</v>
      </c>
      <c r="AV187" s="2">
        <f t="shared" si="45"/>
        <v>1191</v>
      </c>
      <c r="AW187" s="2">
        <f t="shared" si="46"/>
        <v>1022</v>
      </c>
      <c r="AX187" s="2">
        <f t="shared" si="47"/>
        <v>810</v>
      </c>
    </row>
    <row r="188" ht="14.25" customHeight="1">
      <c r="A188" s="2" t="str">
        <f t="array" ref="A188">IFERROR(INDEX('Product Price'!A:A,SMALL('Product Price'!$D:$D,186)),"")</f>
        <v>OPPO Reno 16F 5G 8/256 GB</v>
      </c>
      <c r="B188" s="2">
        <f t="array" ref="B188">IFERROR(INDEX('Product Price'!B:B,SMALL('Product Price'!$D:$D,186)),"")</f>
        <v>18999</v>
      </c>
      <c r="C188" s="2">
        <f t="array" ref="C188">IFERROR(INDEX('Product Price'!C:C,SMALL('Product Price'!$D:$D,186)),"")</f>
        <v>195</v>
      </c>
      <c r="D188" s="2">
        <f t="shared" si="1"/>
        <v>1450</v>
      </c>
      <c r="E188" s="2">
        <f t="shared" si="2"/>
        <v>20449</v>
      </c>
      <c r="F188" s="2">
        <f t="shared" si="48"/>
        <v>2850</v>
      </c>
      <c r="G188" s="2">
        <f t="shared" si="4"/>
        <v>16149</v>
      </c>
      <c r="H188" s="2">
        <f t="shared" si="5"/>
        <v>17599</v>
      </c>
      <c r="I188" s="2">
        <f t="shared" si="6"/>
        <v>3154</v>
      </c>
      <c r="J188" s="2">
        <f t="shared" si="7"/>
        <v>2171</v>
      </c>
      <c r="K188" s="2">
        <f t="shared" si="8"/>
        <v>1679</v>
      </c>
      <c r="L188" s="2">
        <f t="shared" si="9"/>
        <v>1384</v>
      </c>
      <c r="M188" s="2">
        <f t="shared" si="10"/>
        <v>1187</v>
      </c>
      <c r="N188" s="2">
        <f t="shared" si="11"/>
        <v>942</v>
      </c>
      <c r="O188" s="2">
        <f t="shared" si="12"/>
        <v>3800</v>
      </c>
      <c r="P188" s="2">
        <f t="shared" si="13"/>
        <v>15199</v>
      </c>
      <c r="Q188" s="2">
        <f t="shared" si="14"/>
        <v>16649</v>
      </c>
      <c r="R188" s="2">
        <f t="shared" si="15"/>
        <v>2985</v>
      </c>
      <c r="S188" s="2">
        <f t="shared" si="16"/>
        <v>2054</v>
      </c>
      <c r="T188" s="2">
        <f t="shared" si="17"/>
        <v>1589</v>
      </c>
      <c r="U188" s="2">
        <f t="shared" si="18"/>
        <v>1310</v>
      </c>
      <c r="V188" s="2">
        <f t="shared" si="19"/>
        <v>1124</v>
      </c>
      <c r="W188" s="2">
        <f t="shared" si="20"/>
        <v>891</v>
      </c>
      <c r="X188" s="2">
        <f t="shared" si="21"/>
        <v>4750</v>
      </c>
      <c r="Y188" s="2">
        <f t="shared" si="22"/>
        <v>14249</v>
      </c>
      <c r="Z188" s="2">
        <f t="shared" si="23"/>
        <v>15699</v>
      </c>
      <c r="AA188" s="2">
        <f t="shared" si="24"/>
        <v>2816</v>
      </c>
      <c r="AB188" s="2">
        <f t="shared" si="25"/>
        <v>1938</v>
      </c>
      <c r="AC188" s="2">
        <f t="shared" si="26"/>
        <v>1499</v>
      </c>
      <c r="AD188" s="2">
        <f t="shared" si="27"/>
        <v>1236</v>
      </c>
      <c r="AE188" s="2">
        <f t="shared" si="28"/>
        <v>1060</v>
      </c>
      <c r="AF188" s="2">
        <f t="shared" si="29"/>
        <v>841</v>
      </c>
      <c r="AG188" s="2">
        <f t="shared" si="30"/>
        <v>6650</v>
      </c>
      <c r="AH188" s="2">
        <f t="shared" si="31"/>
        <v>12349</v>
      </c>
      <c r="AI188" s="2">
        <f t="shared" si="32"/>
        <v>13799</v>
      </c>
      <c r="AJ188" s="2">
        <f t="shared" si="33"/>
        <v>2477</v>
      </c>
      <c r="AK188" s="2">
        <f t="shared" si="34"/>
        <v>1705</v>
      </c>
      <c r="AL188" s="2">
        <f t="shared" si="35"/>
        <v>1319</v>
      </c>
      <c r="AM188" s="2">
        <f t="shared" si="36"/>
        <v>1087</v>
      </c>
      <c r="AN188" s="2">
        <f t="shared" si="37"/>
        <v>933</v>
      </c>
      <c r="AO188" s="2">
        <f t="shared" si="38"/>
        <v>740</v>
      </c>
      <c r="AP188" s="2">
        <f t="shared" si="39"/>
        <v>7600</v>
      </c>
      <c r="AQ188" s="2">
        <f t="shared" si="40"/>
        <v>11399</v>
      </c>
      <c r="AR188" s="2">
        <f t="shared" si="41"/>
        <v>12849</v>
      </c>
      <c r="AS188" s="2">
        <f t="shared" si="42"/>
        <v>2308</v>
      </c>
      <c r="AT188" s="2">
        <f t="shared" si="43"/>
        <v>1588</v>
      </c>
      <c r="AU188" s="2">
        <f t="shared" si="44"/>
        <v>1229</v>
      </c>
      <c r="AV188" s="2">
        <f t="shared" si="45"/>
        <v>1013</v>
      </c>
      <c r="AW188" s="2">
        <f t="shared" si="46"/>
        <v>869</v>
      </c>
      <c r="AX188" s="2">
        <f t="shared" si="47"/>
        <v>689</v>
      </c>
    </row>
    <row r="189" ht="14.25" customHeight="1">
      <c r="A189" s="2" t="str">
        <f t="array" ref="A189">IFERROR(INDEX('Product Price'!A:A,SMALL('Product Price'!$D:$D,187)),"")</f>
        <v>OPPO Reno 16F 5G 8/128 GB</v>
      </c>
      <c r="B189" s="2">
        <f t="array" ref="B189">IFERROR(INDEX('Product Price'!B:B,SMALL('Product Price'!$D:$D,187)),"")</f>
        <v>17999</v>
      </c>
      <c r="C189" s="2">
        <f t="array" ref="C189">IFERROR(INDEX('Product Price'!C:C,SMALL('Product Price'!$D:$D,187)),"")</f>
        <v>196</v>
      </c>
      <c r="D189" s="2">
        <f t="shared" si="1"/>
        <v>1450</v>
      </c>
      <c r="E189" s="2">
        <f t="shared" si="2"/>
        <v>19449</v>
      </c>
      <c r="F189" s="2">
        <f t="shared" si="48"/>
        <v>2700</v>
      </c>
      <c r="G189" s="2">
        <f t="shared" si="4"/>
        <v>15299</v>
      </c>
      <c r="H189" s="2">
        <f t="shared" si="5"/>
        <v>16749</v>
      </c>
      <c r="I189" s="2">
        <f t="shared" si="6"/>
        <v>3003</v>
      </c>
      <c r="J189" s="2">
        <f t="shared" si="7"/>
        <v>2067</v>
      </c>
      <c r="K189" s="2">
        <f t="shared" si="8"/>
        <v>1598</v>
      </c>
      <c r="L189" s="2">
        <f t="shared" si="9"/>
        <v>1318</v>
      </c>
      <c r="M189" s="2">
        <f t="shared" si="10"/>
        <v>1130</v>
      </c>
      <c r="N189" s="2">
        <f t="shared" si="11"/>
        <v>896</v>
      </c>
      <c r="O189" s="2">
        <f t="shared" si="12"/>
        <v>3600</v>
      </c>
      <c r="P189" s="2">
        <f t="shared" si="13"/>
        <v>14399</v>
      </c>
      <c r="Q189" s="2">
        <f t="shared" si="14"/>
        <v>15849</v>
      </c>
      <c r="R189" s="2">
        <f t="shared" si="15"/>
        <v>2842</v>
      </c>
      <c r="S189" s="2">
        <f t="shared" si="16"/>
        <v>1956</v>
      </c>
      <c r="T189" s="2">
        <f t="shared" si="17"/>
        <v>1513</v>
      </c>
      <c r="U189" s="2">
        <f t="shared" si="18"/>
        <v>1247</v>
      </c>
      <c r="V189" s="2">
        <f t="shared" si="19"/>
        <v>1070</v>
      </c>
      <c r="W189" s="2">
        <f t="shared" si="20"/>
        <v>849</v>
      </c>
      <c r="X189" s="2">
        <f t="shared" si="21"/>
        <v>4500</v>
      </c>
      <c r="Y189" s="2">
        <f t="shared" si="22"/>
        <v>13499</v>
      </c>
      <c r="Z189" s="2">
        <f t="shared" si="23"/>
        <v>14949</v>
      </c>
      <c r="AA189" s="2">
        <f t="shared" si="24"/>
        <v>2682</v>
      </c>
      <c r="AB189" s="2">
        <f t="shared" si="25"/>
        <v>1846</v>
      </c>
      <c r="AC189" s="2">
        <f t="shared" si="26"/>
        <v>1428</v>
      </c>
      <c r="AD189" s="2">
        <f t="shared" si="27"/>
        <v>1177</v>
      </c>
      <c r="AE189" s="2">
        <f t="shared" si="28"/>
        <v>1010</v>
      </c>
      <c r="AF189" s="2">
        <f t="shared" si="29"/>
        <v>801</v>
      </c>
      <c r="AG189" s="2">
        <f t="shared" si="30"/>
        <v>6300</v>
      </c>
      <c r="AH189" s="2">
        <f t="shared" si="31"/>
        <v>11699</v>
      </c>
      <c r="AI189" s="2">
        <f t="shared" si="32"/>
        <v>13149</v>
      </c>
      <c r="AJ189" s="2">
        <f t="shared" si="33"/>
        <v>2361</v>
      </c>
      <c r="AK189" s="2">
        <f t="shared" si="34"/>
        <v>1625</v>
      </c>
      <c r="AL189" s="2">
        <f t="shared" si="35"/>
        <v>1257</v>
      </c>
      <c r="AM189" s="2">
        <f t="shared" si="36"/>
        <v>1036</v>
      </c>
      <c r="AN189" s="2">
        <f t="shared" si="37"/>
        <v>889</v>
      </c>
      <c r="AO189" s="2">
        <f t="shared" si="38"/>
        <v>705</v>
      </c>
      <c r="AP189" s="2">
        <f t="shared" si="39"/>
        <v>7200</v>
      </c>
      <c r="AQ189" s="2">
        <f t="shared" si="40"/>
        <v>10799</v>
      </c>
      <c r="AR189" s="2">
        <f t="shared" si="41"/>
        <v>12249</v>
      </c>
      <c r="AS189" s="2">
        <f t="shared" si="42"/>
        <v>2201</v>
      </c>
      <c r="AT189" s="2">
        <f t="shared" si="43"/>
        <v>1515</v>
      </c>
      <c r="AU189" s="2">
        <f t="shared" si="44"/>
        <v>1172</v>
      </c>
      <c r="AV189" s="2">
        <f t="shared" si="45"/>
        <v>966</v>
      </c>
      <c r="AW189" s="2">
        <f t="shared" si="46"/>
        <v>829</v>
      </c>
      <c r="AX189" s="2">
        <f t="shared" si="47"/>
        <v>657</v>
      </c>
    </row>
    <row r="190" ht="14.25" customHeight="1">
      <c r="A190" s="2" t="str">
        <f t="array" ref="A190">IFERROR(INDEX('Product Price'!A:A,SMALL('Product Price'!$D:$D,188)),"")</f>
        <v>OPPO Reno 15F 5G 8/256 GB</v>
      </c>
      <c r="B190" s="2">
        <f t="array" ref="B190">IFERROR(INDEX('Product Price'!B:B,SMALL('Product Price'!$D:$D,188)),"")</f>
        <v>14999</v>
      </c>
      <c r="C190" s="2">
        <f t="array" ref="C190">IFERROR(INDEX('Product Price'!C:C,SMALL('Product Price'!$D:$D,188)),"")</f>
        <v>191</v>
      </c>
      <c r="D190" s="2">
        <f t="shared" si="1"/>
        <v>1450</v>
      </c>
      <c r="E190" s="2">
        <f t="shared" si="2"/>
        <v>16449</v>
      </c>
      <c r="F190" s="2">
        <f t="shared" si="48"/>
        <v>2250</v>
      </c>
      <c r="G190" s="2">
        <f t="shared" si="4"/>
        <v>12749</v>
      </c>
      <c r="H190" s="2">
        <f t="shared" si="5"/>
        <v>14199</v>
      </c>
      <c r="I190" s="2">
        <f t="shared" si="6"/>
        <v>2548</v>
      </c>
      <c r="J190" s="2">
        <f t="shared" si="7"/>
        <v>1754</v>
      </c>
      <c r="K190" s="2">
        <f t="shared" si="8"/>
        <v>1357</v>
      </c>
      <c r="L190" s="2">
        <f t="shared" si="9"/>
        <v>1118</v>
      </c>
      <c r="M190" s="2">
        <f t="shared" si="10"/>
        <v>959</v>
      </c>
      <c r="N190" s="2">
        <f t="shared" si="11"/>
        <v>761</v>
      </c>
      <c r="O190" s="2">
        <f t="shared" si="12"/>
        <v>3000</v>
      </c>
      <c r="P190" s="2">
        <f t="shared" si="13"/>
        <v>11999</v>
      </c>
      <c r="Q190" s="2">
        <f t="shared" si="14"/>
        <v>13449</v>
      </c>
      <c r="R190" s="2">
        <f t="shared" si="15"/>
        <v>2415</v>
      </c>
      <c r="S190" s="2">
        <f t="shared" si="16"/>
        <v>1662</v>
      </c>
      <c r="T190" s="2">
        <f t="shared" si="17"/>
        <v>1286</v>
      </c>
      <c r="U190" s="2">
        <f t="shared" si="18"/>
        <v>1060</v>
      </c>
      <c r="V190" s="2">
        <f t="shared" si="19"/>
        <v>909</v>
      </c>
      <c r="W190" s="2">
        <f t="shared" si="20"/>
        <v>721</v>
      </c>
      <c r="X190" s="2">
        <f t="shared" si="21"/>
        <v>3750</v>
      </c>
      <c r="Y190" s="2">
        <f t="shared" si="22"/>
        <v>11249</v>
      </c>
      <c r="Z190" s="2">
        <f t="shared" si="23"/>
        <v>12699</v>
      </c>
      <c r="AA190" s="2">
        <f t="shared" si="24"/>
        <v>2281</v>
      </c>
      <c r="AB190" s="2">
        <f t="shared" si="25"/>
        <v>1570</v>
      </c>
      <c r="AC190" s="2">
        <f t="shared" si="26"/>
        <v>1214</v>
      </c>
      <c r="AD190" s="2">
        <f t="shared" si="27"/>
        <v>1001</v>
      </c>
      <c r="AE190" s="2">
        <f t="shared" si="28"/>
        <v>859</v>
      </c>
      <c r="AF190" s="2">
        <f t="shared" si="29"/>
        <v>681</v>
      </c>
      <c r="AG190" s="2">
        <f t="shared" si="30"/>
        <v>5250</v>
      </c>
      <c r="AH190" s="2">
        <f t="shared" si="31"/>
        <v>9749</v>
      </c>
      <c r="AI190" s="2">
        <f t="shared" si="32"/>
        <v>11199</v>
      </c>
      <c r="AJ190" s="2">
        <f t="shared" si="33"/>
        <v>2014</v>
      </c>
      <c r="AK190" s="2">
        <f t="shared" si="34"/>
        <v>1386</v>
      </c>
      <c r="AL190" s="2">
        <f t="shared" si="35"/>
        <v>1072</v>
      </c>
      <c r="AM190" s="2">
        <f t="shared" si="36"/>
        <v>884</v>
      </c>
      <c r="AN190" s="2">
        <f t="shared" si="37"/>
        <v>758</v>
      </c>
      <c r="AO190" s="2">
        <f t="shared" si="38"/>
        <v>601</v>
      </c>
      <c r="AP190" s="2">
        <f t="shared" si="39"/>
        <v>6000</v>
      </c>
      <c r="AQ190" s="2">
        <f t="shared" si="40"/>
        <v>8999</v>
      </c>
      <c r="AR190" s="2">
        <f t="shared" si="41"/>
        <v>10449</v>
      </c>
      <c r="AS190" s="2">
        <f t="shared" si="42"/>
        <v>1880</v>
      </c>
      <c r="AT190" s="2">
        <f t="shared" si="43"/>
        <v>1294</v>
      </c>
      <c r="AU190" s="2">
        <f t="shared" si="44"/>
        <v>1001</v>
      </c>
      <c r="AV190" s="2">
        <f t="shared" si="45"/>
        <v>825</v>
      </c>
      <c r="AW190" s="2">
        <f t="shared" si="46"/>
        <v>708</v>
      </c>
      <c r="AX190" s="2">
        <f t="shared" si="47"/>
        <v>561</v>
      </c>
    </row>
    <row r="191" ht="14.25" customHeight="1">
      <c r="A191" s="2" t="str">
        <f t="array" ref="A191">IFERROR(INDEX('Product Price'!A:A,SMALL('Product Price'!$D:$D,189)),"")</f>
        <v>OPPO A7 ProMax 5G 8/256 GB</v>
      </c>
      <c r="B191" s="2">
        <f t="array" ref="B191">IFERROR(INDEX('Product Price'!B:B,SMALL('Product Price'!$D:$D,189)),"")</f>
        <v>19999</v>
      </c>
      <c r="C191" s="2">
        <f t="array" ref="C191">IFERROR(INDEX('Product Price'!C:C,SMALL('Product Price'!$D:$D,189)),"")</f>
        <v>250</v>
      </c>
      <c r="D191" s="2">
        <f t="shared" si="1"/>
        <v>1450</v>
      </c>
      <c r="E191" s="2">
        <f t="shared" si="2"/>
        <v>21449</v>
      </c>
      <c r="F191" s="2">
        <f t="shared" si="48"/>
        <v>3000</v>
      </c>
      <c r="G191" s="2">
        <f t="shared" si="4"/>
        <v>16999</v>
      </c>
      <c r="H191" s="2">
        <f t="shared" si="5"/>
        <v>18449</v>
      </c>
      <c r="I191" s="2">
        <f t="shared" si="6"/>
        <v>3306</v>
      </c>
      <c r="J191" s="2">
        <f t="shared" si="7"/>
        <v>2275</v>
      </c>
      <c r="K191" s="2">
        <f t="shared" si="8"/>
        <v>1760</v>
      </c>
      <c r="L191" s="2">
        <f t="shared" si="9"/>
        <v>1451</v>
      </c>
      <c r="M191" s="2">
        <f t="shared" si="10"/>
        <v>1244</v>
      </c>
      <c r="N191" s="2">
        <f t="shared" si="11"/>
        <v>987</v>
      </c>
      <c r="O191" s="2">
        <f t="shared" si="12"/>
        <v>4000</v>
      </c>
      <c r="P191" s="2">
        <f t="shared" si="13"/>
        <v>15999</v>
      </c>
      <c r="Q191" s="2">
        <f t="shared" si="14"/>
        <v>17449</v>
      </c>
      <c r="R191" s="2">
        <f t="shared" si="15"/>
        <v>3127</v>
      </c>
      <c r="S191" s="2">
        <f t="shared" si="16"/>
        <v>2152</v>
      </c>
      <c r="T191" s="2">
        <f t="shared" si="17"/>
        <v>1665</v>
      </c>
      <c r="U191" s="2">
        <f t="shared" si="18"/>
        <v>1372</v>
      </c>
      <c r="V191" s="2">
        <f t="shared" si="19"/>
        <v>1177</v>
      </c>
      <c r="W191" s="2">
        <f t="shared" si="20"/>
        <v>934</v>
      </c>
      <c r="X191" s="2">
        <f t="shared" si="21"/>
        <v>5000</v>
      </c>
      <c r="Y191" s="2">
        <f t="shared" si="22"/>
        <v>14999</v>
      </c>
      <c r="Z191" s="2">
        <f t="shared" si="23"/>
        <v>16449</v>
      </c>
      <c r="AA191" s="2">
        <f t="shared" si="24"/>
        <v>2949</v>
      </c>
      <c r="AB191" s="2">
        <f t="shared" si="25"/>
        <v>2030</v>
      </c>
      <c r="AC191" s="2">
        <f t="shared" si="26"/>
        <v>1570</v>
      </c>
      <c r="AD191" s="2">
        <f t="shared" si="27"/>
        <v>1294</v>
      </c>
      <c r="AE191" s="2">
        <f t="shared" si="28"/>
        <v>1110</v>
      </c>
      <c r="AF191" s="2">
        <f t="shared" si="29"/>
        <v>880</v>
      </c>
      <c r="AG191" s="2">
        <f t="shared" si="30"/>
        <v>7000</v>
      </c>
      <c r="AH191" s="2">
        <f t="shared" si="31"/>
        <v>12999</v>
      </c>
      <c r="AI191" s="2">
        <f t="shared" si="32"/>
        <v>14449</v>
      </c>
      <c r="AJ191" s="2">
        <f t="shared" si="33"/>
        <v>2593</v>
      </c>
      <c r="AK191" s="2">
        <f t="shared" si="34"/>
        <v>1785</v>
      </c>
      <c r="AL191" s="2">
        <f t="shared" si="35"/>
        <v>1380</v>
      </c>
      <c r="AM191" s="2">
        <f t="shared" si="36"/>
        <v>1138</v>
      </c>
      <c r="AN191" s="2">
        <f t="shared" si="37"/>
        <v>976</v>
      </c>
      <c r="AO191" s="2">
        <f t="shared" si="38"/>
        <v>774</v>
      </c>
      <c r="AP191" s="2">
        <f t="shared" si="39"/>
        <v>8000</v>
      </c>
      <c r="AQ191" s="2">
        <f t="shared" si="40"/>
        <v>11999</v>
      </c>
      <c r="AR191" s="2">
        <f t="shared" si="41"/>
        <v>13449</v>
      </c>
      <c r="AS191" s="2">
        <f t="shared" si="42"/>
        <v>2415</v>
      </c>
      <c r="AT191" s="2">
        <f t="shared" si="43"/>
        <v>1662</v>
      </c>
      <c r="AU191" s="2">
        <f t="shared" si="44"/>
        <v>1286</v>
      </c>
      <c r="AV191" s="2">
        <f t="shared" si="45"/>
        <v>1060</v>
      </c>
      <c r="AW191" s="2">
        <f t="shared" si="46"/>
        <v>909</v>
      </c>
      <c r="AX191" s="2">
        <f t="shared" si="47"/>
        <v>721</v>
      </c>
    </row>
    <row r="192" ht="14.25" customHeight="1">
      <c r="A192" s="2" t="str">
        <f t="array" ref="A192">IFERROR(INDEX('Product Price'!A:A,SMALL('Product Price'!$D:$D,190)),"")</f>
        <v>OPPO A7 Pro 5G 8/256 GB</v>
      </c>
      <c r="B192" s="2">
        <f t="array" ref="B192">IFERROR(INDEX('Product Price'!B:B,SMALL('Product Price'!$D:$D,190)),"")</f>
        <v>15999</v>
      </c>
      <c r="C192" s="2">
        <f t="array" ref="C192">IFERROR(INDEX('Product Price'!C:C,SMALL('Product Price'!$D:$D,190)),"")</f>
        <v>251</v>
      </c>
      <c r="D192" s="2">
        <f t="shared" si="1"/>
        <v>1450</v>
      </c>
      <c r="E192" s="2">
        <f t="shared" si="2"/>
        <v>17449</v>
      </c>
      <c r="F192" s="2">
        <f t="shared" si="48"/>
        <v>2400</v>
      </c>
      <c r="G192" s="2">
        <f t="shared" si="4"/>
        <v>13599</v>
      </c>
      <c r="H192" s="2">
        <f t="shared" si="5"/>
        <v>15049</v>
      </c>
      <c r="I192" s="2">
        <f t="shared" si="6"/>
        <v>2700</v>
      </c>
      <c r="J192" s="2">
        <f t="shared" si="7"/>
        <v>1858</v>
      </c>
      <c r="K192" s="2">
        <f t="shared" si="8"/>
        <v>1437</v>
      </c>
      <c r="L192" s="2">
        <f t="shared" si="9"/>
        <v>1185</v>
      </c>
      <c r="M192" s="2">
        <f t="shared" si="10"/>
        <v>1016</v>
      </c>
      <c r="N192" s="2">
        <f t="shared" si="11"/>
        <v>806</v>
      </c>
      <c r="O192" s="2">
        <f t="shared" si="12"/>
        <v>3200</v>
      </c>
      <c r="P192" s="2">
        <f t="shared" si="13"/>
        <v>12799</v>
      </c>
      <c r="Q192" s="2">
        <f t="shared" si="14"/>
        <v>14249</v>
      </c>
      <c r="R192" s="2">
        <f t="shared" si="15"/>
        <v>2557</v>
      </c>
      <c r="S192" s="2">
        <f t="shared" si="16"/>
        <v>1760</v>
      </c>
      <c r="T192" s="2">
        <f t="shared" si="17"/>
        <v>1361</v>
      </c>
      <c r="U192" s="2">
        <f t="shared" si="18"/>
        <v>1122</v>
      </c>
      <c r="V192" s="2">
        <f t="shared" si="19"/>
        <v>963</v>
      </c>
      <c r="W192" s="2">
        <f t="shared" si="20"/>
        <v>763</v>
      </c>
      <c r="X192" s="2">
        <f t="shared" si="21"/>
        <v>4000</v>
      </c>
      <c r="Y192" s="2">
        <f t="shared" si="22"/>
        <v>11999</v>
      </c>
      <c r="Z192" s="2">
        <f t="shared" si="23"/>
        <v>13449</v>
      </c>
      <c r="AA192" s="2">
        <f t="shared" si="24"/>
        <v>2415</v>
      </c>
      <c r="AB192" s="2">
        <f t="shared" si="25"/>
        <v>1662</v>
      </c>
      <c r="AC192" s="2">
        <f t="shared" si="26"/>
        <v>1286</v>
      </c>
      <c r="AD192" s="2">
        <f t="shared" si="27"/>
        <v>1060</v>
      </c>
      <c r="AE192" s="2">
        <f t="shared" si="28"/>
        <v>909</v>
      </c>
      <c r="AF192" s="2">
        <f t="shared" si="29"/>
        <v>721</v>
      </c>
      <c r="AG192" s="2">
        <f t="shared" si="30"/>
        <v>5600</v>
      </c>
      <c r="AH192" s="2">
        <f t="shared" si="31"/>
        <v>10399</v>
      </c>
      <c r="AI192" s="2">
        <f t="shared" si="32"/>
        <v>11849</v>
      </c>
      <c r="AJ192" s="2">
        <f t="shared" si="33"/>
        <v>2130</v>
      </c>
      <c r="AK192" s="2">
        <f t="shared" si="34"/>
        <v>1466</v>
      </c>
      <c r="AL192" s="2">
        <f t="shared" si="35"/>
        <v>1134</v>
      </c>
      <c r="AM192" s="2">
        <f t="shared" si="36"/>
        <v>935</v>
      </c>
      <c r="AN192" s="2">
        <f t="shared" si="37"/>
        <v>802</v>
      </c>
      <c r="AO192" s="2">
        <f t="shared" si="38"/>
        <v>636</v>
      </c>
      <c r="AP192" s="2">
        <f t="shared" si="39"/>
        <v>6400</v>
      </c>
      <c r="AQ192" s="2">
        <f t="shared" si="40"/>
        <v>9599</v>
      </c>
      <c r="AR192" s="2">
        <f t="shared" si="41"/>
        <v>11049</v>
      </c>
      <c r="AS192" s="2">
        <f t="shared" si="42"/>
        <v>1987</v>
      </c>
      <c r="AT192" s="2">
        <f t="shared" si="43"/>
        <v>1368</v>
      </c>
      <c r="AU192" s="2">
        <f t="shared" si="44"/>
        <v>1058</v>
      </c>
      <c r="AV192" s="2">
        <f t="shared" si="45"/>
        <v>872</v>
      </c>
      <c r="AW192" s="2">
        <f t="shared" si="46"/>
        <v>748</v>
      </c>
      <c r="AX192" s="2">
        <f t="shared" si="47"/>
        <v>593</v>
      </c>
    </row>
    <row r="193" ht="14.25" customHeight="1">
      <c r="A193" s="2" t="str">
        <f t="array" ref="A193">IFERROR(INDEX('Product Price'!A:A,SMALL('Product Price'!$D:$D,191)),"")</f>
        <v>OPPO A7 Pro 5G 8/128 GB</v>
      </c>
      <c r="B193" s="2">
        <f t="array" ref="B193">IFERROR(INDEX('Product Price'!B:B,SMALL('Product Price'!$D:$D,191)),"")</f>
        <v>13999</v>
      </c>
      <c r="C193" s="2">
        <f t="array" ref="C193">IFERROR(INDEX('Product Price'!C:C,SMALL('Product Price'!$D:$D,191)),"")</f>
        <v>252</v>
      </c>
      <c r="D193" s="2">
        <f t="shared" si="1"/>
        <v>1450</v>
      </c>
      <c r="E193" s="2">
        <f t="shared" si="2"/>
        <v>15449</v>
      </c>
      <c r="F193" s="2">
        <f t="shared" si="48"/>
        <v>2100</v>
      </c>
      <c r="G193" s="2">
        <f t="shared" si="4"/>
        <v>11899</v>
      </c>
      <c r="H193" s="2">
        <f t="shared" si="5"/>
        <v>13349</v>
      </c>
      <c r="I193" s="2">
        <f t="shared" si="6"/>
        <v>2397</v>
      </c>
      <c r="J193" s="2">
        <f t="shared" si="7"/>
        <v>1650</v>
      </c>
      <c r="K193" s="2">
        <f t="shared" si="8"/>
        <v>1276</v>
      </c>
      <c r="L193" s="2">
        <f t="shared" si="9"/>
        <v>1052</v>
      </c>
      <c r="M193" s="2">
        <f t="shared" si="10"/>
        <v>902</v>
      </c>
      <c r="N193" s="2">
        <f t="shared" si="11"/>
        <v>716</v>
      </c>
      <c r="O193" s="2">
        <f t="shared" si="12"/>
        <v>2800</v>
      </c>
      <c r="P193" s="2">
        <f t="shared" si="13"/>
        <v>11199</v>
      </c>
      <c r="Q193" s="2">
        <f t="shared" si="14"/>
        <v>12649</v>
      </c>
      <c r="R193" s="2">
        <f t="shared" si="15"/>
        <v>2272</v>
      </c>
      <c r="S193" s="2">
        <f t="shared" si="16"/>
        <v>1564</v>
      </c>
      <c r="T193" s="2">
        <f t="shared" si="17"/>
        <v>1210</v>
      </c>
      <c r="U193" s="2">
        <f t="shared" si="18"/>
        <v>997</v>
      </c>
      <c r="V193" s="2">
        <f t="shared" si="19"/>
        <v>855</v>
      </c>
      <c r="W193" s="2">
        <f t="shared" si="20"/>
        <v>678</v>
      </c>
      <c r="X193" s="2">
        <f t="shared" si="21"/>
        <v>3500</v>
      </c>
      <c r="Y193" s="2">
        <f t="shared" si="22"/>
        <v>10499</v>
      </c>
      <c r="Z193" s="2">
        <f t="shared" si="23"/>
        <v>11949</v>
      </c>
      <c r="AA193" s="2">
        <f t="shared" si="24"/>
        <v>2147</v>
      </c>
      <c r="AB193" s="2">
        <f t="shared" si="25"/>
        <v>1478</v>
      </c>
      <c r="AC193" s="2">
        <f t="shared" si="26"/>
        <v>1143</v>
      </c>
      <c r="AD193" s="2">
        <f t="shared" si="27"/>
        <v>942</v>
      </c>
      <c r="AE193" s="2">
        <f t="shared" si="28"/>
        <v>809</v>
      </c>
      <c r="AF193" s="2">
        <f t="shared" si="29"/>
        <v>641</v>
      </c>
      <c r="AG193" s="2">
        <f t="shared" si="30"/>
        <v>4900</v>
      </c>
      <c r="AH193" s="2">
        <f t="shared" si="31"/>
        <v>9099</v>
      </c>
      <c r="AI193" s="2">
        <f t="shared" si="32"/>
        <v>10549</v>
      </c>
      <c r="AJ193" s="2">
        <f t="shared" si="33"/>
        <v>1898</v>
      </c>
      <c r="AK193" s="2">
        <f t="shared" si="34"/>
        <v>1306</v>
      </c>
      <c r="AL193" s="2">
        <f t="shared" si="35"/>
        <v>1011</v>
      </c>
      <c r="AM193" s="2">
        <f t="shared" si="36"/>
        <v>833</v>
      </c>
      <c r="AN193" s="2">
        <f t="shared" si="37"/>
        <v>715</v>
      </c>
      <c r="AO193" s="2">
        <f t="shared" si="38"/>
        <v>567</v>
      </c>
      <c r="AP193" s="2">
        <f t="shared" si="39"/>
        <v>5600</v>
      </c>
      <c r="AQ193" s="2">
        <f t="shared" si="40"/>
        <v>8399</v>
      </c>
      <c r="AR193" s="2">
        <f t="shared" si="41"/>
        <v>9849</v>
      </c>
      <c r="AS193" s="2">
        <f t="shared" si="42"/>
        <v>1773</v>
      </c>
      <c r="AT193" s="2">
        <f t="shared" si="43"/>
        <v>1221</v>
      </c>
      <c r="AU193" s="2">
        <f t="shared" si="44"/>
        <v>944</v>
      </c>
      <c r="AV193" s="2">
        <f t="shared" si="45"/>
        <v>778</v>
      </c>
      <c r="AW193" s="2">
        <f t="shared" si="46"/>
        <v>668</v>
      </c>
      <c r="AX193" s="2">
        <f t="shared" si="47"/>
        <v>530</v>
      </c>
    </row>
    <row r="194" ht="14.25" customHeight="1">
      <c r="A194" s="2" t="str">
        <f t="array" ref="A194">IFERROR(INDEX('Product Price'!A:A,SMALL('Product Price'!$D:$D,192)),"")</f>
        <v>OPPO A6s 5G 8/256 GB</v>
      </c>
      <c r="B194" s="2">
        <f t="array" ref="B194">IFERROR(INDEX('Product Price'!B:B,SMALL('Product Price'!$D:$D,192)),"")</f>
        <v>14999</v>
      </c>
      <c r="C194" s="2">
        <f t="array" ref="C194">IFERROR(INDEX('Product Price'!C:C,SMALL('Product Price'!$D:$D,192)),"")</f>
        <v>197</v>
      </c>
      <c r="D194" s="2">
        <f t="shared" si="1"/>
        <v>1450</v>
      </c>
      <c r="E194" s="2">
        <f t="shared" si="2"/>
        <v>16449</v>
      </c>
      <c r="F194" s="2">
        <f t="shared" si="48"/>
        <v>2250</v>
      </c>
      <c r="G194" s="2">
        <f t="shared" si="4"/>
        <v>12749</v>
      </c>
      <c r="H194" s="2">
        <f t="shared" si="5"/>
        <v>14199</v>
      </c>
      <c r="I194" s="2">
        <f t="shared" si="6"/>
        <v>2548</v>
      </c>
      <c r="J194" s="2">
        <f t="shared" si="7"/>
        <v>1754</v>
      </c>
      <c r="K194" s="2">
        <f t="shared" si="8"/>
        <v>1357</v>
      </c>
      <c r="L194" s="2">
        <f t="shared" si="9"/>
        <v>1118</v>
      </c>
      <c r="M194" s="2">
        <f t="shared" si="10"/>
        <v>959</v>
      </c>
      <c r="N194" s="2">
        <f t="shared" si="11"/>
        <v>761</v>
      </c>
      <c r="O194" s="2">
        <f t="shared" si="12"/>
        <v>3000</v>
      </c>
      <c r="P194" s="2">
        <f t="shared" si="13"/>
        <v>11999</v>
      </c>
      <c r="Q194" s="2">
        <f t="shared" si="14"/>
        <v>13449</v>
      </c>
      <c r="R194" s="2">
        <f t="shared" si="15"/>
        <v>2415</v>
      </c>
      <c r="S194" s="2">
        <f t="shared" si="16"/>
        <v>1662</v>
      </c>
      <c r="T194" s="2">
        <f t="shared" si="17"/>
        <v>1286</v>
      </c>
      <c r="U194" s="2">
        <f t="shared" si="18"/>
        <v>1060</v>
      </c>
      <c r="V194" s="2">
        <f t="shared" si="19"/>
        <v>909</v>
      </c>
      <c r="W194" s="2">
        <f t="shared" si="20"/>
        <v>721</v>
      </c>
      <c r="X194" s="2">
        <f t="shared" si="21"/>
        <v>3750</v>
      </c>
      <c r="Y194" s="2">
        <f t="shared" si="22"/>
        <v>11249</v>
      </c>
      <c r="Z194" s="2">
        <f t="shared" si="23"/>
        <v>12699</v>
      </c>
      <c r="AA194" s="2">
        <f t="shared" si="24"/>
        <v>2281</v>
      </c>
      <c r="AB194" s="2">
        <f t="shared" si="25"/>
        <v>1570</v>
      </c>
      <c r="AC194" s="2">
        <f t="shared" si="26"/>
        <v>1214</v>
      </c>
      <c r="AD194" s="2">
        <f t="shared" si="27"/>
        <v>1001</v>
      </c>
      <c r="AE194" s="2">
        <f t="shared" si="28"/>
        <v>859</v>
      </c>
      <c r="AF194" s="2">
        <f t="shared" si="29"/>
        <v>681</v>
      </c>
      <c r="AG194" s="2">
        <f t="shared" si="30"/>
        <v>5250</v>
      </c>
      <c r="AH194" s="2">
        <f t="shared" si="31"/>
        <v>9749</v>
      </c>
      <c r="AI194" s="2">
        <f t="shared" si="32"/>
        <v>11199</v>
      </c>
      <c r="AJ194" s="2">
        <f t="shared" si="33"/>
        <v>2014</v>
      </c>
      <c r="AK194" s="2">
        <f t="shared" si="34"/>
        <v>1386</v>
      </c>
      <c r="AL194" s="2">
        <f t="shared" si="35"/>
        <v>1072</v>
      </c>
      <c r="AM194" s="2">
        <f t="shared" si="36"/>
        <v>884</v>
      </c>
      <c r="AN194" s="2">
        <f t="shared" si="37"/>
        <v>758</v>
      </c>
      <c r="AO194" s="2">
        <f t="shared" si="38"/>
        <v>601</v>
      </c>
      <c r="AP194" s="2">
        <f t="shared" si="39"/>
        <v>6000</v>
      </c>
      <c r="AQ194" s="2">
        <f t="shared" si="40"/>
        <v>8999</v>
      </c>
      <c r="AR194" s="2">
        <f t="shared" si="41"/>
        <v>10449</v>
      </c>
      <c r="AS194" s="2">
        <f t="shared" si="42"/>
        <v>1880</v>
      </c>
      <c r="AT194" s="2">
        <f t="shared" si="43"/>
        <v>1294</v>
      </c>
      <c r="AU194" s="2">
        <f t="shared" si="44"/>
        <v>1001</v>
      </c>
      <c r="AV194" s="2">
        <f t="shared" si="45"/>
        <v>825</v>
      </c>
      <c r="AW194" s="2">
        <f t="shared" si="46"/>
        <v>708</v>
      </c>
      <c r="AX194" s="2">
        <f t="shared" si="47"/>
        <v>561</v>
      </c>
    </row>
    <row r="195" ht="14.25" customHeight="1">
      <c r="A195" s="2" t="str">
        <f t="array" ref="A195">IFERROR(INDEX('Product Price'!A:A,SMALL('Product Price'!$D:$D,193)),"")</f>
        <v>OPPO A6s 5G 8/128 GB</v>
      </c>
      <c r="B195" s="2">
        <f t="array" ref="B195">IFERROR(INDEX('Product Price'!B:B,SMALL('Product Price'!$D:$D,193)),"")</f>
        <v>11999</v>
      </c>
      <c r="C195" s="2">
        <f t="array" ref="C195">IFERROR(INDEX('Product Price'!C:C,SMALL('Product Price'!$D:$D,193)),"")</f>
        <v>198</v>
      </c>
      <c r="D195" s="2">
        <f t="shared" si="1"/>
        <v>1450</v>
      </c>
      <c r="E195" s="2">
        <f t="shared" si="2"/>
        <v>13449</v>
      </c>
      <c r="F195" s="2">
        <f t="shared" si="48"/>
        <v>1800</v>
      </c>
      <c r="G195" s="2">
        <f t="shared" si="4"/>
        <v>10199</v>
      </c>
      <c r="H195" s="2">
        <f t="shared" si="5"/>
        <v>11649</v>
      </c>
      <c r="I195" s="2">
        <f t="shared" si="6"/>
        <v>2094</v>
      </c>
      <c r="J195" s="2">
        <f t="shared" si="7"/>
        <v>1441</v>
      </c>
      <c r="K195" s="2">
        <f t="shared" si="8"/>
        <v>1115</v>
      </c>
      <c r="L195" s="2">
        <f t="shared" si="9"/>
        <v>919</v>
      </c>
      <c r="M195" s="2">
        <f t="shared" si="10"/>
        <v>788</v>
      </c>
      <c r="N195" s="2">
        <f t="shared" si="11"/>
        <v>625</v>
      </c>
      <c r="O195" s="2">
        <f t="shared" si="12"/>
        <v>2400</v>
      </c>
      <c r="P195" s="2">
        <f t="shared" si="13"/>
        <v>9599</v>
      </c>
      <c r="Q195" s="2">
        <f t="shared" si="14"/>
        <v>11049</v>
      </c>
      <c r="R195" s="2">
        <f t="shared" si="15"/>
        <v>1987</v>
      </c>
      <c r="S195" s="2">
        <f t="shared" si="16"/>
        <v>1368</v>
      </c>
      <c r="T195" s="2">
        <f t="shared" si="17"/>
        <v>1058</v>
      </c>
      <c r="U195" s="2">
        <f t="shared" si="18"/>
        <v>872</v>
      </c>
      <c r="V195" s="2">
        <f t="shared" si="19"/>
        <v>748</v>
      </c>
      <c r="W195" s="2">
        <f t="shared" si="20"/>
        <v>593</v>
      </c>
      <c r="X195" s="2">
        <f t="shared" si="21"/>
        <v>3000</v>
      </c>
      <c r="Y195" s="2">
        <f t="shared" si="22"/>
        <v>8999</v>
      </c>
      <c r="Z195" s="2">
        <f t="shared" si="23"/>
        <v>10449</v>
      </c>
      <c r="AA195" s="2">
        <f t="shared" si="24"/>
        <v>1880</v>
      </c>
      <c r="AB195" s="2">
        <f t="shared" si="25"/>
        <v>1294</v>
      </c>
      <c r="AC195" s="2">
        <f t="shared" si="26"/>
        <v>1001</v>
      </c>
      <c r="AD195" s="2">
        <f t="shared" si="27"/>
        <v>825</v>
      </c>
      <c r="AE195" s="2">
        <f t="shared" si="28"/>
        <v>708</v>
      </c>
      <c r="AF195" s="2">
        <f t="shared" si="29"/>
        <v>561</v>
      </c>
      <c r="AG195" s="2">
        <f t="shared" si="30"/>
        <v>4200</v>
      </c>
      <c r="AH195" s="2">
        <f t="shared" si="31"/>
        <v>7799</v>
      </c>
      <c r="AI195" s="2">
        <f t="shared" si="32"/>
        <v>9249</v>
      </c>
      <c r="AJ195" s="2">
        <f t="shared" si="33"/>
        <v>1666</v>
      </c>
      <c r="AK195" s="2">
        <f t="shared" si="34"/>
        <v>1147</v>
      </c>
      <c r="AL195" s="2">
        <f t="shared" si="35"/>
        <v>887</v>
      </c>
      <c r="AM195" s="2">
        <f t="shared" si="36"/>
        <v>731</v>
      </c>
      <c r="AN195" s="2">
        <f t="shared" si="37"/>
        <v>628</v>
      </c>
      <c r="AO195" s="2">
        <f t="shared" si="38"/>
        <v>498</v>
      </c>
      <c r="AP195" s="2">
        <f t="shared" si="39"/>
        <v>4800</v>
      </c>
      <c r="AQ195" s="2">
        <f t="shared" si="40"/>
        <v>7199</v>
      </c>
      <c r="AR195" s="2">
        <f t="shared" si="41"/>
        <v>8649</v>
      </c>
      <c r="AS195" s="2">
        <f t="shared" si="42"/>
        <v>1560</v>
      </c>
      <c r="AT195" s="2">
        <f t="shared" si="43"/>
        <v>1073</v>
      </c>
      <c r="AU195" s="2">
        <f t="shared" si="44"/>
        <v>830</v>
      </c>
      <c r="AV195" s="2">
        <f t="shared" si="45"/>
        <v>684</v>
      </c>
      <c r="AW195" s="2">
        <f t="shared" si="46"/>
        <v>587</v>
      </c>
      <c r="AX195" s="2" t="str">
        <f t="shared" si="47"/>
        <v>-</v>
      </c>
    </row>
    <row r="196" ht="14.25" customHeight="1">
      <c r="A196" s="2" t="str">
        <f t="array" ref="A196">IFERROR(INDEX('Product Price'!A:A,SMALL('Product Price'!$D:$D,194)),"")</f>
        <v>OPPO A6 5G 6/128 GB</v>
      </c>
      <c r="B196" s="2">
        <f t="array" ref="B196">IFERROR(INDEX('Product Price'!B:B,SMALL('Product Price'!$D:$D,194)),"")</f>
        <v>8499</v>
      </c>
      <c r="C196" s="2">
        <f t="array" ref="C196">IFERROR(INDEX('Product Price'!C:C,SMALL('Product Price'!$D:$D,194)),"")</f>
        <v>199</v>
      </c>
      <c r="D196" s="2">
        <f t="shared" si="1"/>
        <v>795</v>
      </c>
      <c r="E196" s="2">
        <f t="shared" si="2"/>
        <v>9294</v>
      </c>
      <c r="F196" s="2">
        <f t="shared" si="48"/>
        <v>1275</v>
      </c>
      <c r="G196" s="2">
        <f t="shared" si="4"/>
        <v>7224</v>
      </c>
      <c r="H196" s="2">
        <f t="shared" si="5"/>
        <v>8019</v>
      </c>
      <c r="I196" s="2">
        <f t="shared" si="6"/>
        <v>1439</v>
      </c>
      <c r="J196" s="2">
        <f t="shared" si="7"/>
        <v>991</v>
      </c>
      <c r="K196" s="2">
        <f t="shared" si="8"/>
        <v>766</v>
      </c>
      <c r="L196" s="2">
        <f t="shared" si="9"/>
        <v>632</v>
      </c>
      <c r="M196" s="2">
        <f t="shared" si="10"/>
        <v>542</v>
      </c>
      <c r="N196" s="2" t="str">
        <f t="shared" si="11"/>
        <v>-</v>
      </c>
      <c r="O196" s="2">
        <f t="shared" si="12"/>
        <v>1700</v>
      </c>
      <c r="P196" s="2">
        <f t="shared" si="13"/>
        <v>6799</v>
      </c>
      <c r="Q196" s="2">
        <f t="shared" si="14"/>
        <v>7594</v>
      </c>
      <c r="R196" s="2">
        <f t="shared" si="15"/>
        <v>1363</v>
      </c>
      <c r="S196" s="2">
        <f t="shared" si="16"/>
        <v>938</v>
      </c>
      <c r="T196" s="2">
        <f t="shared" si="17"/>
        <v>726</v>
      </c>
      <c r="U196" s="2">
        <f t="shared" si="18"/>
        <v>598</v>
      </c>
      <c r="V196" s="2">
        <f t="shared" si="19"/>
        <v>513</v>
      </c>
      <c r="W196" s="2" t="str">
        <f t="shared" si="20"/>
        <v>-</v>
      </c>
      <c r="X196" s="2">
        <f t="shared" si="21"/>
        <v>2125</v>
      </c>
      <c r="Y196" s="2">
        <f t="shared" si="22"/>
        <v>6374</v>
      </c>
      <c r="Z196" s="2">
        <f t="shared" si="23"/>
        <v>7169</v>
      </c>
      <c r="AA196" s="2">
        <f t="shared" si="24"/>
        <v>1288</v>
      </c>
      <c r="AB196" s="2">
        <f t="shared" si="25"/>
        <v>886</v>
      </c>
      <c r="AC196" s="2">
        <f t="shared" si="26"/>
        <v>686</v>
      </c>
      <c r="AD196" s="2">
        <f t="shared" si="27"/>
        <v>565</v>
      </c>
      <c r="AE196" s="2">
        <f t="shared" si="28"/>
        <v>485</v>
      </c>
      <c r="AF196" s="2" t="str">
        <f t="shared" si="29"/>
        <v>-</v>
      </c>
      <c r="AG196" s="2">
        <f t="shared" si="30"/>
        <v>2975</v>
      </c>
      <c r="AH196" s="2">
        <f t="shared" si="31"/>
        <v>5524</v>
      </c>
      <c r="AI196" s="2">
        <f t="shared" si="32"/>
        <v>6319</v>
      </c>
      <c r="AJ196" s="2">
        <f t="shared" si="33"/>
        <v>1136</v>
      </c>
      <c r="AK196" s="2">
        <f t="shared" si="34"/>
        <v>782</v>
      </c>
      <c r="AL196" s="2">
        <f t="shared" si="35"/>
        <v>605</v>
      </c>
      <c r="AM196" s="2">
        <f t="shared" si="36"/>
        <v>499</v>
      </c>
      <c r="AN196" s="2" t="str">
        <f t="shared" si="37"/>
        <v>-</v>
      </c>
      <c r="AO196" s="2" t="str">
        <f t="shared" si="38"/>
        <v>-</v>
      </c>
      <c r="AP196" s="2">
        <f t="shared" si="39"/>
        <v>3400</v>
      </c>
      <c r="AQ196" s="2">
        <f t="shared" si="40"/>
        <v>5099</v>
      </c>
      <c r="AR196" s="2">
        <f t="shared" si="41"/>
        <v>5894</v>
      </c>
      <c r="AS196" s="2">
        <f t="shared" si="42"/>
        <v>1061</v>
      </c>
      <c r="AT196" s="2">
        <f t="shared" si="43"/>
        <v>730</v>
      </c>
      <c r="AU196" s="2">
        <f t="shared" si="44"/>
        <v>565</v>
      </c>
      <c r="AV196" s="2" t="str">
        <f t="shared" si="45"/>
        <v>-</v>
      </c>
      <c r="AW196" s="2" t="str">
        <f t="shared" si="46"/>
        <v>-</v>
      </c>
      <c r="AX196" s="2" t="str">
        <f t="shared" si="47"/>
        <v>-</v>
      </c>
    </row>
    <row r="197" ht="14.25" customHeight="1">
      <c r="A197" s="2" t="str">
        <f t="array" ref="A197">IFERROR(INDEX('Product Price'!A:A,SMALL('Product Price'!$D:$D,195)),"")</f>
        <v>OPPO A6 4G 6/128 GB</v>
      </c>
      <c r="B197" s="2">
        <f t="array" ref="B197">IFERROR(INDEX('Product Price'!B:B,SMALL('Product Price'!$D:$D,195)),"")</f>
        <v>6499</v>
      </c>
      <c r="C197" s="2">
        <f t="array" ref="C197">IFERROR(INDEX('Product Price'!C:C,SMALL('Product Price'!$D:$D,195)),"")</f>
        <v>200</v>
      </c>
      <c r="D197" s="2">
        <f t="shared" si="1"/>
        <v>795</v>
      </c>
      <c r="E197" s="2">
        <f t="shared" si="2"/>
        <v>7294</v>
      </c>
      <c r="F197" s="2">
        <f t="shared" si="48"/>
        <v>975</v>
      </c>
      <c r="G197" s="2">
        <f t="shared" si="4"/>
        <v>5524</v>
      </c>
      <c r="H197" s="2">
        <f t="shared" si="5"/>
        <v>6319</v>
      </c>
      <c r="I197" s="2">
        <f t="shared" si="6"/>
        <v>1136</v>
      </c>
      <c r="J197" s="2">
        <f t="shared" si="7"/>
        <v>782</v>
      </c>
      <c r="K197" s="2">
        <f t="shared" si="8"/>
        <v>605</v>
      </c>
      <c r="L197" s="2">
        <f t="shared" si="9"/>
        <v>499</v>
      </c>
      <c r="M197" s="2" t="str">
        <f t="shared" si="10"/>
        <v>-</v>
      </c>
      <c r="N197" s="2" t="str">
        <f t="shared" si="11"/>
        <v>-</v>
      </c>
      <c r="O197" s="2">
        <f t="shared" si="12"/>
        <v>1300</v>
      </c>
      <c r="P197" s="2">
        <f t="shared" si="13"/>
        <v>5199</v>
      </c>
      <c r="Q197" s="2">
        <f t="shared" si="14"/>
        <v>5994</v>
      </c>
      <c r="R197" s="2">
        <f t="shared" si="15"/>
        <v>1078</v>
      </c>
      <c r="S197" s="2">
        <f t="shared" si="16"/>
        <v>742</v>
      </c>
      <c r="T197" s="2">
        <f t="shared" si="17"/>
        <v>574</v>
      </c>
      <c r="U197" s="2">
        <f t="shared" si="18"/>
        <v>473</v>
      </c>
      <c r="V197" s="2" t="str">
        <f t="shared" si="19"/>
        <v>-</v>
      </c>
      <c r="W197" s="2" t="str">
        <f t="shared" si="20"/>
        <v>-</v>
      </c>
      <c r="X197" s="2">
        <f t="shared" si="21"/>
        <v>1625</v>
      </c>
      <c r="Y197" s="2">
        <f t="shared" si="22"/>
        <v>4874</v>
      </c>
      <c r="Z197" s="2">
        <f t="shared" si="23"/>
        <v>5669</v>
      </c>
      <c r="AA197" s="2">
        <f t="shared" si="24"/>
        <v>1020</v>
      </c>
      <c r="AB197" s="2">
        <f t="shared" si="25"/>
        <v>702</v>
      </c>
      <c r="AC197" s="2">
        <f t="shared" si="26"/>
        <v>543</v>
      </c>
      <c r="AD197" s="2" t="str">
        <f t="shared" si="27"/>
        <v>-</v>
      </c>
      <c r="AE197" s="2" t="str">
        <f t="shared" si="28"/>
        <v>-</v>
      </c>
      <c r="AF197" s="2" t="str">
        <f t="shared" si="29"/>
        <v>-</v>
      </c>
      <c r="AG197" s="2">
        <f t="shared" si="30"/>
        <v>2275</v>
      </c>
      <c r="AH197" s="2">
        <f t="shared" si="31"/>
        <v>4224</v>
      </c>
      <c r="AI197" s="2">
        <f t="shared" si="32"/>
        <v>5019</v>
      </c>
      <c r="AJ197" s="2">
        <f t="shared" si="33"/>
        <v>905</v>
      </c>
      <c r="AK197" s="2">
        <f t="shared" si="34"/>
        <v>623</v>
      </c>
      <c r="AL197" s="2">
        <f t="shared" si="35"/>
        <v>482</v>
      </c>
      <c r="AM197" s="2" t="str">
        <f t="shared" si="36"/>
        <v>-</v>
      </c>
      <c r="AN197" s="2" t="str">
        <f t="shared" si="37"/>
        <v>-</v>
      </c>
      <c r="AO197" s="2" t="str">
        <f t="shared" si="38"/>
        <v>-</v>
      </c>
      <c r="AP197" s="2">
        <f t="shared" si="39"/>
        <v>2600</v>
      </c>
      <c r="AQ197" s="2">
        <f t="shared" si="40"/>
        <v>3899</v>
      </c>
      <c r="AR197" s="2">
        <f t="shared" si="41"/>
        <v>4694</v>
      </c>
      <c r="AS197" s="2">
        <f t="shared" si="42"/>
        <v>847</v>
      </c>
      <c r="AT197" s="2">
        <f t="shared" si="43"/>
        <v>583</v>
      </c>
      <c r="AU197" s="2" t="str">
        <f t="shared" si="44"/>
        <v>-</v>
      </c>
      <c r="AV197" s="2" t="str">
        <f t="shared" si="45"/>
        <v>-</v>
      </c>
      <c r="AW197" s="2" t="str">
        <f t="shared" si="46"/>
        <v>-</v>
      </c>
      <c r="AX197" s="2" t="str">
        <f t="shared" si="47"/>
        <v>-</v>
      </c>
    </row>
    <row r="198" ht="14.25" customHeight="1">
      <c r="A198" s="2" t="str">
        <f t="array" ref="A198">IFERROR(INDEX('Product Price'!A:A,SMALL('Product Price'!$D:$D,196)),"")</f>
        <v>OPPO A6x 5G 4/128 GB</v>
      </c>
      <c r="B198" s="2">
        <f t="array" ref="B198">IFERROR(INDEX('Product Price'!B:B,SMALL('Product Price'!$D:$D,196)),"")</f>
        <v>8999</v>
      </c>
      <c r="C198" s="2">
        <f t="array" ref="C198">IFERROR(INDEX('Product Price'!C:C,SMALL('Product Price'!$D:$D,196)),"")</f>
        <v>203</v>
      </c>
      <c r="D198" s="2">
        <f t="shared" si="1"/>
        <v>795</v>
      </c>
      <c r="E198" s="2">
        <f t="shared" si="2"/>
        <v>9794</v>
      </c>
      <c r="F198" s="2">
        <f t="shared" si="48"/>
        <v>1350</v>
      </c>
      <c r="G198" s="2">
        <f t="shared" si="4"/>
        <v>7649</v>
      </c>
      <c r="H198" s="2">
        <f t="shared" si="5"/>
        <v>8444</v>
      </c>
      <c r="I198" s="2">
        <f t="shared" si="6"/>
        <v>1515</v>
      </c>
      <c r="J198" s="2">
        <f t="shared" si="7"/>
        <v>1043</v>
      </c>
      <c r="K198" s="2">
        <f t="shared" si="8"/>
        <v>807</v>
      </c>
      <c r="L198" s="2">
        <f t="shared" si="9"/>
        <v>665</v>
      </c>
      <c r="M198" s="2">
        <f t="shared" si="10"/>
        <v>570</v>
      </c>
      <c r="N198" s="2">
        <f t="shared" si="11"/>
        <v>452</v>
      </c>
      <c r="O198" s="2">
        <f t="shared" si="12"/>
        <v>1800</v>
      </c>
      <c r="P198" s="2">
        <f t="shared" si="13"/>
        <v>7199</v>
      </c>
      <c r="Q198" s="2">
        <f t="shared" si="14"/>
        <v>7994</v>
      </c>
      <c r="R198" s="2">
        <f t="shared" si="15"/>
        <v>1435</v>
      </c>
      <c r="S198" s="2">
        <f t="shared" si="16"/>
        <v>987</v>
      </c>
      <c r="T198" s="2">
        <f t="shared" si="17"/>
        <v>764</v>
      </c>
      <c r="U198" s="2">
        <f t="shared" si="18"/>
        <v>630</v>
      </c>
      <c r="V198" s="2">
        <f t="shared" si="19"/>
        <v>540</v>
      </c>
      <c r="W198" s="2" t="str">
        <f t="shared" si="20"/>
        <v>-</v>
      </c>
      <c r="X198" s="2">
        <f t="shared" si="21"/>
        <v>2250</v>
      </c>
      <c r="Y198" s="2">
        <f t="shared" si="22"/>
        <v>6749</v>
      </c>
      <c r="Z198" s="2">
        <f t="shared" si="23"/>
        <v>7544</v>
      </c>
      <c r="AA198" s="2">
        <f t="shared" si="24"/>
        <v>1355</v>
      </c>
      <c r="AB198" s="2">
        <f t="shared" si="25"/>
        <v>932</v>
      </c>
      <c r="AC198" s="2">
        <f t="shared" si="26"/>
        <v>721</v>
      </c>
      <c r="AD198" s="2">
        <f t="shared" si="27"/>
        <v>595</v>
      </c>
      <c r="AE198" s="2">
        <f t="shared" si="28"/>
        <v>510</v>
      </c>
      <c r="AF198" s="2" t="str">
        <f t="shared" si="29"/>
        <v>-</v>
      </c>
      <c r="AG198" s="2">
        <f t="shared" si="30"/>
        <v>3150</v>
      </c>
      <c r="AH198" s="2">
        <f t="shared" si="31"/>
        <v>5849</v>
      </c>
      <c r="AI198" s="2">
        <f t="shared" si="32"/>
        <v>6644</v>
      </c>
      <c r="AJ198" s="2">
        <f t="shared" si="33"/>
        <v>1194</v>
      </c>
      <c r="AK198" s="2">
        <f t="shared" si="34"/>
        <v>822</v>
      </c>
      <c r="AL198" s="2">
        <f t="shared" si="35"/>
        <v>636</v>
      </c>
      <c r="AM198" s="2">
        <f t="shared" si="36"/>
        <v>524</v>
      </c>
      <c r="AN198" s="2" t="str">
        <f t="shared" si="37"/>
        <v>-</v>
      </c>
      <c r="AO198" s="2" t="str">
        <f t="shared" si="38"/>
        <v>-</v>
      </c>
      <c r="AP198" s="2">
        <f t="shared" si="39"/>
        <v>3600</v>
      </c>
      <c r="AQ198" s="2">
        <f t="shared" si="40"/>
        <v>5399</v>
      </c>
      <c r="AR198" s="2">
        <f t="shared" si="41"/>
        <v>6194</v>
      </c>
      <c r="AS198" s="2">
        <f t="shared" si="42"/>
        <v>1114</v>
      </c>
      <c r="AT198" s="2">
        <f t="shared" si="43"/>
        <v>767</v>
      </c>
      <c r="AU198" s="2">
        <f t="shared" si="44"/>
        <v>593</v>
      </c>
      <c r="AV198" s="2">
        <f t="shared" si="45"/>
        <v>489</v>
      </c>
      <c r="AW198" s="2" t="str">
        <f t="shared" si="46"/>
        <v>-</v>
      </c>
      <c r="AX198" s="2" t="str">
        <f t="shared" si="47"/>
        <v>-</v>
      </c>
    </row>
    <row r="199" ht="14.25" customHeight="1">
      <c r="A199" s="2" t="str">
        <f t="array" ref="A199">IFERROR(INDEX('Product Price'!A:A,SMALL('Product Price'!$D:$D,197)),"")</f>
        <v>OPPO Pad 5 Matte Display Edition 5G 8/256 GB</v>
      </c>
      <c r="B199" s="2">
        <f t="array" ref="B199">IFERROR(INDEX('Product Price'!B:B,SMALL('Product Price'!$D:$D,197)),"")</f>
        <v>18999</v>
      </c>
      <c r="C199" s="2">
        <f t="array" ref="C199">IFERROR(INDEX('Product Price'!C:C,SMALL('Product Price'!$D:$D,197)),"")</f>
        <v>270</v>
      </c>
      <c r="D199" s="2">
        <f t="shared" si="1"/>
        <v>1450</v>
      </c>
      <c r="E199" s="2">
        <f t="shared" si="2"/>
        <v>20449</v>
      </c>
      <c r="F199" s="2">
        <f t="shared" si="48"/>
        <v>2850</v>
      </c>
      <c r="G199" s="2">
        <f t="shared" si="4"/>
        <v>16149</v>
      </c>
      <c r="H199" s="2">
        <f t="shared" si="5"/>
        <v>17599</v>
      </c>
      <c r="I199" s="2">
        <f t="shared" si="6"/>
        <v>3154</v>
      </c>
      <c r="J199" s="2">
        <f t="shared" si="7"/>
        <v>2171</v>
      </c>
      <c r="K199" s="2">
        <f t="shared" si="8"/>
        <v>1679</v>
      </c>
      <c r="L199" s="2">
        <f t="shared" si="9"/>
        <v>1384</v>
      </c>
      <c r="M199" s="2">
        <f t="shared" si="10"/>
        <v>1187</v>
      </c>
      <c r="N199" s="2">
        <f t="shared" si="11"/>
        <v>942</v>
      </c>
      <c r="O199" s="2">
        <f t="shared" si="12"/>
        <v>3800</v>
      </c>
      <c r="P199" s="2">
        <f t="shared" si="13"/>
        <v>15199</v>
      </c>
      <c r="Q199" s="2">
        <f t="shared" si="14"/>
        <v>16649</v>
      </c>
      <c r="R199" s="2">
        <f t="shared" si="15"/>
        <v>2985</v>
      </c>
      <c r="S199" s="2">
        <f t="shared" si="16"/>
        <v>2054</v>
      </c>
      <c r="T199" s="2">
        <f t="shared" si="17"/>
        <v>1589</v>
      </c>
      <c r="U199" s="2">
        <f t="shared" si="18"/>
        <v>1310</v>
      </c>
      <c r="V199" s="2">
        <f t="shared" si="19"/>
        <v>1124</v>
      </c>
      <c r="W199" s="2">
        <f t="shared" si="20"/>
        <v>891</v>
      </c>
      <c r="X199" s="2">
        <f t="shared" si="21"/>
        <v>4750</v>
      </c>
      <c r="Y199" s="2">
        <f t="shared" si="22"/>
        <v>14249</v>
      </c>
      <c r="Z199" s="2">
        <f t="shared" si="23"/>
        <v>15699</v>
      </c>
      <c r="AA199" s="2">
        <f t="shared" si="24"/>
        <v>2816</v>
      </c>
      <c r="AB199" s="2">
        <f t="shared" si="25"/>
        <v>1938</v>
      </c>
      <c r="AC199" s="2">
        <f t="shared" si="26"/>
        <v>1499</v>
      </c>
      <c r="AD199" s="2">
        <f t="shared" si="27"/>
        <v>1236</v>
      </c>
      <c r="AE199" s="2">
        <f t="shared" si="28"/>
        <v>1060</v>
      </c>
      <c r="AF199" s="2">
        <f t="shared" si="29"/>
        <v>841</v>
      </c>
      <c r="AG199" s="2">
        <f t="shared" si="30"/>
        <v>6650</v>
      </c>
      <c r="AH199" s="2">
        <f t="shared" si="31"/>
        <v>12349</v>
      </c>
      <c r="AI199" s="2">
        <f t="shared" si="32"/>
        <v>13799</v>
      </c>
      <c r="AJ199" s="2">
        <f t="shared" si="33"/>
        <v>2477</v>
      </c>
      <c r="AK199" s="2">
        <f t="shared" si="34"/>
        <v>1705</v>
      </c>
      <c r="AL199" s="2">
        <f t="shared" si="35"/>
        <v>1319</v>
      </c>
      <c r="AM199" s="2">
        <f t="shared" si="36"/>
        <v>1087</v>
      </c>
      <c r="AN199" s="2">
        <f t="shared" si="37"/>
        <v>933</v>
      </c>
      <c r="AO199" s="2">
        <f t="shared" si="38"/>
        <v>740</v>
      </c>
      <c r="AP199" s="2">
        <f t="shared" si="39"/>
        <v>7600</v>
      </c>
      <c r="AQ199" s="2">
        <f t="shared" si="40"/>
        <v>11399</v>
      </c>
      <c r="AR199" s="2">
        <f t="shared" si="41"/>
        <v>12849</v>
      </c>
      <c r="AS199" s="2">
        <f t="shared" si="42"/>
        <v>2308</v>
      </c>
      <c r="AT199" s="2">
        <f t="shared" si="43"/>
        <v>1588</v>
      </c>
      <c r="AU199" s="2">
        <f t="shared" si="44"/>
        <v>1229</v>
      </c>
      <c r="AV199" s="2">
        <f t="shared" si="45"/>
        <v>1013</v>
      </c>
      <c r="AW199" s="2">
        <f t="shared" si="46"/>
        <v>869</v>
      </c>
      <c r="AX199" s="2">
        <f t="shared" si="47"/>
        <v>689</v>
      </c>
    </row>
    <row r="200" ht="14.25" customHeight="1">
      <c r="A200" s="2" t="str">
        <f t="array" ref="A200">IFERROR(INDEX('Product Price'!A:A,SMALL('Product Price'!$D:$D,198)),"")</f>
        <v>OPPA Pad SE Matte Display Edition 8/256 GB</v>
      </c>
      <c r="B200" s="2">
        <f t="array" ref="B200">IFERROR(INDEX('Product Price'!B:B,SMALL('Product Price'!$D:$D,198)),"")</f>
        <v>11999</v>
      </c>
      <c r="C200" s="2">
        <f t="array" ref="C200">IFERROR(INDEX('Product Price'!C:C,SMALL('Product Price'!$D:$D,198)),"")</f>
        <v>271</v>
      </c>
      <c r="D200" s="2">
        <f t="shared" si="1"/>
        <v>1450</v>
      </c>
      <c r="E200" s="2">
        <f t="shared" si="2"/>
        <v>13449</v>
      </c>
      <c r="F200" s="2">
        <f t="shared" si="48"/>
        <v>1800</v>
      </c>
      <c r="G200" s="2">
        <f t="shared" si="4"/>
        <v>10199</v>
      </c>
      <c r="H200" s="2">
        <f t="shared" si="5"/>
        <v>11649</v>
      </c>
      <c r="I200" s="2">
        <f t="shared" si="6"/>
        <v>2094</v>
      </c>
      <c r="J200" s="2">
        <f t="shared" si="7"/>
        <v>1441</v>
      </c>
      <c r="K200" s="2">
        <f t="shared" si="8"/>
        <v>1115</v>
      </c>
      <c r="L200" s="2">
        <f t="shared" si="9"/>
        <v>919</v>
      </c>
      <c r="M200" s="2">
        <f t="shared" si="10"/>
        <v>788</v>
      </c>
      <c r="N200" s="2">
        <f t="shared" si="11"/>
        <v>625</v>
      </c>
      <c r="O200" s="2">
        <f t="shared" si="12"/>
        <v>2400</v>
      </c>
      <c r="P200" s="2">
        <f t="shared" si="13"/>
        <v>9599</v>
      </c>
      <c r="Q200" s="2">
        <f t="shared" si="14"/>
        <v>11049</v>
      </c>
      <c r="R200" s="2">
        <f t="shared" si="15"/>
        <v>1987</v>
      </c>
      <c r="S200" s="2">
        <f t="shared" si="16"/>
        <v>1368</v>
      </c>
      <c r="T200" s="2">
        <f t="shared" si="17"/>
        <v>1058</v>
      </c>
      <c r="U200" s="2">
        <f t="shared" si="18"/>
        <v>872</v>
      </c>
      <c r="V200" s="2">
        <f t="shared" si="19"/>
        <v>748</v>
      </c>
      <c r="W200" s="2">
        <f t="shared" si="20"/>
        <v>593</v>
      </c>
      <c r="X200" s="2">
        <f t="shared" si="21"/>
        <v>3000</v>
      </c>
      <c r="Y200" s="2">
        <f t="shared" si="22"/>
        <v>8999</v>
      </c>
      <c r="Z200" s="2">
        <f t="shared" si="23"/>
        <v>10449</v>
      </c>
      <c r="AA200" s="2">
        <f t="shared" si="24"/>
        <v>1880</v>
      </c>
      <c r="AB200" s="2">
        <f t="shared" si="25"/>
        <v>1294</v>
      </c>
      <c r="AC200" s="2">
        <f t="shared" si="26"/>
        <v>1001</v>
      </c>
      <c r="AD200" s="2">
        <f t="shared" si="27"/>
        <v>825</v>
      </c>
      <c r="AE200" s="2">
        <f t="shared" si="28"/>
        <v>708</v>
      </c>
      <c r="AF200" s="2">
        <f t="shared" si="29"/>
        <v>561</v>
      </c>
      <c r="AG200" s="2">
        <f t="shared" si="30"/>
        <v>4200</v>
      </c>
      <c r="AH200" s="2">
        <f t="shared" si="31"/>
        <v>7799</v>
      </c>
      <c r="AI200" s="2">
        <f t="shared" si="32"/>
        <v>9249</v>
      </c>
      <c r="AJ200" s="2">
        <f t="shared" si="33"/>
        <v>1666</v>
      </c>
      <c r="AK200" s="2">
        <f t="shared" si="34"/>
        <v>1147</v>
      </c>
      <c r="AL200" s="2">
        <f t="shared" si="35"/>
        <v>887</v>
      </c>
      <c r="AM200" s="2">
        <f t="shared" si="36"/>
        <v>731</v>
      </c>
      <c r="AN200" s="2">
        <f t="shared" si="37"/>
        <v>628</v>
      </c>
      <c r="AO200" s="2">
        <f t="shared" si="38"/>
        <v>498</v>
      </c>
      <c r="AP200" s="2">
        <f t="shared" si="39"/>
        <v>4800</v>
      </c>
      <c r="AQ200" s="2">
        <f t="shared" si="40"/>
        <v>7199</v>
      </c>
      <c r="AR200" s="2">
        <f t="shared" si="41"/>
        <v>8649</v>
      </c>
      <c r="AS200" s="2">
        <f t="shared" si="42"/>
        <v>1560</v>
      </c>
      <c r="AT200" s="2">
        <f t="shared" si="43"/>
        <v>1073</v>
      </c>
      <c r="AU200" s="2">
        <f t="shared" si="44"/>
        <v>830</v>
      </c>
      <c r="AV200" s="2">
        <f t="shared" si="45"/>
        <v>684</v>
      </c>
      <c r="AW200" s="2">
        <f t="shared" si="46"/>
        <v>587</v>
      </c>
      <c r="AX200" s="2" t="str">
        <f t="shared" si="47"/>
        <v>-</v>
      </c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A2">
      <formula1>"HONOR,HUAWEI,INFINIX,Nubia,realme,SAMSUNG,TECNO,XIAOMI,REDMI,OPPO,vivo,iQOO,All"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1.25"/>
    <col customWidth="1" min="2" max="3" width="12.63"/>
    <col customWidth="1" min="4" max="4" width="8.25"/>
    <col customWidth="1" min="5" max="6" width="12.63"/>
  </cols>
  <sheetData>
    <row r="1" ht="14.25" customHeight="1">
      <c r="A1" s="1">
        <v>0.0115</v>
      </c>
      <c r="B1" s="2">
        <v>400.0</v>
      </c>
      <c r="C1" s="2">
        <v>0.0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14.25" customHeight="1">
      <c r="A2" s="9" t="str">
        <f>IF('Detail Price'!A2="","",'Detail Price'!A2)</f>
        <v>All</v>
      </c>
      <c r="B2" s="2" t="s">
        <v>8</v>
      </c>
      <c r="C2" s="2" t="s">
        <v>9</v>
      </c>
      <c r="D2" s="2" t="s">
        <v>10</v>
      </c>
      <c r="E2" s="2" t="s">
        <v>11</v>
      </c>
      <c r="F2" s="12" t="s">
        <v>12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13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17" t="s">
        <v>25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18" t="s">
        <v>26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P2" s="20" t="s">
        <v>30</v>
      </c>
      <c r="AQ2" s="2" t="s">
        <v>14</v>
      </c>
      <c r="AR2" s="2" t="s">
        <v>15</v>
      </c>
      <c r="AS2" s="2" t="s">
        <v>16</v>
      </c>
      <c r="AT2" s="2" t="s">
        <v>17</v>
      </c>
      <c r="AU2" s="2" t="s">
        <v>18</v>
      </c>
      <c r="AV2" s="2" t="s">
        <v>19</v>
      </c>
      <c r="AW2" s="2" t="s">
        <v>20</v>
      </c>
      <c r="AX2" s="2" t="s">
        <v>21</v>
      </c>
    </row>
    <row r="3" ht="14.25" customHeight="1">
      <c r="A3" s="2" t="str">
        <f t="array" ref="A3">IFERROR(INDEX('Product Price'!A:A,SMALL('Product Price'!$D:$D,1)),"")</f>
        <v>HONOR Magic V6 16/512 GB</v>
      </c>
      <c r="B3" s="23">
        <f t="array" ref="B3">IFERROR(INDEX('Product Price'!B:B,SMALL('Product Price'!$D:$D,1)),"")</f>
        <v>67999</v>
      </c>
      <c r="C3" s="2">
        <f t="array" ref="C3">IFERROR(INDEX('Product Price'!C:C,SMALL('Product Price'!$D:$D,1)),"")</f>
        <v>161</v>
      </c>
      <c r="D3" s="2">
        <f t="shared" ref="D3:D200" si="1">IF(AND(B3&gt;=3900,B3&lt;=10000),795,IF(AND(B3&gt;=10001,B3&lt;=20000),1450,IF(AND(B3&gt;=20001,B3&lt;=40000),1900,IF(AND(B3&gt;=40001,B3&lt;=60000),2475,IF(AND(B3&gt;=60001,B3&lt;=80000),4025,IF(AND(B3&gt;=80001,B3&lt;=100000),5175,IF(AND(B3&gt;=100001,B3&lt;=120000),6785,"")))))))</f>
        <v>4025</v>
      </c>
      <c r="E3" s="23">
        <f t="shared" ref="E3:E200" si="2">IFERROR(B3+D3,"")</f>
        <v>72024</v>
      </c>
      <c r="F3" s="25">
        <f t="shared" ref="F3:F6" si="3">IFERROR(ROUNDUP($B3*15%,0),"")</f>
        <v>10200</v>
      </c>
      <c r="G3" s="23">
        <f t="shared" ref="G3:G200" si="4">$B3-F3</f>
        <v>57799</v>
      </c>
      <c r="H3" s="23">
        <f t="shared" ref="H3:H200" si="5">$G3+D3</f>
        <v>61824</v>
      </c>
      <c r="I3" s="2">
        <f t="shared" ref="I3:I200" si="6">IF((($G3*$A$1)*6)&lt;$C$1,"-",IF(ROUNDUP((($H3*(1+($A$1*6)))/6)*1.07,0)&lt;$B$1,"-",ROUNDUP((($H3*(1+($A$1*6)))/6)*1.07,0)))</f>
        <v>11787</v>
      </c>
      <c r="J3" s="2">
        <f t="shared" ref="J3:J200" si="7">IF((($G3*$A$1)*9)&lt;$C$1,"-",IF(ROUNDUP((($H3*(1+($A$1*9)))/9)*1.07,0)&lt;$B$1,"-",ROUNDUP((($H3*(1+($A$1*9)))/9)*1.07,0)))</f>
        <v>8111</v>
      </c>
      <c r="K3" s="2">
        <f t="shared" ref="K3:K200" si="8">IF((($G3*$A$1)*12)&lt;$C$1,"-",IF(ROUNDUP((($H3*(1+($A$1*12)))/12)*1.07,0)&lt;$B$1,"-",ROUNDUP((($H3*(1+($A$1*12)))/12)*1.07,0)))</f>
        <v>6274</v>
      </c>
      <c r="L3" s="2">
        <f t="shared" ref="L3:L200" si="9">IF((($G3*$A$1)*15)&lt;$C$1,"-",IF(ROUNDUP((($H3*(1+($A$1*15)))/15)*1.07,0)&lt;$B$1,"-",ROUNDUP((($H3*(1+($A$1*15)))/15)*1.07,0)))</f>
        <v>5171</v>
      </c>
      <c r="M3" s="2">
        <f t="shared" ref="M3:M200" si="10">IF((($G3*$A$1)*18)&lt;$C$1,"-",IF(ROUNDUP((($H3*(1+($A$1*18)))/18)*1.07,0)&lt;$B$1,"-",ROUNDUP((($H3*(1+($A$1*18)))/18)*1.07,0)))</f>
        <v>4436</v>
      </c>
      <c r="N3" s="2">
        <f t="shared" ref="N3:N200" si="11">IF((($G3*$A$1)*24)&lt;$C$1,"-",IF(ROUNDUP((($H3*(1+($A$1*24)))/24)*1.07,0)&lt;$B$1,"-",ROUNDUP((($H3*(1+($A$1*24)))/24)*1.07,0)))</f>
        <v>3518</v>
      </c>
      <c r="O3" s="25">
        <f t="shared" ref="O3:O200" si="12">ROUNDUP($B3*20%,0)</f>
        <v>13600</v>
      </c>
      <c r="P3" s="23">
        <f t="shared" ref="P3:P200" si="13">$B3-O3</f>
        <v>54399</v>
      </c>
      <c r="Q3" s="23">
        <f t="shared" ref="Q3:Q200" si="14">P3+$D3</f>
        <v>58424</v>
      </c>
      <c r="R3" s="2">
        <f t="shared" ref="R3:R200" si="15">IF((($P3*$A$1)*6)&lt;$C$1,"-",IF(ROUNDUP((($Q3*(1+($A$1*6)))/6)*1.07,0)&lt;$B$1,"-",ROUNDUP((($Q3*(1+($A$1*6)))/6)*1.07,0)))</f>
        <v>11138</v>
      </c>
      <c r="S3" s="2">
        <f t="shared" ref="S3:S200" si="16">IF((($P3*$A$1)*9)&lt;$C$1,"-",IF(ROUNDUP((($Q3*(1+($A$1*9)))/9)*1.07,0)&lt;$B$1,"-",ROUNDUP((($Q3*(1+($A$1*9)))/9)*1.07,0)))</f>
        <v>7665</v>
      </c>
      <c r="T3" s="2">
        <f t="shared" ref="T3:T200" si="17">IF((($P3*$A$1)*12)&lt;$C$1,"-",IF(ROUNDUP((($Q3*(1+($A$1*12)))/12)*1.07,0)&lt;$B$1,"-",ROUNDUP((($Q3*(1+($A$1*12)))/12)*1.07,0)))</f>
        <v>5929</v>
      </c>
      <c r="U3" s="2">
        <f t="shared" ref="U3:U200" si="18">IF((($P3*$A$1)*15)&lt;$C$1,"-",IF(ROUNDUP((($Q3*(1+($A$1*15)))/15)*1.07,0)&lt;$B$1,"-",ROUNDUP((($Q3*(1+($A$1*15)))/15)*1.07,0)))</f>
        <v>4887</v>
      </c>
      <c r="V3" s="2">
        <f t="shared" ref="V3:V200" si="19">IF((($P3*$A$1)*18)&lt;$C$1,"-",IF(ROUNDUP((($Q3*(1+($A$1*18)))/18)*1.07,0)&lt;$B$1,"-",ROUNDUP((($Q3*(1+($A$1*18)))/18)*1.07,0)))</f>
        <v>4192</v>
      </c>
      <c r="W3" s="2">
        <f t="shared" ref="W3:W200" si="20">IF((($P3*$A$1)*24)&lt;$C$1,"-",IF(ROUNDUP((($Q3*(1+($A$1*24)))/24)*1.07,0)&lt;$B$1,"-",ROUNDUP((($Q3*(1+($A$1*24)))/24)*1.07,0)))</f>
        <v>3324</v>
      </c>
      <c r="X3" s="25">
        <f t="shared" ref="X3:X200" si="21">ROUNDUP($B3*25%,0)</f>
        <v>17000</v>
      </c>
      <c r="Y3" s="23">
        <f t="shared" ref="Y3:Y200" si="22">$B3-X3</f>
        <v>50999</v>
      </c>
      <c r="Z3" s="23">
        <f t="shared" ref="Z3:Z200" si="23">Y3+$D3</f>
        <v>55024</v>
      </c>
      <c r="AA3" s="2">
        <f t="shared" ref="AA3:AA200" si="24">IF((($Y3*$A$1)*6)&lt;$C$1,"-",IF(ROUNDUP((($Z3*(1+($A$1*6)))/6)*1.07,0)&lt;$B$1,"-",ROUNDUP((($Z3*(1+($A$1*6)))/6)*1.07,0)))</f>
        <v>10490</v>
      </c>
      <c r="AB3" s="2">
        <f t="shared" ref="AB3:AB200" si="25">IF((($Y3*$A$1)*9)&lt;$C$1,"-",IF(ROUNDUP((($Z3*(1+($A$1*9)))/9)*1.07,0)&lt;$B$1,"-",ROUNDUP((($Z3*(1+($A$1*9)))/9)*1.07,0)))</f>
        <v>7219</v>
      </c>
      <c r="AC3" s="2">
        <f t="shared" ref="AC3:AC200" si="26">IF((($Y3*$A$1)*12)&lt;$C$1,"-",IF(ROUNDUP((($Z3*(1+($A$1*12)))/12)*1.07,0)&lt;$B$1,"-",ROUNDUP((($Z3*(1+($A$1*12)))/12)*1.07,0)))</f>
        <v>5584</v>
      </c>
      <c r="AD3" s="2">
        <f t="shared" ref="AD3:AD200" si="27">IF((($Y3*$A$1)*15)&lt;$C$1,"-",IF(ROUNDUP((($Z3*(1+($A$1*15)))/15)*1.07,0)&lt;$B$1,"-",ROUNDUP((($Z3*(1+($A$1*15)))/15)*1.07,0)))</f>
        <v>4603</v>
      </c>
      <c r="AE3" s="2">
        <f t="shared" ref="AE3:AE200" si="28">IF((($Y3*$A$1)*18)&lt;$C$1,"-",IF(ROUNDUP((($Z3*(1+($A$1*18)))/18)*1.07,0)&lt;$B$1,"-",ROUNDUP((($Z3*(1+($A$1*18)))/18)*1.07,0)))</f>
        <v>3948</v>
      </c>
      <c r="AF3" s="2">
        <f t="shared" ref="AF3:AF200" si="29">IF((($Y3*$A$1)*24)&lt;$C$1,"-",IF(ROUNDUP((($Z3*(1+($A$1*24)))/24)*1.07,0)&lt;$B$1,"-",ROUNDUP((($Z3*(1+($A$1*24)))/24)*1.07,0)))</f>
        <v>3131</v>
      </c>
      <c r="AG3" s="25">
        <f t="shared" ref="AG3:AG200" si="30">ROUNDUP($B3*35%,0)</f>
        <v>23800</v>
      </c>
      <c r="AH3" s="23">
        <f t="shared" ref="AH3:AH200" si="31">$B3-AG3</f>
        <v>44199</v>
      </c>
      <c r="AI3" s="23">
        <f t="shared" ref="AI3:AI200" si="32">AH3+$D3</f>
        <v>48224</v>
      </c>
      <c r="AJ3" s="2">
        <f t="shared" ref="AJ3:AJ200" si="33">IF((($AH3*$A$1)*6)&lt;$C$1,"-",IF(ROUNDUP((($AI3*(1+($A$1*6)))/6)*1.07,0)&lt;$B$1,"-",ROUNDUP((($AI3*(1+($A$1*6)))/6)*1.07,0)))</f>
        <v>9194</v>
      </c>
      <c r="AK3" s="2">
        <f t="shared" ref="AK3:AK200" si="34">IF((($AH3*$A$1)*9)&lt;$C$1,"-",IF(ROUNDUP((($AI3*(1+($A$1*9)))/9)*1.07,0)&lt;$B$1,"-",ROUNDUP((($AI3*(1+($A$1*9)))/9)*1.07,0)))</f>
        <v>6327</v>
      </c>
      <c r="AL3" s="2">
        <f t="shared" ref="AL3:AL200" si="35">IF((($AH3*$A$1)*12)&lt;$C$1,"-",IF(ROUNDUP((($AI3*(1+($A$1*12)))/12)*1.07,0)&lt;$B$1,"-",ROUNDUP((($AI3*(1+($A$1*12)))/12)*1.07,0)))</f>
        <v>4894</v>
      </c>
      <c r="AM3" s="2">
        <f t="shared" ref="AM3:AM200" si="36">IF((($AH3*$A$1)*15)&lt;$C$1,"-",IF(ROUNDUP((($AI3*(1+($A$1*15)))/15)*1.07,0)&lt;$B$1,"-",ROUNDUP((($AI3*(1+($A$1*15)))/15)*1.07,0)))</f>
        <v>4034</v>
      </c>
      <c r="AN3" s="2">
        <f t="shared" ref="AN3:AN200" si="37">IF((($AH3*$A$1)*18)&lt;$C$1,"-",IF(ROUNDUP((($AI3*(1+($A$1*18)))/18)*1.07,0)&lt;$B$1,"-",ROUNDUP((($AI3*(1+($A$1*18)))/18)*1.07,0)))</f>
        <v>3461</v>
      </c>
      <c r="AO3" s="2">
        <f t="shared" ref="AO3:AO200" si="38">IF((($AH3*$A$1)*24)&lt;$C$1,"-",IF(ROUNDUP((($AI3*(1+($A$1*24)))/24)*1.07,0)&lt;$B$1,"-",ROUNDUP((($AI3*(1+($A$1*24)))/24)*1.07,0)))</f>
        <v>2744</v>
      </c>
      <c r="AP3" s="25">
        <f t="shared" ref="AP3:AP200" si="39">ROUNDUP($B3*40%,0)</f>
        <v>27200</v>
      </c>
      <c r="AQ3" s="23">
        <f t="shared" ref="AQ3:AQ200" si="40">$B3-AP3</f>
        <v>40799</v>
      </c>
      <c r="AR3" s="23">
        <f t="shared" ref="AR3:AR200" si="41">AQ3+$D3</f>
        <v>44824</v>
      </c>
      <c r="AS3" s="2">
        <f t="shared" ref="AS3:AS200" si="42">IF((($AQ3*$A$1)*6)&lt;$C$1,"-",IF(ROUNDUP((($AR3*(1+($A$1*6)))/6)*1.07,0)&lt;$B$1,"-",ROUNDUP((($AR3*(1+($A$1*6)))/6)*1.07,0)))</f>
        <v>8546</v>
      </c>
      <c r="AT3" s="2">
        <f t="shared" ref="AT3:AT200" si="43">IF((($AQ3*$A$1)*9)&lt;$C$1,"-",IF(ROUNDUP((($AR3*(1+($A$1*9)))/9)*1.07,0)&lt;$B$1,"-",ROUNDUP((($AR3*(1+($A$1*9)))/9)*1.07,0)))</f>
        <v>5881</v>
      </c>
      <c r="AU3" s="2">
        <f t="shared" ref="AU3:AU200" si="44">IF((($AQ3*$A$1)*12)&lt;$C$1,"-",IF(ROUNDUP((($AR3*(1+($A$1*12)))/12)*1.07,0)&lt;$B$1,"-",ROUNDUP((($AR3*(1+($A$1*12)))/12)*1.07,0)))</f>
        <v>4549</v>
      </c>
      <c r="AV3" s="2">
        <f t="shared" ref="AV3:AV200" si="45">IF((($AQ3*$A$1)*15)&lt;$C$1,"-",IF(ROUNDUP((($AR3*(1+($A$1*15)))/15)*1.07,0)&lt;$B$1,"-",ROUNDUP((($AR3*(1+($A$1*15)))/15)*1.07,0)))</f>
        <v>3750</v>
      </c>
      <c r="AW3" s="2">
        <f t="shared" ref="AW3:AW200" si="46">IF((($AQ3*$A$1)*18)&lt;$C$1,"-",IF(ROUNDUP((($AR3*(1+($A$1*18)))/18)*1.07,0)&lt;$B$1,"-",ROUNDUP((($AR3*(1+($A$1*18)))/18)*1.07,0)))</f>
        <v>3217</v>
      </c>
      <c r="AX3" s="2">
        <f t="shared" ref="AX3:AX200" si="47">IF((($AQ3*$A$1)*24)&lt;$C$1,"-",IF(ROUNDUP((($AR3*(1+($A$1*24)))/24)*1.07,0)&lt;$B$1,"-",ROUNDUP((($AR3*(1+($A$1*24)))/24)*1.07,0)))</f>
        <v>2550</v>
      </c>
    </row>
    <row r="4" ht="14.25" customHeight="1">
      <c r="A4" s="2" t="str">
        <f t="array" ref="A4">IFERROR(INDEX('Product Price'!A:A,SMALL('Product Price'!$D:$D,2)),"")</f>
        <v>HONOR Magic8 Pro 12/512 GB</v>
      </c>
      <c r="B4" s="23">
        <f t="array" ref="B4">IFERROR(INDEX('Product Price'!B:B,SMALL('Product Price'!$D:$D,2)),"")</f>
        <v>39990</v>
      </c>
      <c r="C4" s="2">
        <f t="array" ref="C4">IFERROR(INDEX('Product Price'!C:C,SMALL('Product Price'!$D:$D,2)),"")</f>
        <v>1</v>
      </c>
      <c r="D4" s="2">
        <f t="shared" si="1"/>
        <v>1900</v>
      </c>
      <c r="E4" s="23">
        <f t="shared" si="2"/>
        <v>41890</v>
      </c>
      <c r="F4" s="25">
        <f t="shared" si="3"/>
        <v>5999</v>
      </c>
      <c r="G4" s="23">
        <f t="shared" si="4"/>
        <v>33991</v>
      </c>
      <c r="H4" s="23">
        <f t="shared" si="5"/>
        <v>35891</v>
      </c>
      <c r="I4" s="2">
        <f t="shared" si="6"/>
        <v>6843</v>
      </c>
      <c r="J4" s="2">
        <f t="shared" si="7"/>
        <v>4709</v>
      </c>
      <c r="K4" s="2">
        <f t="shared" si="8"/>
        <v>3642</v>
      </c>
      <c r="L4" s="2">
        <f t="shared" si="9"/>
        <v>3002</v>
      </c>
      <c r="M4" s="2">
        <f t="shared" si="10"/>
        <v>2576</v>
      </c>
      <c r="N4" s="2">
        <f t="shared" si="11"/>
        <v>2042</v>
      </c>
      <c r="O4" s="25">
        <f t="shared" si="12"/>
        <v>7998</v>
      </c>
      <c r="P4" s="23">
        <f t="shared" si="13"/>
        <v>31992</v>
      </c>
      <c r="Q4" s="23">
        <f t="shared" si="14"/>
        <v>33892</v>
      </c>
      <c r="R4" s="2">
        <f t="shared" si="15"/>
        <v>6462</v>
      </c>
      <c r="S4" s="2">
        <f t="shared" si="16"/>
        <v>4447</v>
      </c>
      <c r="T4" s="2">
        <f t="shared" si="17"/>
        <v>3440</v>
      </c>
      <c r="U4" s="2">
        <f t="shared" si="18"/>
        <v>2835</v>
      </c>
      <c r="V4" s="2">
        <f t="shared" si="19"/>
        <v>2432</v>
      </c>
      <c r="W4" s="2">
        <f t="shared" si="20"/>
        <v>1929</v>
      </c>
      <c r="X4" s="25">
        <f t="shared" si="21"/>
        <v>9998</v>
      </c>
      <c r="Y4" s="23">
        <f t="shared" si="22"/>
        <v>29992</v>
      </c>
      <c r="Z4" s="23">
        <f t="shared" si="23"/>
        <v>31892</v>
      </c>
      <c r="AA4" s="2">
        <f t="shared" si="24"/>
        <v>6080</v>
      </c>
      <c r="AB4" s="2">
        <f t="shared" si="25"/>
        <v>4185</v>
      </c>
      <c r="AC4" s="2">
        <f t="shared" si="26"/>
        <v>3237</v>
      </c>
      <c r="AD4" s="2">
        <f t="shared" si="27"/>
        <v>2668</v>
      </c>
      <c r="AE4" s="2">
        <f t="shared" si="28"/>
        <v>2289</v>
      </c>
      <c r="AF4" s="2">
        <f t="shared" si="29"/>
        <v>1815</v>
      </c>
      <c r="AG4" s="25">
        <f t="shared" si="30"/>
        <v>13997</v>
      </c>
      <c r="AH4" s="23">
        <f t="shared" si="31"/>
        <v>25993</v>
      </c>
      <c r="AI4" s="23">
        <f t="shared" si="32"/>
        <v>27893</v>
      </c>
      <c r="AJ4" s="2">
        <f t="shared" si="33"/>
        <v>5318</v>
      </c>
      <c r="AK4" s="2">
        <f t="shared" si="34"/>
        <v>3660</v>
      </c>
      <c r="AL4" s="2">
        <f t="shared" si="35"/>
        <v>2831</v>
      </c>
      <c r="AM4" s="2">
        <f t="shared" si="36"/>
        <v>2333</v>
      </c>
      <c r="AN4" s="2">
        <f t="shared" si="37"/>
        <v>2002</v>
      </c>
      <c r="AO4" s="2">
        <f t="shared" si="38"/>
        <v>1587</v>
      </c>
      <c r="AP4" s="25">
        <f t="shared" si="39"/>
        <v>15996</v>
      </c>
      <c r="AQ4" s="23">
        <f t="shared" si="40"/>
        <v>23994</v>
      </c>
      <c r="AR4" s="23">
        <f t="shared" si="41"/>
        <v>25894</v>
      </c>
      <c r="AS4" s="2">
        <f t="shared" si="42"/>
        <v>4937</v>
      </c>
      <c r="AT4" s="2">
        <f t="shared" si="43"/>
        <v>3398</v>
      </c>
      <c r="AU4" s="2">
        <f t="shared" si="44"/>
        <v>2628</v>
      </c>
      <c r="AV4" s="2">
        <f t="shared" si="45"/>
        <v>2166</v>
      </c>
      <c r="AW4" s="2">
        <f t="shared" si="46"/>
        <v>1858</v>
      </c>
      <c r="AX4" s="2">
        <f t="shared" si="47"/>
        <v>1474</v>
      </c>
    </row>
    <row r="5" ht="14.25" customHeight="1">
      <c r="A5" s="2" t="str">
        <f t="array" ref="A5">IFERROR(INDEX('Product Price'!A:A,SMALL('Product Price'!$D:$D,3)),"")</f>
        <v>HONOR X6d 4/128 GB</v>
      </c>
      <c r="B5" s="23">
        <f t="array" ref="B5">IFERROR(INDEX('Product Price'!B:B,SMALL('Product Price'!$D:$D,3)),"")</f>
        <v>5999</v>
      </c>
      <c r="C5" s="2">
        <f t="array" ref="C5">IFERROR(INDEX('Product Price'!C:C,SMALL('Product Price'!$D:$D,3)),"")</f>
        <v>2</v>
      </c>
      <c r="D5" s="2">
        <f t="shared" si="1"/>
        <v>795</v>
      </c>
      <c r="E5" s="23">
        <f t="shared" si="2"/>
        <v>6794</v>
      </c>
      <c r="F5" s="25">
        <f t="shared" si="3"/>
        <v>900</v>
      </c>
      <c r="G5" s="23">
        <f t="shared" si="4"/>
        <v>5099</v>
      </c>
      <c r="H5" s="23">
        <f t="shared" si="5"/>
        <v>5894</v>
      </c>
      <c r="I5" s="2">
        <f t="shared" si="6"/>
        <v>1124</v>
      </c>
      <c r="J5" s="2">
        <f t="shared" si="7"/>
        <v>774</v>
      </c>
      <c r="K5" s="2">
        <f t="shared" si="8"/>
        <v>599</v>
      </c>
      <c r="L5" s="2">
        <f t="shared" si="9"/>
        <v>493</v>
      </c>
      <c r="M5" s="2">
        <f t="shared" si="10"/>
        <v>423</v>
      </c>
      <c r="N5" s="2" t="str">
        <f t="shared" si="11"/>
        <v>-</v>
      </c>
      <c r="O5" s="25">
        <f t="shared" si="12"/>
        <v>1200</v>
      </c>
      <c r="P5" s="23">
        <f t="shared" si="13"/>
        <v>4799</v>
      </c>
      <c r="Q5" s="23">
        <f t="shared" si="14"/>
        <v>5594</v>
      </c>
      <c r="R5" s="2">
        <f t="shared" si="15"/>
        <v>1067</v>
      </c>
      <c r="S5" s="2">
        <f t="shared" si="16"/>
        <v>734</v>
      </c>
      <c r="T5" s="2">
        <f t="shared" si="17"/>
        <v>568</v>
      </c>
      <c r="U5" s="2">
        <f t="shared" si="18"/>
        <v>468</v>
      </c>
      <c r="V5" s="2">
        <f t="shared" si="19"/>
        <v>402</v>
      </c>
      <c r="W5" s="2" t="str">
        <f t="shared" si="20"/>
        <v>-</v>
      </c>
      <c r="X5" s="25">
        <f t="shared" si="21"/>
        <v>1500</v>
      </c>
      <c r="Y5" s="23">
        <f t="shared" si="22"/>
        <v>4499</v>
      </c>
      <c r="Z5" s="23">
        <f t="shared" si="23"/>
        <v>5294</v>
      </c>
      <c r="AA5" s="2">
        <f t="shared" si="24"/>
        <v>1010</v>
      </c>
      <c r="AB5" s="2">
        <f t="shared" si="25"/>
        <v>695</v>
      </c>
      <c r="AC5" s="2">
        <f t="shared" si="26"/>
        <v>538</v>
      </c>
      <c r="AD5" s="2">
        <f t="shared" si="27"/>
        <v>443</v>
      </c>
      <c r="AE5" s="2" t="str">
        <f t="shared" si="28"/>
        <v>-</v>
      </c>
      <c r="AF5" s="2" t="str">
        <f t="shared" si="29"/>
        <v>-</v>
      </c>
      <c r="AG5" s="25">
        <f t="shared" si="30"/>
        <v>2100</v>
      </c>
      <c r="AH5" s="23">
        <f t="shared" si="31"/>
        <v>3899</v>
      </c>
      <c r="AI5" s="23">
        <f t="shared" si="32"/>
        <v>4694</v>
      </c>
      <c r="AJ5" s="2">
        <f t="shared" si="33"/>
        <v>895</v>
      </c>
      <c r="AK5" s="2">
        <f t="shared" si="34"/>
        <v>616</v>
      </c>
      <c r="AL5" s="2">
        <f t="shared" si="35"/>
        <v>477</v>
      </c>
      <c r="AM5" s="2" t="str">
        <f t="shared" si="36"/>
        <v>-</v>
      </c>
      <c r="AN5" s="2" t="str">
        <f t="shared" si="37"/>
        <v>-</v>
      </c>
      <c r="AO5" s="2" t="str">
        <f t="shared" si="38"/>
        <v>-</v>
      </c>
      <c r="AP5" s="25">
        <f t="shared" si="39"/>
        <v>2400</v>
      </c>
      <c r="AQ5" s="23">
        <f t="shared" si="40"/>
        <v>3599</v>
      </c>
      <c r="AR5" s="23">
        <f t="shared" si="41"/>
        <v>4394</v>
      </c>
      <c r="AS5" s="2">
        <f t="shared" si="42"/>
        <v>838</v>
      </c>
      <c r="AT5" s="2">
        <f t="shared" si="43"/>
        <v>577</v>
      </c>
      <c r="AU5" s="2">
        <f t="shared" si="44"/>
        <v>446</v>
      </c>
      <c r="AV5" s="2" t="str">
        <f t="shared" si="45"/>
        <v>-</v>
      </c>
      <c r="AW5" s="2" t="str">
        <f t="shared" si="46"/>
        <v>-</v>
      </c>
      <c r="AX5" s="2" t="str">
        <f t="shared" si="47"/>
        <v>-</v>
      </c>
    </row>
    <row r="6" ht="14.25" customHeight="1">
      <c r="A6" s="2" t="str">
        <f t="array" ref="A6">IFERROR(INDEX('Product Price'!A:A,SMALL('Product Price'!$D:$D,4)),"")</f>
        <v>HONOR 600 Lite 5G 8/256 GB</v>
      </c>
      <c r="B6" s="23">
        <f t="array" ref="B6">IFERROR(INDEX('Product Price'!B:B,SMALL('Product Price'!$D:$D,4)),"")</f>
        <v>13999</v>
      </c>
      <c r="C6" s="2">
        <f t="array" ref="C6">IFERROR(INDEX('Product Price'!C:C,SMALL('Product Price'!$D:$D,4)),"")</f>
        <v>3</v>
      </c>
      <c r="D6" s="2">
        <f t="shared" si="1"/>
        <v>1450</v>
      </c>
      <c r="E6" s="23">
        <f t="shared" si="2"/>
        <v>15449</v>
      </c>
      <c r="F6" s="25">
        <f t="shared" si="3"/>
        <v>2100</v>
      </c>
      <c r="G6" s="23">
        <f t="shared" si="4"/>
        <v>11899</v>
      </c>
      <c r="H6" s="23">
        <f t="shared" si="5"/>
        <v>13349</v>
      </c>
      <c r="I6" s="2">
        <f t="shared" si="6"/>
        <v>2545</v>
      </c>
      <c r="J6" s="2">
        <f t="shared" si="7"/>
        <v>1752</v>
      </c>
      <c r="K6" s="2">
        <f t="shared" si="8"/>
        <v>1355</v>
      </c>
      <c r="L6" s="2">
        <f t="shared" si="9"/>
        <v>1117</v>
      </c>
      <c r="M6" s="2">
        <f t="shared" si="10"/>
        <v>958</v>
      </c>
      <c r="N6" s="2">
        <f t="shared" si="11"/>
        <v>760</v>
      </c>
      <c r="O6" s="25">
        <f t="shared" si="12"/>
        <v>2800</v>
      </c>
      <c r="P6" s="23">
        <f t="shared" si="13"/>
        <v>11199</v>
      </c>
      <c r="Q6" s="23">
        <f t="shared" si="14"/>
        <v>12649</v>
      </c>
      <c r="R6" s="2">
        <f t="shared" si="15"/>
        <v>2412</v>
      </c>
      <c r="S6" s="2">
        <f t="shared" si="16"/>
        <v>1660</v>
      </c>
      <c r="T6" s="2">
        <f t="shared" si="17"/>
        <v>1284</v>
      </c>
      <c r="U6" s="2">
        <f t="shared" si="18"/>
        <v>1058</v>
      </c>
      <c r="V6" s="2">
        <f t="shared" si="19"/>
        <v>908</v>
      </c>
      <c r="W6" s="2">
        <f t="shared" si="20"/>
        <v>720</v>
      </c>
      <c r="X6" s="25">
        <f t="shared" si="21"/>
        <v>3500</v>
      </c>
      <c r="Y6" s="23">
        <f t="shared" si="22"/>
        <v>10499</v>
      </c>
      <c r="Z6" s="23">
        <f t="shared" si="23"/>
        <v>11949</v>
      </c>
      <c r="AA6" s="2">
        <f t="shared" si="24"/>
        <v>2278</v>
      </c>
      <c r="AB6" s="2">
        <f t="shared" si="25"/>
        <v>1568</v>
      </c>
      <c r="AC6" s="2">
        <f t="shared" si="26"/>
        <v>1213</v>
      </c>
      <c r="AD6" s="2">
        <f t="shared" si="27"/>
        <v>1000</v>
      </c>
      <c r="AE6" s="2">
        <f t="shared" si="28"/>
        <v>858</v>
      </c>
      <c r="AF6" s="2">
        <f t="shared" si="29"/>
        <v>680</v>
      </c>
      <c r="AG6" s="25">
        <f t="shared" si="30"/>
        <v>4900</v>
      </c>
      <c r="AH6" s="23">
        <f t="shared" si="31"/>
        <v>9099</v>
      </c>
      <c r="AI6" s="23">
        <f t="shared" si="32"/>
        <v>10549</v>
      </c>
      <c r="AJ6" s="2">
        <f t="shared" si="33"/>
        <v>2012</v>
      </c>
      <c r="AK6" s="2">
        <f t="shared" si="34"/>
        <v>1384</v>
      </c>
      <c r="AL6" s="2">
        <f t="shared" si="35"/>
        <v>1071</v>
      </c>
      <c r="AM6" s="2">
        <f t="shared" si="36"/>
        <v>883</v>
      </c>
      <c r="AN6" s="2">
        <f t="shared" si="37"/>
        <v>757</v>
      </c>
      <c r="AO6" s="2">
        <f t="shared" si="38"/>
        <v>601</v>
      </c>
      <c r="AP6" s="25">
        <f t="shared" si="39"/>
        <v>5600</v>
      </c>
      <c r="AQ6" s="23">
        <f t="shared" si="40"/>
        <v>8399</v>
      </c>
      <c r="AR6" s="23">
        <f t="shared" si="41"/>
        <v>9849</v>
      </c>
      <c r="AS6" s="2">
        <f t="shared" si="42"/>
        <v>1878</v>
      </c>
      <c r="AT6" s="2">
        <f t="shared" si="43"/>
        <v>1293</v>
      </c>
      <c r="AU6" s="2">
        <f t="shared" si="44"/>
        <v>1000</v>
      </c>
      <c r="AV6" s="2">
        <f t="shared" si="45"/>
        <v>824</v>
      </c>
      <c r="AW6" s="2">
        <f t="shared" si="46"/>
        <v>707</v>
      </c>
      <c r="AX6" s="2">
        <f t="shared" si="47"/>
        <v>561</v>
      </c>
    </row>
    <row r="7" ht="14.25" customHeight="1">
      <c r="A7" s="2" t="str">
        <f t="array" ref="A7">IFERROR(INDEX('Product Price'!A:A,SMALL('Product Price'!$D:$D,5)),"")</f>
        <v>HONOR 600 5G 12/256 GB</v>
      </c>
      <c r="B7" s="23">
        <f t="array" ref="B7">IFERROR(INDEX('Product Price'!B:B,SMALL('Product Price'!$D:$D,5)),"")</f>
        <v>19999</v>
      </c>
      <c r="C7" s="2">
        <f t="array" ref="C7">IFERROR(INDEX('Product Price'!C:C,SMALL('Product Price'!$D:$D,5)),"")</f>
        <v>4</v>
      </c>
      <c r="D7" s="2">
        <f t="shared" si="1"/>
        <v>1450</v>
      </c>
      <c r="E7" s="23">
        <f t="shared" si="2"/>
        <v>21449</v>
      </c>
      <c r="F7" s="25">
        <f t="shared" ref="F7:F200" si="48">IFERROR(ROUNDUP($B7*15%,0),"")</f>
        <v>3000</v>
      </c>
      <c r="G7" s="23">
        <f t="shared" si="4"/>
        <v>16999</v>
      </c>
      <c r="H7" s="23">
        <f t="shared" si="5"/>
        <v>18449</v>
      </c>
      <c r="I7" s="2">
        <f t="shared" si="6"/>
        <v>3518</v>
      </c>
      <c r="J7" s="2">
        <f t="shared" si="7"/>
        <v>2421</v>
      </c>
      <c r="K7" s="2">
        <f t="shared" si="8"/>
        <v>1873</v>
      </c>
      <c r="L7" s="2">
        <f t="shared" si="9"/>
        <v>1544</v>
      </c>
      <c r="M7" s="2">
        <f t="shared" si="10"/>
        <v>1324</v>
      </c>
      <c r="N7" s="2">
        <f t="shared" si="11"/>
        <v>1050</v>
      </c>
      <c r="O7" s="25">
        <f t="shared" si="12"/>
        <v>4000</v>
      </c>
      <c r="P7" s="23">
        <f t="shared" si="13"/>
        <v>15999</v>
      </c>
      <c r="Q7" s="23">
        <f t="shared" si="14"/>
        <v>17449</v>
      </c>
      <c r="R7" s="2">
        <f t="shared" si="15"/>
        <v>3327</v>
      </c>
      <c r="S7" s="2">
        <f t="shared" si="16"/>
        <v>2290</v>
      </c>
      <c r="T7" s="2">
        <f t="shared" si="17"/>
        <v>1771</v>
      </c>
      <c r="U7" s="2">
        <f t="shared" si="18"/>
        <v>1460</v>
      </c>
      <c r="V7" s="2">
        <f t="shared" si="19"/>
        <v>1252</v>
      </c>
      <c r="W7" s="2">
        <f t="shared" si="20"/>
        <v>993</v>
      </c>
      <c r="X7" s="25">
        <f t="shared" si="21"/>
        <v>5000</v>
      </c>
      <c r="Y7" s="23">
        <f t="shared" si="22"/>
        <v>14999</v>
      </c>
      <c r="Z7" s="23">
        <f t="shared" si="23"/>
        <v>16449</v>
      </c>
      <c r="AA7" s="2">
        <f t="shared" si="24"/>
        <v>3136</v>
      </c>
      <c r="AB7" s="2">
        <f t="shared" si="25"/>
        <v>2159</v>
      </c>
      <c r="AC7" s="2">
        <f t="shared" si="26"/>
        <v>1670</v>
      </c>
      <c r="AD7" s="2">
        <f t="shared" si="27"/>
        <v>1376</v>
      </c>
      <c r="AE7" s="2">
        <f t="shared" si="28"/>
        <v>1181</v>
      </c>
      <c r="AF7" s="2">
        <f t="shared" si="29"/>
        <v>936</v>
      </c>
      <c r="AG7" s="25">
        <f t="shared" si="30"/>
        <v>7000</v>
      </c>
      <c r="AH7" s="23">
        <f t="shared" si="31"/>
        <v>12999</v>
      </c>
      <c r="AI7" s="23">
        <f t="shared" si="32"/>
        <v>14449</v>
      </c>
      <c r="AJ7" s="2">
        <f t="shared" si="33"/>
        <v>2755</v>
      </c>
      <c r="AK7" s="2">
        <f t="shared" si="34"/>
        <v>1896</v>
      </c>
      <c r="AL7" s="2">
        <f t="shared" si="35"/>
        <v>1467</v>
      </c>
      <c r="AM7" s="2">
        <f t="shared" si="36"/>
        <v>1209</v>
      </c>
      <c r="AN7" s="2">
        <f t="shared" si="37"/>
        <v>1037</v>
      </c>
      <c r="AO7" s="2">
        <f t="shared" si="38"/>
        <v>822</v>
      </c>
      <c r="AP7" s="25">
        <f t="shared" si="39"/>
        <v>8000</v>
      </c>
      <c r="AQ7" s="23">
        <f t="shared" si="40"/>
        <v>11999</v>
      </c>
      <c r="AR7" s="23">
        <f t="shared" si="41"/>
        <v>13449</v>
      </c>
      <c r="AS7" s="2">
        <f t="shared" si="42"/>
        <v>2564</v>
      </c>
      <c r="AT7" s="2">
        <f t="shared" si="43"/>
        <v>1765</v>
      </c>
      <c r="AU7" s="2">
        <f t="shared" si="44"/>
        <v>1365</v>
      </c>
      <c r="AV7" s="2">
        <f t="shared" si="45"/>
        <v>1125</v>
      </c>
      <c r="AW7" s="2">
        <f t="shared" si="46"/>
        <v>965</v>
      </c>
      <c r="AX7" s="2">
        <f t="shared" si="47"/>
        <v>766</v>
      </c>
    </row>
    <row r="8" ht="14.25" customHeight="1">
      <c r="A8" s="2" t="str">
        <f t="array" ref="A8">IFERROR(INDEX('Product Price'!A:A,SMALL('Product Price'!$D:$D,6)),"")</f>
        <v>HONOR 600 Pro 5G 12/512 GB</v>
      </c>
      <c r="B8" s="23">
        <f t="array" ref="B8">IFERROR(INDEX('Product Price'!B:B,SMALL('Product Price'!$D:$D,6)),"")</f>
        <v>29999</v>
      </c>
      <c r="C8" s="2">
        <f t="array" ref="C8">IFERROR(INDEX('Product Price'!C:C,SMALL('Product Price'!$D:$D,6)),"")</f>
        <v>5</v>
      </c>
      <c r="D8" s="2">
        <f t="shared" si="1"/>
        <v>1900</v>
      </c>
      <c r="E8" s="23">
        <f t="shared" si="2"/>
        <v>31899</v>
      </c>
      <c r="F8" s="25">
        <f t="shared" si="48"/>
        <v>4500</v>
      </c>
      <c r="G8" s="23">
        <f t="shared" si="4"/>
        <v>25499</v>
      </c>
      <c r="H8" s="23">
        <f t="shared" si="5"/>
        <v>27399</v>
      </c>
      <c r="I8" s="2">
        <f t="shared" si="6"/>
        <v>5224</v>
      </c>
      <c r="J8" s="2">
        <f t="shared" si="7"/>
        <v>3595</v>
      </c>
      <c r="K8" s="2">
        <f t="shared" si="8"/>
        <v>2781</v>
      </c>
      <c r="L8" s="2">
        <f t="shared" si="9"/>
        <v>2292</v>
      </c>
      <c r="M8" s="2">
        <f t="shared" si="10"/>
        <v>1966</v>
      </c>
      <c r="N8" s="2">
        <f t="shared" si="11"/>
        <v>1559</v>
      </c>
      <c r="O8" s="25">
        <f t="shared" si="12"/>
        <v>6000</v>
      </c>
      <c r="P8" s="23">
        <f t="shared" si="13"/>
        <v>23999</v>
      </c>
      <c r="Q8" s="23">
        <f t="shared" si="14"/>
        <v>25899</v>
      </c>
      <c r="R8" s="2">
        <f t="shared" si="15"/>
        <v>4938</v>
      </c>
      <c r="S8" s="2">
        <f t="shared" si="16"/>
        <v>3398</v>
      </c>
      <c r="T8" s="2">
        <f t="shared" si="17"/>
        <v>2629</v>
      </c>
      <c r="U8" s="2">
        <f t="shared" si="18"/>
        <v>2167</v>
      </c>
      <c r="V8" s="2">
        <f t="shared" si="19"/>
        <v>1859</v>
      </c>
      <c r="W8" s="2">
        <f t="shared" si="20"/>
        <v>1474</v>
      </c>
      <c r="X8" s="25">
        <f t="shared" si="21"/>
        <v>7500</v>
      </c>
      <c r="Y8" s="23">
        <f t="shared" si="22"/>
        <v>22499</v>
      </c>
      <c r="Z8" s="23">
        <f t="shared" si="23"/>
        <v>24399</v>
      </c>
      <c r="AA8" s="2">
        <f t="shared" si="24"/>
        <v>4652</v>
      </c>
      <c r="AB8" s="2">
        <f t="shared" si="25"/>
        <v>3201</v>
      </c>
      <c r="AC8" s="2">
        <f t="shared" si="26"/>
        <v>2476</v>
      </c>
      <c r="AD8" s="2">
        <f t="shared" si="27"/>
        <v>2041</v>
      </c>
      <c r="AE8" s="2">
        <f t="shared" si="28"/>
        <v>1751</v>
      </c>
      <c r="AF8" s="2">
        <f t="shared" si="29"/>
        <v>1389</v>
      </c>
      <c r="AG8" s="25">
        <f t="shared" si="30"/>
        <v>10500</v>
      </c>
      <c r="AH8" s="23">
        <f t="shared" si="31"/>
        <v>19499</v>
      </c>
      <c r="AI8" s="23">
        <f t="shared" si="32"/>
        <v>21399</v>
      </c>
      <c r="AJ8" s="2">
        <f t="shared" si="33"/>
        <v>4080</v>
      </c>
      <c r="AK8" s="2">
        <f t="shared" si="34"/>
        <v>2808</v>
      </c>
      <c r="AL8" s="2">
        <f t="shared" si="35"/>
        <v>2172</v>
      </c>
      <c r="AM8" s="2">
        <f t="shared" si="36"/>
        <v>1790</v>
      </c>
      <c r="AN8" s="2">
        <f t="shared" si="37"/>
        <v>1536</v>
      </c>
      <c r="AO8" s="2">
        <f t="shared" si="38"/>
        <v>1218</v>
      </c>
      <c r="AP8" s="25">
        <f t="shared" si="39"/>
        <v>12000</v>
      </c>
      <c r="AQ8" s="23">
        <f t="shared" si="40"/>
        <v>17999</v>
      </c>
      <c r="AR8" s="23">
        <f t="shared" si="41"/>
        <v>19899</v>
      </c>
      <c r="AS8" s="2">
        <f t="shared" si="42"/>
        <v>3794</v>
      </c>
      <c r="AT8" s="2">
        <f t="shared" si="43"/>
        <v>2611</v>
      </c>
      <c r="AU8" s="2">
        <f t="shared" si="44"/>
        <v>2020</v>
      </c>
      <c r="AV8" s="2">
        <f t="shared" si="45"/>
        <v>1665</v>
      </c>
      <c r="AW8" s="2">
        <f t="shared" si="46"/>
        <v>1428</v>
      </c>
      <c r="AX8" s="2">
        <f t="shared" si="47"/>
        <v>1133</v>
      </c>
    </row>
    <row r="9" ht="14.25" customHeight="1">
      <c r="A9" s="2" t="str">
        <f t="array" ref="A9">IFERROR(INDEX('Product Price'!A:A,SMALL('Product Price'!$D:$D,7)),"")</f>
        <v>HONOR X7e 6/256 GB</v>
      </c>
      <c r="B9" s="23">
        <f t="array" ref="B9">IFERROR(INDEX('Product Price'!B:B,SMALL('Product Price'!$D:$D,7)),"")</f>
        <v>8999</v>
      </c>
      <c r="C9" s="2">
        <f t="array" ref="C9">IFERROR(INDEX('Product Price'!C:C,SMALL('Product Price'!$D:$D,7)),"")</f>
        <v>159</v>
      </c>
      <c r="D9" s="2">
        <f t="shared" si="1"/>
        <v>795</v>
      </c>
      <c r="E9" s="23">
        <f t="shared" si="2"/>
        <v>9794</v>
      </c>
      <c r="F9" s="25">
        <f t="shared" si="48"/>
        <v>1350</v>
      </c>
      <c r="G9" s="23">
        <f t="shared" si="4"/>
        <v>7649</v>
      </c>
      <c r="H9" s="23">
        <f t="shared" si="5"/>
        <v>8444</v>
      </c>
      <c r="I9" s="2">
        <f t="shared" si="6"/>
        <v>1610</v>
      </c>
      <c r="J9" s="2">
        <f t="shared" si="7"/>
        <v>1108</v>
      </c>
      <c r="K9" s="2">
        <f t="shared" si="8"/>
        <v>857</v>
      </c>
      <c r="L9" s="2">
        <f t="shared" si="9"/>
        <v>707</v>
      </c>
      <c r="M9" s="2">
        <f t="shared" si="10"/>
        <v>606</v>
      </c>
      <c r="N9" s="2">
        <f t="shared" si="11"/>
        <v>481</v>
      </c>
      <c r="O9" s="25">
        <f t="shared" si="12"/>
        <v>1800</v>
      </c>
      <c r="P9" s="23">
        <f t="shared" si="13"/>
        <v>7199</v>
      </c>
      <c r="Q9" s="23">
        <f t="shared" si="14"/>
        <v>7994</v>
      </c>
      <c r="R9" s="2">
        <f t="shared" si="15"/>
        <v>1524</v>
      </c>
      <c r="S9" s="2">
        <f t="shared" si="16"/>
        <v>1049</v>
      </c>
      <c r="T9" s="2">
        <f t="shared" si="17"/>
        <v>812</v>
      </c>
      <c r="U9" s="2">
        <f t="shared" si="18"/>
        <v>669</v>
      </c>
      <c r="V9" s="2">
        <f t="shared" si="19"/>
        <v>574</v>
      </c>
      <c r="W9" s="2">
        <f t="shared" si="20"/>
        <v>455</v>
      </c>
      <c r="X9" s="25">
        <f t="shared" si="21"/>
        <v>2250</v>
      </c>
      <c r="Y9" s="23">
        <f t="shared" si="22"/>
        <v>6749</v>
      </c>
      <c r="Z9" s="23">
        <f t="shared" si="23"/>
        <v>7544</v>
      </c>
      <c r="AA9" s="2">
        <f t="shared" si="24"/>
        <v>1439</v>
      </c>
      <c r="AB9" s="2">
        <f t="shared" si="25"/>
        <v>990</v>
      </c>
      <c r="AC9" s="2">
        <f t="shared" si="26"/>
        <v>766</v>
      </c>
      <c r="AD9" s="2">
        <f t="shared" si="27"/>
        <v>631</v>
      </c>
      <c r="AE9" s="2">
        <f t="shared" si="28"/>
        <v>542</v>
      </c>
      <c r="AF9" s="2">
        <f t="shared" si="29"/>
        <v>430</v>
      </c>
      <c r="AG9" s="25">
        <f t="shared" si="30"/>
        <v>3150</v>
      </c>
      <c r="AH9" s="23">
        <f t="shared" si="31"/>
        <v>5849</v>
      </c>
      <c r="AI9" s="23">
        <f t="shared" si="32"/>
        <v>6644</v>
      </c>
      <c r="AJ9" s="2">
        <f t="shared" si="33"/>
        <v>1267</v>
      </c>
      <c r="AK9" s="2">
        <f t="shared" si="34"/>
        <v>872</v>
      </c>
      <c r="AL9" s="2">
        <f t="shared" si="35"/>
        <v>675</v>
      </c>
      <c r="AM9" s="2">
        <f t="shared" si="36"/>
        <v>556</v>
      </c>
      <c r="AN9" s="2">
        <f t="shared" si="37"/>
        <v>477</v>
      </c>
      <c r="AO9" s="2" t="str">
        <f t="shared" si="38"/>
        <v>-</v>
      </c>
      <c r="AP9" s="25">
        <f t="shared" si="39"/>
        <v>3600</v>
      </c>
      <c r="AQ9" s="23">
        <f t="shared" si="40"/>
        <v>5399</v>
      </c>
      <c r="AR9" s="23">
        <f t="shared" si="41"/>
        <v>6194</v>
      </c>
      <c r="AS9" s="2">
        <f t="shared" si="42"/>
        <v>1181</v>
      </c>
      <c r="AT9" s="2">
        <f t="shared" si="43"/>
        <v>813</v>
      </c>
      <c r="AU9" s="2">
        <f t="shared" si="44"/>
        <v>629</v>
      </c>
      <c r="AV9" s="2">
        <f t="shared" si="45"/>
        <v>519</v>
      </c>
      <c r="AW9" s="2">
        <f t="shared" si="46"/>
        <v>445</v>
      </c>
      <c r="AX9" s="2" t="str">
        <f t="shared" si="47"/>
        <v>-</v>
      </c>
    </row>
    <row r="10" ht="14.25" customHeight="1">
      <c r="A10" s="2" t="str">
        <f t="array" ref="A10">IFERROR(INDEX('Product Price'!A:A,SMALL('Product Price'!$D:$D,8)),"")</f>
        <v>HONOR X7e 6/128 GB</v>
      </c>
      <c r="B10" s="23">
        <f t="array" ref="B10">IFERROR(INDEX('Product Price'!B:B,SMALL('Product Price'!$D:$D,8)),"")</f>
        <v>7999</v>
      </c>
      <c r="C10" s="2">
        <f t="array" ref="C10">IFERROR(INDEX('Product Price'!C:C,SMALL('Product Price'!$D:$D,8)),"")</f>
        <v>160</v>
      </c>
      <c r="D10" s="2">
        <f t="shared" si="1"/>
        <v>795</v>
      </c>
      <c r="E10" s="23">
        <f t="shared" si="2"/>
        <v>8794</v>
      </c>
      <c r="F10" s="25">
        <f t="shared" si="48"/>
        <v>1200</v>
      </c>
      <c r="G10" s="23">
        <f t="shared" si="4"/>
        <v>6799</v>
      </c>
      <c r="H10" s="23">
        <f t="shared" si="5"/>
        <v>7594</v>
      </c>
      <c r="I10" s="2">
        <f t="shared" si="6"/>
        <v>1448</v>
      </c>
      <c r="J10" s="2">
        <f t="shared" si="7"/>
        <v>997</v>
      </c>
      <c r="K10" s="2">
        <f t="shared" si="8"/>
        <v>771</v>
      </c>
      <c r="L10" s="2">
        <f t="shared" si="9"/>
        <v>636</v>
      </c>
      <c r="M10" s="2">
        <f t="shared" si="10"/>
        <v>545</v>
      </c>
      <c r="N10" s="2">
        <f t="shared" si="11"/>
        <v>433</v>
      </c>
      <c r="O10" s="25">
        <f t="shared" si="12"/>
        <v>1600</v>
      </c>
      <c r="P10" s="23">
        <f t="shared" si="13"/>
        <v>6399</v>
      </c>
      <c r="Q10" s="23">
        <f t="shared" si="14"/>
        <v>7194</v>
      </c>
      <c r="R10" s="2">
        <f t="shared" si="15"/>
        <v>1372</v>
      </c>
      <c r="S10" s="2">
        <f t="shared" si="16"/>
        <v>944</v>
      </c>
      <c r="T10" s="2">
        <f t="shared" si="17"/>
        <v>730</v>
      </c>
      <c r="U10" s="2">
        <f t="shared" si="18"/>
        <v>602</v>
      </c>
      <c r="V10" s="2">
        <f t="shared" si="19"/>
        <v>517</v>
      </c>
      <c r="W10" s="2">
        <f t="shared" si="20"/>
        <v>410</v>
      </c>
      <c r="X10" s="25">
        <f t="shared" si="21"/>
        <v>2000</v>
      </c>
      <c r="Y10" s="23">
        <f t="shared" si="22"/>
        <v>5999</v>
      </c>
      <c r="Z10" s="23">
        <f t="shared" si="23"/>
        <v>6794</v>
      </c>
      <c r="AA10" s="2">
        <f t="shared" si="24"/>
        <v>1296</v>
      </c>
      <c r="AB10" s="2">
        <f t="shared" si="25"/>
        <v>892</v>
      </c>
      <c r="AC10" s="2">
        <f t="shared" si="26"/>
        <v>690</v>
      </c>
      <c r="AD10" s="2">
        <f t="shared" si="27"/>
        <v>569</v>
      </c>
      <c r="AE10" s="2">
        <f t="shared" si="28"/>
        <v>488</v>
      </c>
      <c r="AF10" s="2" t="str">
        <f t="shared" si="29"/>
        <v>-</v>
      </c>
      <c r="AG10" s="25">
        <f t="shared" si="30"/>
        <v>2800</v>
      </c>
      <c r="AH10" s="23">
        <f t="shared" si="31"/>
        <v>5199</v>
      </c>
      <c r="AI10" s="23">
        <f t="shared" si="32"/>
        <v>5994</v>
      </c>
      <c r="AJ10" s="2">
        <f t="shared" si="33"/>
        <v>1143</v>
      </c>
      <c r="AK10" s="2">
        <f t="shared" si="34"/>
        <v>787</v>
      </c>
      <c r="AL10" s="2">
        <f t="shared" si="35"/>
        <v>609</v>
      </c>
      <c r="AM10" s="2">
        <f t="shared" si="36"/>
        <v>502</v>
      </c>
      <c r="AN10" s="2">
        <f t="shared" si="37"/>
        <v>431</v>
      </c>
      <c r="AO10" s="2" t="str">
        <f t="shared" si="38"/>
        <v>-</v>
      </c>
      <c r="AP10" s="25">
        <f t="shared" si="39"/>
        <v>3200</v>
      </c>
      <c r="AQ10" s="23">
        <f t="shared" si="40"/>
        <v>4799</v>
      </c>
      <c r="AR10" s="23">
        <f t="shared" si="41"/>
        <v>5594</v>
      </c>
      <c r="AS10" s="2">
        <f t="shared" si="42"/>
        <v>1067</v>
      </c>
      <c r="AT10" s="2">
        <f t="shared" si="43"/>
        <v>734</v>
      </c>
      <c r="AU10" s="2">
        <f t="shared" si="44"/>
        <v>568</v>
      </c>
      <c r="AV10" s="2">
        <f t="shared" si="45"/>
        <v>468</v>
      </c>
      <c r="AW10" s="2">
        <f t="shared" si="46"/>
        <v>402</v>
      </c>
      <c r="AX10" s="2" t="str">
        <f t="shared" si="47"/>
        <v>-</v>
      </c>
    </row>
    <row r="11" ht="14.25" customHeight="1">
      <c r="A11" s="2" t="str">
        <f t="array" ref="A11">IFERROR(INDEX('Product Price'!A:A,SMALL('Product Price'!$D:$D,9)),"")</f>
        <v>HONOR Pad X8b 6/128 GB</v>
      </c>
      <c r="B11" s="23">
        <f t="array" ref="B11">IFERROR(INDEX('Product Price'!B:B,SMALL('Product Price'!$D:$D,9)),"")</f>
        <v>8999</v>
      </c>
      <c r="C11" s="2">
        <f t="array" ref="C11">IFERROR(INDEX('Product Price'!C:C,SMALL('Product Price'!$D:$D,9)),"")</f>
        <v>6</v>
      </c>
      <c r="D11" s="2">
        <f t="shared" si="1"/>
        <v>795</v>
      </c>
      <c r="E11" s="23">
        <f t="shared" si="2"/>
        <v>9794</v>
      </c>
      <c r="F11" s="25">
        <f t="shared" si="48"/>
        <v>1350</v>
      </c>
      <c r="G11" s="23">
        <f t="shared" si="4"/>
        <v>7649</v>
      </c>
      <c r="H11" s="23">
        <f t="shared" si="5"/>
        <v>8444</v>
      </c>
      <c r="I11" s="2">
        <f t="shared" si="6"/>
        <v>1610</v>
      </c>
      <c r="J11" s="2">
        <f t="shared" si="7"/>
        <v>1108</v>
      </c>
      <c r="K11" s="2">
        <f t="shared" si="8"/>
        <v>857</v>
      </c>
      <c r="L11" s="2">
        <f t="shared" si="9"/>
        <v>707</v>
      </c>
      <c r="M11" s="2">
        <f t="shared" si="10"/>
        <v>606</v>
      </c>
      <c r="N11" s="2">
        <f t="shared" si="11"/>
        <v>481</v>
      </c>
      <c r="O11" s="25">
        <f t="shared" si="12"/>
        <v>1800</v>
      </c>
      <c r="P11" s="23">
        <f t="shared" si="13"/>
        <v>7199</v>
      </c>
      <c r="Q11" s="23">
        <f t="shared" si="14"/>
        <v>7994</v>
      </c>
      <c r="R11" s="2">
        <f t="shared" si="15"/>
        <v>1524</v>
      </c>
      <c r="S11" s="2">
        <f t="shared" si="16"/>
        <v>1049</v>
      </c>
      <c r="T11" s="2">
        <f t="shared" si="17"/>
        <v>812</v>
      </c>
      <c r="U11" s="2">
        <f t="shared" si="18"/>
        <v>669</v>
      </c>
      <c r="V11" s="2">
        <f t="shared" si="19"/>
        <v>574</v>
      </c>
      <c r="W11" s="2">
        <f t="shared" si="20"/>
        <v>455</v>
      </c>
      <c r="X11" s="25">
        <f t="shared" si="21"/>
        <v>2250</v>
      </c>
      <c r="Y11" s="23">
        <f t="shared" si="22"/>
        <v>6749</v>
      </c>
      <c r="Z11" s="23">
        <f t="shared" si="23"/>
        <v>7544</v>
      </c>
      <c r="AA11" s="2">
        <f t="shared" si="24"/>
        <v>1439</v>
      </c>
      <c r="AB11" s="2">
        <f t="shared" si="25"/>
        <v>990</v>
      </c>
      <c r="AC11" s="2">
        <f t="shared" si="26"/>
        <v>766</v>
      </c>
      <c r="AD11" s="2">
        <f t="shared" si="27"/>
        <v>631</v>
      </c>
      <c r="AE11" s="2">
        <f t="shared" si="28"/>
        <v>542</v>
      </c>
      <c r="AF11" s="2">
        <f t="shared" si="29"/>
        <v>430</v>
      </c>
      <c r="AG11" s="25">
        <f t="shared" si="30"/>
        <v>3150</v>
      </c>
      <c r="AH11" s="23">
        <f t="shared" si="31"/>
        <v>5849</v>
      </c>
      <c r="AI11" s="23">
        <f t="shared" si="32"/>
        <v>6644</v>
      </c>
      <c r="AJ11" s="2">
        <f t="shared" si="33"/>
        <v>1267</v>
      </c>
      <c r="AK11" s="2">
        <f t="shared" si="34"/>
        <v>872</v>
      </c>
      <c r="AL11" s="2">
        <f t="shared" si="35"/>
        <v>675</v>
      </c>
      <c r="AM11" s="2">
        <f t="shared" si="36"/>
        <v>556</v>
      </c>
      <c r="AN11" s="2">
        <f t="shared" si="37"/>
        <v>477</v>
      </c>
      <c r="AO11" s="2" t="str">
        <f t="shared" si="38"/>
        <v>-</v>
      </c>
      <c r="AP11" s="25">
        <f t="shared" si="39"/>
        <v>3600</v>
      </c>
      <c r="AQ11" s="23">
        <f t="shared" si="40"/>
        <v>5399</v>
      </c>
      <c r="AR11" s="23">
        <f t="shared" si="41"/>
        <v>6194</v>
      </c>
      <c r="AS11" s="2">
        <f t="shared" si="42"/>
        <v>1181</v>
      </c>
      <c r="AT11" s="2">
        <f t="shared" si="43"/>
        <v>813</v>
      </c>
      <c r="AU11" s="2">
        <f t="shared" si="44"/>
        <v>629</v>
      </c>
      <c r="AV11" s="2">
        <f t="shared" si="45"/>
        <v>519</v>
      </c>
      <c r="AW11" s="2">
        <f t="shared" si="46"/>
        <v>445</v>
      </c>
      <c r="AX11" s="2" t="str">
        <f t="shared" si="47"/>
        <v>-</v>
      </c>
    </row>
    <row r="12" ht="14.25" customHeight="1">
      <c r="A12" s="2" t="str">
        <f t="array" ref="A12">IFERROR(INDEX('Product Price'!A:A,SMALL('Product Price'!$D:$D,10)),"")</f>
        <v>HUAWEI Mate X7 16/512 GB</v>
      </c>
      <c r="B12" s="23">
        <f t="array" ref="B12">IFERROR(INDEX('Product Price'!B:B,SMALL('Product Price'!$D:$D,10)),"")</f>
        <v>59990</v>
      </c>
      <c r="C12" s="2">
        <f t="array" ref="C12">IFERROR(INDEX('Product Price'!C:C,SMALL('Product Price'!$D:$D,10)),"")</f>
        <v>7</v>
      </c>
      <c r="D12" s="2">
        <f t="shared" si="1"/>
        <v>2475</v>
      </c>
      <c r="E12" s="23">
        <f t="shared" si="2"/>
        <v>62465</v>
      </c>
      <c r="F12" s="25">
        <f t="shared" si="48"/>
        <v>8999</v>
      </c>
      <c r="G12" s="23">
        <f t="shared" si="4"/>
        <v>50991</v>
      </c>
      <c r="H12" s="23">
        <f t="shared" si="5"/>
        <v>53466</v>
      </c>
      <c r="I12" s="2">
        <f t="shared" si="6"/>
        <v>10193</v>
      </c>
      <c r="J12" s="2">
        <f t="shared" si="7"/>
        <v>7015</v>
      </c>
      <c r="K12" s="2">
        <f t="shared" si="8"/>
        <v>5426</v>
      </c>
      <c r="L12" s="2">
        <f t="shared" si="9"/>
        <v>4472</v>
      </c>
      <c r="M12" s="2">
        <f t="shared" si="10"/>
        <v>3837</v>
      </c>
      <c r="N12" s="2">
        <f t="shared" si="11"/>
        <v>3042</v>
      </c>
      <c r="O12" s="25">
        <f t="shared" si="12"/>
        <v>11998</v>
      </c>
      <c r="P12" s="23">
        <f t="shared" si="13"/>
        <v>47992</v>
      </c>
      <c r="Q12" s="23">
        <f t="shared" si="14"/>
        <v>50467</v>
      </c>
      <c r="R12" s="2">
        <f t="shared" si="15"/>
        <v>9621</v>
      </c>
      <c r="S12" s="2">
        <f t="shared" si="16"/>
        <v>6621</v>
      </c>
      <c r="T12" s="2">
        <f t="shared" si="17"/>
        <v>5121</v>
      </c>
      <c r="U12" s="2">
        <f t="shared" si="18"/>
        <v>4221</v>
      </c>
      <c r="V12" s="2">
        <f t="shared" si="19"/>
        <v>3621</v>
      </c>
      <c r="W12" s="2">
        <f t="shared" si="20"/>
        <v>2871</v>
      </c>
      <c r="X12" s="25">
        <f t="shared" si="21"/>
        <v>14998</v>
      </c>
      <c r="Y12" s="23">
        <f t="shared" si="22"/>
        <v>44992</v>
      </c>
      <c r="Z12" s="23">
        <f t="shared" si="23"/>
        <v>47467</v>
      </c>
      <c r="AA12" s="2">
        <f t="shared" si="24"/>
        <v>9050</v>
      </c>
      <c r="AB12" s="2">
        <f t="shared" si="25"/>
        <v>6228</v>
      </c>
      <c r="AC12" s="2">
        <f t="shared" si="26"/>
        <v>4817</v>
      </c>
      <c r="AD12" s="2">
        <f t="shared" si="27"/>
        <v>3971</v>
      </c>
      <c r="AE12" s="2">
        <f t="shared" si="28"/>
        <v>3406</v>
      </c>
      <c r="AF12" s="2">
        <f t="shared" si="29"/>
        <v>2701</v>
      </c>
      <c r="AG12" s="25">
        <f t="shared" si="30"/>
        <v>20997</v>
      </c>
      <c r="AH12" s="23">
        <f t="shared" si="31"/>
        <v>38993</v>
      </c>
      <c r="AI12" s="23">
        <f t="shared" si="32"/>
        <v>41468</v>
      </c>
      <c r="AJ12" s="2">
        <f t="shared" si="33"/>
        <v>7906</v>
      </c>
      <c r="AK12" s="2">
        <f t="shared" si="34"/>
        <v>5441</v>
      </c>
      <c r="AL12" s="2">
        <f t="shared" si="35"/>
        <v>4208</v>
      </c>
      <c r="AM12" s="2">
        <f t="shared" si="36"/>
        <v>3469</v>
      </c>
      <c r="AN12" s="2">
        <f t="shared" si="37"/>
        <v>2976</v>
      </c>
      <c r="AO12" s="2">
        <f t="shared" si="38"/>
        <v>2360</v>
      </c>
      <c r="AP12" s="25">
        <f t="shared" si="39"/>
        <v>23996</v>
      </c>
      <c r="AQ12" s="23">
        <f t="shared" si="40"/>
        <v>35994</v>
      </c>
      <c r="AR12" s="23">
        <f t="shared" si="41"/>
        <v>38469</v>
      </c>
      <c r="AS12" s="2">
        <f t="shared" si="42"/>
        <v>7334</v>
      </c>
      <c r="AT12" s="2">
        <f t="shared" si="43"/>
        <v>5047</v>
      </c>
      <c r="AU12" s="2">
        <f t="shared" si="44"/>
        <v>3904</v>
      </c>
      <c r="AV12" s="2">
        <f t="shared" si="45"/>
        <v>3218</v>
      </c>
      <c r="AW12" s="2">
        <f t="shared" si="46"/>
        <v>2761</v>
      </c>
      <c r="AX12" s="2">
        <f t="shared" si="47"/>
        <v>2189</v>
      </c>
    </row>
    <row r="13" ht="14.25" customHeight="1">
      <c r="A13" s="2" t="str">
        <f t="array" ref="A13">IFERROR(INDEX('Product Price'!A:A,SMALL('Product Price'!$D:$D,11)),"")</f>
        <v>HUAWEI Pura 90s ProMax 12/512 GB</v>
      </c>
      <c r="B13" s="23">
        <f t="array" ref="B13">IFERROR(INDEX('Product Price'!B:B,SMALL('Product Price'!$D:$D,11)),"")</f>
        <v>49990</v>
      </c>
      <c r="C13" s="2">
        <f t="array" ref="C13">IFERROR(INDEX('Product Price'!C:C,SMALL('Product Price'!$D:$D,11)),"")</f>
        <v>177</v>
      </c>
      <c r="D13" s="2">
        <f t="shared" si="1"/>
        <v>2475</v>
      </c>
      <c r="E13" s="23">
        <f t="shared" si="2"/>
        <v>52465</v>
      </c>
      <c r="F13" s="25">
        <f t="shared" si="48"/>
        <v>7499</v>
      </c>
      <c r="G13" s="23">
        <f t="shared" si="4"/>
        <v>42491</v>
      </c>
      <c r="H13" s="23">
        <f t="shared" si="5"/>
        <v>44966</v>
      </c>
      <c r="I13" s="2">
        <f t="shared" si="6"/>
        <v>8573</v>
      </c>
      <c r="J13" s="2">
        <f t="shared" si="7"/>
        <v>5900</v>
      </c>
      <c r="K13" s="2">
        <f t="shared" si="8"/>
        <v>4563</v>
      </c>
      <c r="L13" s="2">
        <f t="shared" si="9"/>
        <v>3761</v>
      </c>
      <c r="M13" s="2">
        <f t="shared" si="10"/>
        <v>3227</v>
      </c>
      <c r="N13" s="2">
        <f t="shared" si="11"/>
        <v>2559</v>
      </c>
      <c r="O13" s="25">
        <f t="shared" si="12"/>
        <v>9998</v>
      </c>
      <c r="P13" s="23">
        <f t="shared" si="13"/>
        <v>39992</v>
      </c>
      <c r="Q13" s="23">
        <f t="shared" si="14"/>
        <v>42467</v>
      </c>
      <c r="R13" s="2">
        <f t="shared" si="15"/>
        <v>8096</v>
      </c>
      <c r="S13" s="2">
        <f t="shared" si="16"/>
        <v>5572</v>
      </c>
      <c r="T13" s="2">
        <f t="shared" si="17"/>
        <v>4310</v>
      </c>
      <c r="U13" s="2">
        <f t="shared" si="18"/>
        <v>3552</v>
      </c>
      <c r="V13" s="2">
        <f t="shared" si="19"/>
        <v>3047</v>
      </c>
      <c r="W13" s="2">
        <f t="shared" si="20"/>
        <v>2416</v>
      </c>
      <c r="X13" s="25">
        <f t="shared" si="21"/>
        <v>12498</v>
      </c>
      <c r="Y13" s="23">
        <f t="shared" si="22"/>
        <v>37492</v>
      </c>
      <c r="Z13" s="23">
        <f t="shared" si="23"/>
        <v>39967</v>
      </c>
      <c r="AA13" s="2">
        <f t="shared" si="24"/>
        <v>7620</v>
      </c>
      <c r="AB13" s="2">
        <f t="shared" si="25"/>
        <v>5244</v>
      </c>
      <c r="AC13" s="2">
        <f t="shared" si="26"/>
        <v>4056</v>
      </c>
      <c r="AD13" s="2">
        <f t="shared" si="27"/>
        <v>3343</v>
      </c>
      <c r="AE13" s="2">
        <f t="shared" si="28"/>
        <v>2868</v>
      </c>
      <c r="AF13" s="2">
        <f t="shared" si="29"/>
        <v>2274</v>
      </c>
      <c r="AG13" s="25">
        <f t="shared" si="30"/>
        <v>17497</v>
      </c>
      <c r="AH13" s="23">
        <f t="shared" si="31"/>
        <v>32493</v>
      </c>
      <c r="AI13" s="23">
        <f t="shared" si="32"/>
        <v>34968</v>
      </c>
      <c r="AJ13" s="2">
        <f t="shared" si="33"/>
        <v>6667</v>
      </c>
      <c r="AK13" s="2">
        <f t="shared" si="34"/>
        <v>4588</v>
      </c>
      <c r="AL13" s="2">
        <f t="shared" si="35"/>
        <v>3549</v>
      </c>
      <c r="AM13" s="2">
        <f t="shared" si="36"/>
        <v>2925</v>
      </c>
      <c r="AN13" s="2">
        <f t="shared" si="37"/>
        <v>2509</v>
      </c>
      <c r="AO13" s="2">
        <f t="shared" si="38"/>
        <v>1990</v>
      </c>
      <c r="AP13" s="25">
        <f t="shared" si="39"/>
        <v>19996</v>
      </c>
      <c r="AQ13" s="23">
        <f t="shared" si="40"/>
        <v>29994</v>
      </c>
      <c r="AR13" s="23">
        <f t="shared" si="41"/>
        <v>32469</v>
      </c>
      <c r="AS13" s="2">
        <f t="shared" si="42"/>
        <v>6190</v>
      </c>
      <c r="AT13" s="2">
        <f t="shared" si="43"/>
        <v>4260</v>
      </c>
      <c r="AU13" s="2">
        <f t="shared" si="44"/>
        <v>3295</v>
      </c>
      <c r="AV13" s="2">
        <f t="shared" si="45"/>
        <v>2716</v>
      </c>
      <c r="AW13" s="2">
        <f t="shared" si="46"/>
        <v>2330</v>
      </c>
      <c r="AX13" s="2">
        <f t="shared" si="47"/>
        <v>1848</v>
      </c>
    </row>
    <row r="14" ht="14.25" customHeight="1">
      <c r="A14" s="2" t="str">
        <f t="array" ref="A14">IFERROR(INDEX('Product Price'!A:A,SMALL('Product Price'!$D:$D,12)),"")</f>
        <v>HUAWEI Pura 90s 12/512 GB</v>
      </c>
      <c r="B14" s="23">
        <f t="array" ref="B14">IFERROR(INDEX('Product Price'!B:B,SMALL('Product Price'!$D:$D,12)),"")</f>
        <v>38990</v>
      </c>
      <c r="C14" s="2">
        <f t="array" ref="C14">IFERROR(INDEX('Product Price'!C:C,SMALL('Product Price'!$D:$D,12)),"")</f>
        <v>178</v>
      </c>
      <c r="D14" s="2">
        <f t="shared" si="1"/>
        <v>1900</v>
      </c>
      <c r="E14" s="23">
        <f t="shared" si="2"/>
        <v>40890</v>
      </c>
      <c r="F14" s="25">
        <f t="shared" si="48"/>
        <v>5849</v>
      </c>
      <c r="G14" s="23">
        <f t="shared" si="4"/>
        <v>33141</v>
      </c>
      <c r="H14" s="23">
        <f t="shared" si="5"/>
        <v>35041</v>
      </c>
      <c r="I14" s="2">
        <f t="shared" si="6"/>
        <v>6681</v>
      </c>
      <c r="J14" s="2">
        <f t="shared" si="7"/>
        <v>4598</v>
      </c>
      <c r="K14" s="2">
        <f t="shared" si="8"/>
        <v>3556</v>
      </c>
      <c r="L14" s="2">
        <f t="shared" si="9"/>
        <v>2931</v>
      </c>
      <c r="M14" s="2">
        <f t="shared" si="10"/>
        <v>2515</v>
      </c>
      <c r="N14" s="2">
        <f t="shared" si="11"/>
        <v>1994</v>
      </c>
      <c r="O14" s="25">
        <f t="shared" si="12"/>
        <v>7798</v>
      </c>
      <c r="P14" s="23">
        <f t="shared" si="13"/>
        <v>31192</v>
      </c>
      <c r="Q14" s="23">
        <f t="shared" si="14"/>
        <v>33092</v>
      </c>
      <c r="R14" s="2">
        <f t="shared" si="15"/>
        <v>6309</v>
      </c>
      <c r="S14" s="2">
        <f t="shared" si="16"/>
        <v>4342</v>
      </c>
      <c r="T14" s="2">
        <f t="shared" si="17"/>
        <v>3358</v>
      </c>
      <c r="U14" s="2">
        <f t="shared" si="18"/>
        <v>2768</v>
      </c>
      <c r="V14" s="2">
        <f t="shared" si="19"/>
        <v>2375</v>
      </c>
      <c r="W14" s="2">
        <f t="shared" si="20"/>
        <v>1883</v>
      </c>
      <c r="X14" s="25">
        <f t="shared" si="21"/>
        <v>9748</v>
      </c>
      <c r="Y14" s="23">
        <f t="shared" si="22"/>
        <v>29242</v>
      </c>
      <c r="Z14" s="23">
        <f t="shared" si="23"/>
        <v>31142</v>
      </c>
      <c r="AA14" s="2">
        <f t="shared" si="24"/>
        <v>5937</v>
      </c>
      <c r="AB14" s="2">
        <f t="shared" si="25"/>
        <v>4086</v>
      </c>
      <c r="AC14" s="2">
        <f t="shared" si="26"/>
        <v>3161</v>
      </c>
      <c r="AD14" s="2">
        <f t="shared" si="27"/>
        <v>2605</v>
      </c>
      <c r="AE14" s="2">
        <f t="shared" si="28"/>
        <v>2235</v>
      </c>
      <c r="AF14" s="2">
        <f t="shared" si="29"/>
        <v>1772</v>
      </c>
      <c r="AG14" s="25">
        <f t="shared" si="30"/>
        <v>13647</v>
      </c>
      <c r="AH14" s="23">
        <f t="shared" si="31"/>
        <v>25343</v>
      </c>
      <c r="AI14" s="23">
        <f t="shared" si="32"/>
        <v>27243</v>
      </c>
      <c r="AJ14" s="2">
        <f t="shared" si="33"/>
        <v>5194</v>
      </c>
      <c r="AK14" s="2">
        <f t="shared" si="34"/>
        <v>3575</v>
      </c>
      <c r="AL14" s="2">
        <f t="shared" si="35"/>
        <v>2765</v>
      </c>
      <c r="AM14" s="2">
        <f t="shared" si="36"/>
        <v>2279</v>
      </c>
      <c r="AN14" s="2">
        <f t="shared" si="37"/>
        <v>1955</v>
      </c>
      <c r="AO14" s="2">
        <f t="shared" si="38"/>
        <v>1550</v>
      </c>
      <c r="AP14" s="25">
        <f t="shared" si="39"/>
        <v>15596</v>
      </c>
      <c r="AQ14" s="23">
        <f t="shared" si="40"/>
        <v>23394</v>
      </c>
      <c r="AR14" s="23">
        <f t="shared" si="41"/>
        <v>25294</v>
      </c>
      <c r="AS14" s="2">
        <f t="shared" si="42"/>
        <v>4823</v>
      </c>
      <c r="AT14" s="2">
        <f t="shared" si="43"/>
        <v>3319</v>
      </c>
      <c r="AU14" s="2">
        <f t="shared" si="44"/>
        <v>2567</v>
      </c>
      <c r="AV14" s="2">
        <f t="shared" si="45"/>
        <v>2116</v>
      </c>
      <c r="AW14" s="2">
        <f t="shared" si="46"/>
        <v>1815</v>
      </c>
      <c r="AX14" s="2">
        <f t="shared" si="47"/>
        <v>1439</v>
      </c>
    </row>
    <row r="15" ht="14.25" customHeight="1">
      <c r="A15" s="2" t="str">
        <f t="array" ref="A15">IFERROR(INDEX('Product Price'!A:A,SMALL('Product Price'!$D:$D,13)),"")</f>
        <v>HUAWEI Pura 90s 12/256 GB</v>
      </c>
      <c r="B15" s="23">
        <f t="array" ref="B15">IFERROR(INDEX('Product Price'!B:B,SMALL('Product Price'!$D:$D,13)),"")</f>
        <v>34990</v>
      </c>
      <c r="C15" s="2">
        <f t="array" ref="C15">IFERROR(INDEX('Product Price'!C:C,SMALL('Product Price'!$D:$D,13)),"")</f>
        <v>179</v>
      </c>
      <c r="D15" s="2">
        <f t="shared" si="1"/>
        <v>1900</v>
      </c>
      <c r="E15" s="23">
        <f t="shared" si="2"/>
        <v>36890</v>
      </c>
      <c r="F15" s="25">
        <f t="shared" si="48"/>
        <v>5249</v>
      </c>
      <c r="G15" s="23">
        <f t="shared" si="4"/>
        <v>29741</v>
      </c>
      <c r="H15" s="23">
        <f t="shared" si="5"/>
        <v>31641</v>
      </c>
      <c r="I15" s="2">
        <f t="shared" si="6"/>
        <v>6032</v>
      </c>
      <c r="J15" s="2">
        <f t="shared" si="7"/>
        <v>4152</v>
      </c>
      <c r="K15" s="2">
        <f t="shared" si="8"/>
        <v>3211</v>
      </c>
      <c r="L15" s="2">
        <f t="shared" si="9"/>
        <v>2647</v>
      </c>
      <c r="M15" s="2">
        <f t="shared" si="10"/>
        <v>2271</v>
      </c>
      <c r="N15" s="2">
        <f t="shared" si="11"/>
        <v>1801</v>
      </c>
      <c r="O15" s="25">
        <f t="shared" si="12"/>
        <v>6998</v>
      </c>
      <c r="P15" s="23">
        <f t="shared" si="13"/>
        <v>27992</v>
      </c>
      <c r="Q15" s="23">
        <f t="shared" si="14"/>
        <v>29892</v>
      </c>
      <c r="R15" s="2">
        <f t="shared" si="15"/>
        <v>5699</v>
      </c>
      <c r="S15" s="2">
        <f t="shared" si="16"/>
        <v>3922</v>
      </c>
      <c r="T15" s="2">
        <f t="shared" si="17"/>
        <v>3034</v>
      </c>
      <c r="U15" s="2">
        <f t="shared" si="18"/>
        <v>2501</v>
      </c>
      <c r="V15" s="2">
        <f t="shared" si="19"/>
        <v>2145</v>
      </c>
      <c r="W15" s="2">
        <f t="shared" si="20"/>
        <v>1701</v>
      </c>
      <c r="X15" s="25">
        <f t="shared" si="21"/>
        <v>8748</v>
      </c>
      <c r="Y15" s="23">
        <f t="shared" si="22"/>
        <v>26242</v>
      </c>
      <c r="Z15" s="23">
        <f t="shared" si="23"/>
        <v>28142</v>
      </c>
      <c r="AA15" s="2">
        <f t="shared" si="24"/>
        <v>5365</v>
      </c>
      <c r="AB15" s="2">
        <f t="shared" si="25"/>
        <v>3693</v>
      </c>
      <c r="AC15" s="2">
        <f t="shared" si="26"/>
        <v>2856</v>
      </c>
      <c r="AD15" s="2">
        <f t="shared" si="27"/>
        <v>2354</v>
      </c>
      <c r="AE15" s="2">
        <f t="shared" si="28"/>
        <v>2020</v>
      </c>
      <c r="AF15" s="2">
        <f t="shared" si="29"/>
        <v>1601</v>
      </c>
      <c r="AG15" s="25">
        <f t="shared" si="30"/>
        <v>12247</v>
      </c>
      <c r="AH15" s="23">
        <f t="shared" si="31"/>
        <v>22743</v>
      </c>
      <c r="AI15" s="23">
        <f t="shared" si="32"/>
        <v>24643</v>
      </c>
      <c r="AJ15" s="2">
        <f t="shared" si="33"/>
        <v>4698</v>
      </c>
      <c r="AK15" s="2">
        <f t="shared" si="34"/>
        <v>3234</v>
      </c>
      <c r="AL15" s="2">
        <f t="shared" si="35"/>
        <v>2501</v>
      </c>
      <c r="AM15" s="2">
        <f t="shared" si="36"/>
        <v>2062</v>
      </c>
      <c r="AN15" s="2">
        <f t="shared" si="37"/>
        <v>1769</v>
      </c>
      <c r="AO15" s="2">
        <f t="shared" si="38"/>
        <v>1402</v>
      </c>
      <c r="AP15" s="25">
        <f t="shared" si="39"/>
        <v>13996</v>
      </c>
      <c r="AQ15" s="23">
        <f t="shared" si="40"/>
        <v>20994</v>
      </c>
      <c r="AR15" s="23">
        <f t="shared" si="41"/>
        <v>22894</v>
      </c>
      <c r="AS15" s="2">
        <f t="shared" si="42"/>
        <v>4365</v>
      </c>
      <c r="AT15" s="2">
        <f t="shared" si="43"/>
        <v>3004</v>
      </c>
      <c r="AU15" s="2">
        <f t="shared" si="44"/>
        <v>2324</v>
      </c>
      <c r="AV15" s="2">
        <f t="shared" si="45"/>
        <v>1915</v>
      </c>
      <c r="AW15" s="2">
        <f t="shared" si="46"/>
        <v>1643</v>
      </c>
      <c r="AX15" s="2">
        <f t="shared" si="47"/>
        <v>1303</v>
      </c>
    </row>
    <row r="16" ht="14.25" customHeight="1">
      <c r="A16" s="2" t="str">
        <f t="array" ref="A16">IFERROR(INDEX('Product Price'!A:A,SMALL('Product Price'!$D:$D,14)),"")</f>
        <v>HUAWEI 80 Pro 16/512 GB</v>
      </c>
      <c r="B16" s="23">
        <f t="array" ref="B16">IFERROR(INDEX('Product Price'!B:B,SMALL('Product Price'!$D:$D,14)),"")</f>
        <v>37990</v>
      </c>
      <c r="C16" s="2">
        <f t="array" ref="C16">IFERROR(INDEX('Product Price'!C:C,SMALL('Product Price'!$D:$D,14)),"")</f>
        <v>8</v>
      </c>
      <c r="D16" s="2">
        <f t="shared" si="1"/>
        <v>1900</v>
      </c>
      <c r="E16" s="23">
        <f t="shared" si="2"/>
        <v>39890</v>
      </c>
      <c r="F16" s="25">
        <f t="shared" si="48"/>
        <v>5699</v>
      </c>
      <c r="G16" s="23">
        <f t="shared" si="4"/>
        <v>32291</v>
      </c>
      <c r="H16" s="23">
        <f t="shared" si="5"/>
        <v>34191</v>
      </c>
      <c r="I16" s="2">
        <f t="shared" si="6"/>
        <v>6519</v>
      </c>
      <c r="J16" s="2">
        <f t="shared" si="7"/>
        <v>4486</v>
      </c>
      <c r="K16" s="2">
        <f t="shared" si="8"/>
        <v>3470</v>
      </c>
      <c r="L16" s="2">
        <f t="shared" si="9"/>
        <v>2860</v>
      </c>
      <c r="M16" s="2">
        <f t="shared" si="10"/>
        <v>2454</v>
      </c>
      <c r="N16" s="2">
        <f t="shared" si="11"/>
        <v>1946</v>
      </c>
      <c r="O16" s="25">
        <f t="shared" si="12"/>
        <v>7598</v>
      </c>
      <c r="P16" s="23">
        <f t="shared" si="13"/>
        <v>30392</v>
      </c>
      <c r="Q16" s="23">
        <f t="shared" si="14"/>
        <v>32292</v>
      </c>
      <c r="R16" s="2">
        <f t="shared" si="15"/>
        <v>6157</v>
      </c>
      <c r="S16" s="2">
        <f t="shared" si="16"/>
        <v>4237</v>
      </c>
      <c r="T16" s="2">
        <f t="shared" si="17"/>
        <v>3277</v>
      </c>
      <c r="U16" s="2">
        <f t="shared" si="18"/>
        <v>2701</v>
      </c>
      <c r="V16" s="2">
        <f t="shared" si="19"/>
        <v>2317</v>
      </c>
      <c r="W16" s="2">
        <f t="shared" si="20"/>
        <v>1838</v>
      </c>
      <c r="X16" s="25">
        <f t="shared" si="21"/>
        <v>9498</v>
      </c>
      <c r="Y16" s="23">
        <f t="shared" si="22"/>
        <v>28492</v>
      </c>
      <c r="Z16" s="23">
        <f t="shared" si="23"/>
        <v>30392</v>
      </c>
      <c r="AA16" s="2">
        <f t="shared" si="24"/>
        <v>5794</v>
      </c>
      <c r="AB16" s="2">
        <f t="shared" si="25"/>
        <v>3988</v>
      </c>
      <c r="AC16" s="2">
        <f t="shared" si="26"/>
        <v>3084</v>
      </c>
      <c r="AD16" s="2">
        <f t="shared" si="27"/>
        <v>2542</v>
      </c>
      <c r="AE16" s="2">
        <f t="shared" si="28"/>
        <v>2181</v>
      </c>
      <c r="AF16" s="2">
        <f t="shared" si="29"/>
        <v>1729</v>
      </c>
      <c r="AG16" s="25">
        <f t="shared" si="30"/>
        <v>13297</v>
      </c>
      <c r="AH16" s="23">
        <f t="shared" si="31"/>
        <v>24693</v>
      </c>
      <c r="AI16" s="23">
        <f t="shared" si="32"/>
        <v>26593</v>
      </c>
      <c r="AJ16" s="2">
        <f t="shared" si="33"/>
        <v>5070</v>
      </c>
      <c r="AK16" s="2">
        <f t="shared" si="34"/>
        <v>3489</v>
      </c>
      <c r="AL16" s="2">
        <f t="shared" si="35"/>
        <v>2699</v>
      </c>
      <c r="AM16" s="2">
        <f t="shared" si="36"/>
        <v>2225</v>
      </c>
      <c r="AN16" s="2">
        <f t="shared" si="37"/>
        <v>1909</v>
      </c>
      <c r="AO16" s="2">
        <f t="shared" si="38"/>
        <v>1513</v>
      </c>
      <c r="AP16" s="25">
        <f t="shared" si="39"/>
        <v>15196</v>
      </c>
      <c r="AQ16" s="23">
        <f t="shared" si="40"/>
        <v>22794</v>
      </c>
      <c r="AR16" s="23">
        <f t="shared" si="41"/>
        <v>24694</v>
      </c>
      <c r="AS16" s="2">
        <f t="shared" si="42"/>
        <v>4708</v>
      </c>
      <c r="AT16" s="2">
        <f t="shared" si="43"/>
        <v>3240</v>
      </c>
      <c r="AU16" s="2">
        <f t="shared" si="44"/>
        <v>2506</v>
      </c>
      <c r="AV16" s="2">
        <f t="shared" si="45"/>
        <v>2066</v>
      </c>
      <c r="AW16" s="2">
        <f t="shared" si="46"/>
        <v>1772</v>
      </c>
      <c r="AX16" s="2">
        <f t="shared" si="47"/>
        <v>1405</v>
      </c>
    </row>
    <row r="17" ht="14.25" customHeight="1">
      <c r="A17" s="2" t="str">
        <f t="array" ref="A17">IFERROR(INDEX('Product Price'!A:A,SMALL('Product Price'!$D:$D,15)),"")</f>
        <v>HUAWEI Pura 80 Ultra 16/512 GB</v>
      </c>
      <c r="B17" s="23">
        <f t="array" ref="B17">IFERROR(INDEX('Product Price'!B:B,SMALL('Product Price'!$D:$D,15)),"")</f>
        <v>39990</v>
      </c>
      <c r="C17" s="2">
        <f t="array" ref="C17">IFERROR(INDEX('Product Price'!C:C,SMALL('Product Price'!$D:$D,15)),"")</f>
        <v>9</v>
      </c>
      <c r="D17" s="2">
        <f t="shared" si="1"/>
        <v>1900</v>
      </c>
      <c r="E17" s="23">
        <f t="shared" si="2"/>
        <v>41890</v>
      </c>
      <c r="F17" s="25">
        <f t="shared" si="48"/>
        <v>5999</v>
      </c>
      <c r="G17" s="23">
        <f t="shared" si="4"/>
        <v>33991</v>
      </c>
      <c r="H17" s="23">
        <f t="shared" si="5"/>
        <v>35891</v>
      </c>
      <c r="I17" s="2">
        <f t="shared" si="6"/>
        <v>6843</v>
      </c>
      <c r="J17" s="2">
        <f t="shared" si="7"/>
        <v>4709</v>
      </c>
      <c r="K17" s="2">
        <f t="shared" si="8"/>
        <v>3642</v>
      </c>
      <c r="L17" s="2">
        <f t="shared" si="9"/>
        <v>3002</v>
      </c>
      <c r="M17" s="2">
        <f t="shared" si="10"/>
        <v>2576</v>
      </c>
      <c r="N17" s="2">
        <f t="shared" si="11"/>
        <v>2042</v>
      </c>
      <c r="O17" s="25">
        <f t="shared" si="12"/>
        <v>7998</v>
      </c>
      <c r="P17" s="23">
        <f t="shared" si="13"/>
        <v>31992</v>
      </c>
      <c r="Q17" s="23">
        <f t="shared" si="14"/>
        <v>33892</v>
      </c>
      <c r="R17" s="2">
        <f t="shared" si="15"/>
        <v>6462</v>
      </c>
      <c r="S17" s="2">
        <f t="shared" si="16"/>
        <v>4447</v>
      </c>
      <c r="T17" s="2">
        <f t="shared" si="17"/>
        <v>3440</v>
      </c>
      <c r="U17" s="2">
        <f t="shared" si="18"/>
        <v>2835</v>
      </c>
      <c r="V17" s="2">
        <f t="shared" si="19"/>
        <v>2432</v>
      </c>
      <c r="W17" s="2">
        <f t="shared" si="20"/>
        <v>1929</v>
      </c>
      <c r="X17" s="25">
        <f t="shared" si="21"/>
        <v>9998</v>
      </c>
      <c r="Y17" s="23">
        <f t="shared" si="22"/>
        <v>29992</v>
      </c>
      <c r="Z17" s="23">
        <f t="shared" si="23"/>
        <v>31892</v>
      </c>
      <c r="AA17" s="2">
        <f t="shared" si="24"/>
        <v>6080</v>
      </c>
      <c r="AB17" s="2">
        <f t="shared" si="25"/>
        <v>4185</v>
      </c>
      <c r="AC17" s="2">
        <f t="shared" si="26"/>
        <v>3237</v>
      </c>
      <c r="AD17" s="2">
        <f t="shared" si="27"/>
        <v>2668</v>
      </c>
      <c r="AE17" s="2">
        <f t="shared" si="28"/>
        <v>2289</v>
      </c>
      <c r="AF17" s="2">
        <f t="shared" si="29"/>
        <v>1815</v>
      </c>
      <c r="AG17" s="25">
        <f t="shared" si="30"/>
        <v>13997</v>
      </c>
      <c r="AH17" s="23">
        <f t="shared" si="31"/>
        <v>25993</v>
      </c>
      <c r="AI17" s="23">
        <f t="shared" si="32"/>
        <v>27893</v>
      </c>
      <c r="AJ17" s="2">
        <f t="shared" si="33"/>
        <v>5318</v>
      </c>
      <c r="AK17" s="2">
        <f t="shared" si="34"/>
        <v>3660</v>
      </c>
      <c r="AL17" s="2">
        <f t="shared" si="35"/>
        <v>2831</v>
      </c>
      <c r="AM17" s="2">
        <f t="shared" si="36"/>
        <v>2333</v>
      </c>
      <c r="AN17" s="2">
        <f t="shared" si="37"/>
        <v>2002</v>
      </c>
      <c r="AO17" s="2">
        <f t="shared" si="38"/>
        <v>1587</v>
      </c>
      <c r="AP17" s="25">
        <f t="shared" si="39"/>
        <v>15996</v>
      </c>
      <c r="AQ17" s="23">
        <f t="shared" si="40"/>
        <v>23994</v>
      </c>
      <c r="AR17" s="23">
        <f t="shared" si="41"/>
        <v>25894</v>
      </c>
      <c r="AS17" s="2">
        <f t="shared" si="42"/>
        <v>4937</v>
      </c>
      <c r="AT17" s="2">
        <f t="shared" si="43"/>
        <v>3398</v>
      </c>
      <c r="AU17" s="2">
        <f t="shared" si="44"/>
        <v>2628</v>
      </c>
      <c r="AV17" s="2">
        <f t="shared" si="45"/>
        <v>2166</v>
      </c>
      <c r="AW17" s="2">
        <f t="shared" si="46"/>
        <v>1858</v>
      </c>
      <c r="AX17" s="2">
        <f t="shared" si="47"/>
        <v>1474</v>
      </c>
    </row>
    <row r="18" ht="14.25" customHeight="1">
      <c r="A18" s="2" t="str">
        <f t="array" ref="A18">IFERROR(INDEX('Product Price'!A:A,SMALL('Product Price'!$D:$D,16)),"")</f>
        <v>HUAWEI Pura 80 Pro 12/512 GB</v>
      </c>
      <c r="B18" s="23">
        <f t="array" ref="B18">IFERROR(INDEX('Product Price'!B:B,SMALL('Product Price'!$D:$D,16)),"")</f>
        <v>29990</v>
      </c>
      <c r="C18" s="2">
        <f t="array" ref="C18">IFERROR(INDEX('Product Price'!C:C,SMALL('Product Price'!$D:$D,16)),"")</f>
        <v>10</v>
      </c>
      <c r="D18" s="2">
        <f t="shared" si="1"/>
        <v>1900</v>
      </c>
      <c r="E18" s="23">
        <f t="shared" si="2"/>
        <v>31890</v>
      </c>
      <c r="F18" s="25">
        <f t="shared" si="48"/>
        <v>4499</v>
      </c>
      <c r="G18" s="23">
        <f t="shared" si="4"/>
        <v>25491</v>
      </c>
      <c r="H18" s="23">
        <f t="shared" si="5"/>
        <v>27391</v>
      </c>
      <c r="I18" s="2">
        <f t="shared" si="6"/>
        <v>5222</v>
      </c>
      <c r="J18" s="2">
        <f t="shared" si="7"/>
        <v>3594</v>
      </c>
      <c r="K18" s="2">
        <f t="shared" si="8"/>
        <v>2780</v>
      </c>
      <c r="L18" s="2">
        <f t="shared" si="9"/>
        <v>2291</v>
      </c>
      <c r="M18" s="2">
        <f t="shared" si="10"/>
        <v>1966</v>
      </c>
      <c r="N18" s="2">
        <f t="shared" si="11"/>
        <v>1559</v>
      </c>
      <c r="O18" s="25">
        <f t="shared" si="12"/>
        <v>5998</v>
      </c>
      <c r="P18" s="23">
        <f t="shared" si="13"/>
        <v>23992</v>
      </c>
      <c r="Q18" s="23">
        <f t="shared" si="14"/>
        <v>25892</v>
      </c>
      <c r="R18" s="2">
        <f t="shared" si="15"/>
        <v>4937</v>
      </c>
      <c r="S18" s="2">
        <f t="shared" si="16"/>
        <v>3397</v>
      </c>
      <c r="T18" s="2">
        <f t="shared" si="17"/>
        <v>2628</v>
      </c>
      <c r="U18" s="2">
        <f t="shared" si="18"/>
        <v>2166</v>
      </c>
      <c r="V18" s="2">
        <f t="shared" si="19"/>
        <v>1858</v>
      </c>
      <c r="W18" s="2">
        <f t="shared" si="20"/>
        <v>1473</v>
      </c>
      <c r="X18" s="25">
        <f t="shared" si="21"/>
        <v>7498</v>
      </c>
      <c r="Y18" s="23">
        <f t="shared" si="22"/>
        <v>22492</v>
      </c>
      <c r="Z18" s="23">
        <f t="shared" si="23"/>
        <v>24392</v>
      </c>
      <c r="AA18" s="2">
        <f t="shared" si="24"/>
        <v>4651</v>
      </c>
      <c r="AB18" s="2">
        <f t="shared" si="25"/>
        <v>3201</v>
      </c>
      <c r="AC18" s="2">
        <f t="shared" si="26"/>
        <v>2476</v>
      </c>
      <c r="AD18" s="2">
        <f t="shared" si="27"/>
        <v>2041</v>
      </c>
      <c r="AE18" s="2">
        <f t="shared" si="28"/>
        <v>1751</v>
      </c>
      <c r="AF18" s="2">
        <f t="shared" si="29"/>
        <v>1388</v>
      </c>
      <c r="AG18" s="25">
        <f t="shared" si="30"/>
        <v>10497</v>
      </c>
      <c r="AH18" s="23">
        <f t="shared" si="31"/>
        <v>19493</v>
      </c>
      <c r="AI18" s="23">
        <f t="shared" si="32"/>
        <v>21393</v>
      </c>
      <c r="AJ18" s="2">
        <f t="shared" si="33"/>
        <v>4079</v>
      </c>
      <c r="AK18" s="2">
        <f t="shared" si="34"/>
        <v>2807</v>
      </c>
      <c r="AL18" s="2">
        <f t="shared" si="35"/>
        <v>2171</v>
      </c>
      <c r="AM18" s="2">
        <f t="shared" si="36"/>
        <v>1790</v>
      </c>
      <c r="AN18" s="2">
        <f t="shared" si="37"/>
        <v>1535</v>
      </c>
      <c r="AO18" s="2">
        <f t="shared" si="38"/>
        <v>1218</v>
      </c>
      <c r="AP18" s="25">
        <f t="shared" si="39"/>
        <v>11996</v>
      </c>
      <c r="AQ18" s="23">
        <f t="shared" si="40"/>
        <v>17994</v>
      </c>
      <c r="AR18" s="23">
        <f t="shared" si="41"/>
        <v>19894</v>
      </c>
      <c r="AS18" s="2">
        <f t="shared" si="42"/>
        <v>3793</v>
      </c>
      <c r="AT18" s="2">
        <f t="shared" si="43"/>
        <v>2610</v>
      </c>
      <c r="AU18" s="2">
        <f t="shared" si="44"/>
        <v>2019</v>
      </c>
      <c r="AV18" s="2">
        <f t="shared" si="45"/>
        <v>1664</v>
      </c>
      <c r="AW18" s="2">
        <f t="shared" si="46"/>
        <v>1428</v>
      </c>
      <c r="AX18" s="2">
        <f t="shared" si="47"/>
        <v>1132</v>
      </c>
    </row>
    <row r="19" ht="14.25" customHeight="1">
      <c r="A19" s="2" t="str">
        <f t="array" ref="A19">IFERROR(INDEX('Product Price'!A:A,SMALL('Product Price'!$D:$D,17)),"")</f>
        <v>HUAWEI Pura 80 12/256 GB</v>
      </c>
      <c r="B19" s="23">
        <f t="array" ref="B19">IFERROR(INDEX('Product Price'!B:B,SMALL('Product Price'!$D:$D,17)),"")</f>
        <v>19990</v>
      </c>
      <c r="C19" s="2">
        <f t="array" ref="C19">IFERROR(INDEX('Product Price'!C:C,SMALL('Product Price'!$D:$D,17)),"")</f>
        <v>11</v>
      </c>
      <c r="D19" s="2">
        <f t="shared" si="1"/>
        <v>1450</v>
      </c>
      <c r="E19" s="23">
        <f t="shared" si="2"/>
        <v>21440</v>
      </c>
      <c r="F19" s="25">
        <f t="shared" si="48"/>
        <v>2999</v>
      </c>
      <c r="G19" s="23">
        <f t="shared" si="4"/>
        <v>16991</v>
      </c>
      <c r="H19" s="23">
        <f t="shared" si="5"/>
        <v>18441</v>
      </c>
      <c r="I19" s="2">
        <f t="shared" si="6"/>
        <v>3516</v>
      </c>
      <c r="J19" s="2">
        <f t="shared" si="7"/>
        <v>2420</v>
      </c>
      <c r="K19" s="2">
        <f t="shared" si="8"/>
        <v>1872</v>
      </c>
      <c r="L19" s="2">
        <f t="shared" si="9"/>
        <v>1543</v>
      </c>
      <c r="M19" s="2">
        <f t="shared" si="10"/>
        <v>1324</v>
      </c>
      <c r="N19" s="2">
        <f t="shared" si="11"/>
        <v>1050</v>
      </c>
      <c r="O19" s="25">
        <f t="shared" si="12"/>
        <v>3998</v>
      </c>
      <c r="P19" s="23">
        <f t="shared" si="13"/>
        <v>15992</v>
      </c>
      <c r="Q19" s="23">
        <f t="shared" si="14"/>
        <v>17442</v>
      </c>
      <c r="R19" s="2">
        <f t="shared" si="15"/>
        <v>3326</v>
      </c>
      <c r="S19" s="2">
        <f t="shared" si="16"/>
        <v>2289</v>
      </c>
      <c r="T19" s="2">
        <f t="shared" si="17"/>
        <v>1770</v>
      </c>
      <c r="U19" s="2">
        <f t="shared" si="18"/>
        <v>1459</v>
      </c>
      <c r="V19" s="2">
        <f t="shared" si="19"/>
        <v>1252</v>
      </c>
      <c r="W19" s="2">
        <f t="shared" si="20"/>
        <v>993</v>
      </c>
      <c r="X19" s="25">
        <f t="shared" si="21"/>
        <v>4998</v>
      </c>
      <c r="Y19" s="23">
        <f t="shared" si="22"/>
        <v>14992</v>
      </c>
      <c r="Z19" s="23">
        <f t="shared" si="23"/>
        <v>16442</v>
      </c>
      <c r="AA19" s="2">
        <f t="shared" si="24"/>
        <v>3135</v>
      </c>
      <c r="AB19" s="2">
        <f t="shared" si="25"/>
        <v>2158</v>
      </c>
      <c r="AC19" s="2">
        <f t="shared" si="26"/>
        <v>1669</v>
      </c>
      <c r="AD19" s="2">
        <f t="shared" si="27"/>
        <v>1376</v>
      </c>
      <c r="AE19" s="2">
        <f t="shared" si="28"/>
        <v>1180</v>
      </c>
      <c r="AF19" s="2">
        <f t="shared" si="29"/>
        <v>936</v>
      </c>
      <c r="AG19" s="25">
        <f t="shared" si="30"/>
        <v>6997</v>
      </c>
      <c r="AH19" s="23">
        <f t="shared" si="31"/>
        <v>12993</v>
      </c>
      <c r="AI19" s="23">
        <f t="shared" si="32"/>
        <v>14443</v>
      </c>
      <c r="AJ19" s="2">
        <f t="shared" si="33"/>
        <v>2754</v>
      </c>
      <c r="AK19" s="2">
        <f t="shared" si="34"/>
        <v>1895</v>
      </c>
      <c r="AL19" s="2">
        <f t="shared" si="35"/>
        <v>1466</v>
      </c>
      <c r="AM19" s="2">
        <f t="shared" si="36"/>
        <v>1208</v>
      </c>
      <c r="AN19" s="2">
        <f t="shared" si="37"/>
        <v>1037</v>
      </c>
      <c r="AO19" s="2">
        <f t="shared" si="38"/>
        <v>822</v>
      </c>
      <c r="AP19" s="25">
        <f t="shared" si="39"/>
        <v>7996</v>
      </c>
      <c r="AQ19" s="23">
        <f t="shared" si="40"/>
        <v>11994</v>
      </c>
      <c r="AR19" s="23">
        <f t="shared" si="41"/>
        <v>13444</v>
      </c>
      <c r="AS19" s="2">
        <f t="shared" si="42"/>
        <v>2563</v>
      </c>
      <c r="AT19" s="2">
        <f t="shared" si="43"/>
        <v>1764</v>
      </c>
      <c r="AU19" s="2">
        <f t="shared" si="44"/>
        <v>1365</v>
      </c>
      <c r="AV19" s="2">
        <f t="shared" si="45"/>
        <v>1125</v>
      </c>
      <c r="AW19" s="2">
        <f t="shared" si="46"/>
        <v>965</v>
      </c>
      <c r="AX19" s="2">
        <f t="shared" si="47"/>
        <v>765</v>
      </c>
    </row>
    <row r="20" ht="14.25" customHeight="1">
      <c r="A20" s="2" t="str">
        <f t="array" ref="A20">IFERROR(INDEX('Product Price'!A:A,SMALL('Product Price'!$D:$D,18)),"")</f>
        <v>HUAWEI Nova 14 Pro 12/512 GB</v>
      </c>
      <c r="B20" s="23">
        <f t="array" ref="B20">IFERROR(INDEX('Product Price'!B:B,SMALL('Product Price'!$D:$D,18)),"")</f>
        <v>15990</v>
      </c>
      <c r="C20" s="2">
        <f t="array" ref="C20">IFERROR(INDEX('Product Price'!C:C,SMALL('Product Price'!$D:$D,18)),"")</f>
        <v>12</v>
      </c>
      <c r="D20" s="2">
        <f t="shared" si="1"/>
        <v>1450</v>
      </c>
      <c r="E20" s="23">
        <f t="shared" si="2"/>
        <v>17440</v>
      </c>
      <c r="F20" s="25">
        <f t="shared" si="48"/>
        <v>2399</v>
      </c>
      <c r="G20" s="23">
        <f t="shared" si="4"/>
        <v>13591</v>
      </c>
      <c r="H20" s="23">
        <f t="shared" si="5"/>
        <v>15041</v>
      </c>
      <c r="I20" s="2">
        <f t="shared" si="6"/>
        <v>2868</v>
      </c>
      <c r="J20" s="2">
        <f t="shared" si="7"/>
        <v>1974</v>
      </c>
      <c r="K20" s="2">
        <f t="shared" si="8"/>
        <v>1527</v>
      </c>
      <c r="L20" s="2">
        <f t="shared" si="9"/>
        <v>1259</v>
      </c>
      <c r="M20" s="2">
        <f t="shared" si="10"/>
        <v>1080</v>
      </c>
      <c r="N20" s="2">
        <f t="shared" si="11"/>
        <v>856</v>
      </c>
      <c r="O20" s="25">
        <f t="shared" si="12"/>
        <v>3198</v>
      </c>
      <c r="P20" s="23">
        <f t="shared" si="13"/>
        <v>12792</v>
      </c>
      <c r="Q20" s="23">
        <f t="shared" si="14"/>
        <v>14242</v>
      </c>
      <c r="R20" s="2">
        <f t="shared" si="15"/>
        <v>2716</v>
      </c>
      <c r="S20" s="2">
        <f t="shared" si="16"/>
        <v>1869</v>
      </c>
      <c r="T20" s="2">
        <f t="shared" si="17"/>
        <v>1446</v>
      </c>
      <c r="U20" s="2">
        <f t="shared" si="18"/>
        <v>1192</v>
      </c>
      <c r="V20" s="2">
        <f t="shared" si="19"/>
        <v>1022</v>
      </c>
      <c r="W20" s="2">
        <f t="shared" si="20"/>
        <v>811</v>
      </c>
      <c r="X20" s="25">
        <f t="shared" si="21"/>
        <v>3998</v>
      </c>
      <c r="Y20" s="23">
        <f t="shared" si="22"/>
        <v>11992</v>
      </c>
      <c r="Z20" s="23">
        <f t="shared" si="23"/>
        <v>13442</v>
      </c>
      <c r="AA20" s="2">
        <f t="shared" si="24"/>
        <v>2563</v>
      </c>
      <c r="AB20" s="2">
        <f t="shared" si="25"/>
        <v>1764</v>
      </c>
      <c r="AC20" s="2">
        <f t="shared" si="26"/>
        <v>1364</v>
      </c>
      <c r="AD20" s="2">
        <f t="shared" si="27"/>
        <v>1125</v>
      </c>
      <c r="AE20" s="2">
        <f t="shared" si="28"/>
        <v>965</v>
      </c>
      <c r="AF20" s="2">
        <f t="shared" si="29"/>
        <v>765</v>
      </c>
      <c r="AG20" s="25">
        <f t="shared" si="30"/>
        <v>5597</v>
      </c>
      <c r="AH20" s="23">
        <f t="shared" si="31"/>
        <v>10393</v>
      </c>
      <c r="AI20" s="23">
        <f t="shared" si="32"/>
        <v>11843</v>
      </c>
      <c r="AJ20" s="2">
        <f t="shared" si="33"/>
        <v>2258</v>
      </c>
      <c r="AK20" s="2">
        <f t="shared" si="34"/>
        <v>1554</v>
      </c>
      <c r="AL20" s="2">
        <f t="shared" si="35"/>
        <v>1202</v>
      </c>
      <c r="AM20" s="2">
        <f t="shared" si="36"/>
        <v>991</v>
      </c>
      <c r="AN20" s="2">
        <f t="shared" si="37"/>
        <v>850</v>
      </c>
      <c r="AO20" s="2">
        <f t="shared" si="38"/>
        <v>674</v>
      </c>
      <c r="AP20" s="25">
        <f t="shared" si="39"/>
        <v>6396</v>
      </c>
      <c r="AQ20" s="23">
        <f t="shared" si="40"/>
        <v>9594</v>
      </c>
      <c r="AR20" s="23">
        <f t="shared" si="41"/>
        <v>11044</v>
      </c>
      <c r="AS20" s="2">
        <f t="shared" si="42"/>
        <v>2106</v>
      </c>
      <c r="AT20" s="2">
        <f t="shared" si="43"/>
        <v>1449</v>
      </c>
      <c r="AU20" s="2">
        <f t="shared" si="44"/>
        <v>1121</v>
      </c>
      <c r="AV20" s="2">
        <f t="shared" si="45"/>
        <v>924</v>
      </c>
      <c r="AW20" s="2">
        <f t="shared" si="46"/>
        <v>793</v>
      </c>
      <c r="AX20" s="2">
        <f t="shared" si="47"/>
        <v>629</v>
      </c>
    </row>
    <row r="21" ht="14.25" customHeight="1">
      <c r="A21" s="2" t="str">
        <f t="array" ref="A21">IFERROR(INDEX('Product Price'!A:A,SMALL('Product Price'!$D:$D,19)),"")</f>
        <v>HUAWEI Nova 14 12/256 GB</v>
      </c>
      <c r="B21" s="23">
        <f t="array" ref="B21">IFERROR(INDEX('Product Price'!B:B,SMALL('Product Price'!$D:$D,19)),"")</f>
        <v>11990</v>
      </c>
      <c r="C21" s="2">
        <f t="array" ref="C21">IFERROR(INDEX('Product Price'!C:C,SMALL('Product Price'!$D:$D,19)),"")</f>
        <v>13</v>
      </c>
      <c r="D21" s="2">
        <f t="shared" si="1"/>
        <v>1450</v>
      </c>
      <c r="E21" s="23">
        <f t="shared" si="2"/>
        <v>13440</v>
      </c>
      <c r="F21" s="25">
        <f t="shared" si="48"/>
        <v>1799</v>
      </c>
      <c r="G21" s="23">
        <f t="shared" si="4"/>
        <v>10191</v>
      </c>
      <c r="H21" s="23">
        <f t="shared" si="5"/>
        <v>11641</v>
      </c>
      <c r="I21" s="2">
        <f t="shared" si="6"/>
        <v>2220</v>
      </c>
      <c r="J21" s="2">
        <f t="shared" si="7"/>
        <v>1528</v>
      </c>
      <c r="K21" s="2">
        <f t="shared" si="8"/>
        <v>1182</v>
      </c>
      <c r="L21" s="2">
        <f t="shared" si="9"/>
        <v>974</v>
      </c>
      <c r="M21" s="2">
        <f t="shared" si="10"/>
        <v>836</v>
      </c>
      <c r="N21" s="2">
        <f t="shared" si="11"/>
        <v>663</v>
      </c>
      <c r="O21" s="25">
        <f t="shared" si="12"/>
        <v>2398</v>
      </c>
      <c r="P21" s="23">
        <f t="shared" si="13"/>
        <v>9592</v>
      </c>
      <c r="Q21" s="23">
        <f t="shared" si="14"/>
        <v>11042</v>
      </c>
      <c r="R21" s="2">
        <f t="shared" si="15"/>
        <v>2106</v>
      </c>
      <c r="S21" s="2">
        <f t="shared" si="16"/>
        <v>1449</v>
      </c>
      <c r="T21" s="2">
        <f t="shared" si="17"/>
        <v>1121</v>
      </c>
      <c r="U21" s="2">
        <f t="shared" si="18"/>
        <v>924</v>
      </c>
      <c r="V21" s="2">
        <f t="shared" si="19"/>
        <v>793</v>
      </c>
      <c r="W21" s="2">
        <f t="shared" si="20"/>
        <v>629</v>
      </c>
      <c r="X21" s="25">
        <f t="shared" si="21"/>
        <v>2998</v>
      </c>
      <c r="Y21" s="23">
        <f t="shared" si="22"/>
        <v>8992</v>
      </c>
      <c r="Z21" s="23">
        <f t="shared" si="23"/>
        <v>10442</v>
      </c>
      <c r="AA21" s="2">
        <f t="shared" si="24"/>
        <v>1991</v>
      </c>
      <c r="AB21" s="2">
        <f t="shared" si="25"/>
        <v>1370</v>
      </c>
      <c r="AC21" s="2">
        <f t="shared" si="26"/>
        <v>1060</v>
      </c>
      <c r="AD21" s="2">
        <f t="shared" si="27"/>
        <v>874</v>
      </c>
      <c r="AE21" s="2">
        <f t="shared" si="28"/>
        <v>750</v>
      </c>
      <c r="AF21" s="2">
        <f t="shared" si="29"/>
        <v>595</v>
      </c>
      <c r="AG21" s="25">
        <f t="shared" si="30"/>
        <v>4197</v>
      </c>
      <c r="AH21" s="23">
        <f t="shared" si="31"/>
        <v>7793</v>
      </c>
      <c r="AI21" s="23">
        <f t="shared" si="32"/>
        <v>9243</v>
      </c>
      <c r="AJ21" s="2">
        <f t="shared" si="33"/>
        <v>1763</v>
      </c>
      <c r="AK21" s="2">
        <f t="shared" si="34"/>
        <v>1213</v>
      </c>
      <c r="AL21" s="2">
        <f t="shared" si="35"/>
        <v>938</v>
      </c>
      <c r="AM21" s="2">
        <f t="shared" si="36"/>
        <v>774</v>
      </c>
      <c r="AN21" s="2">
        <f t="shared" si="37"/>
        <v>664</v>
      </c>
      <c r="AO21" s="2">
        <f t="shared" si="38"/>
        <v>526</v>
      </c>
      <c r="AP21" s="25">
        <f t="shared" si="39"/>
        <v>4796</v>
      </c>
      <c r="AQ21" s="23">
        <f t="shared" si="40"/>
        <v>7194</v>
      </c>
      <c r="AR21" s="23">
        <f t="shared" si="41"/>
        <v>8644</v>
      </c>
      <c r="AS21" s="2">
        <f t="shared" si="42"/>
        <v>1648</v>
      </c>
      <c r="AT21" s="2">
        <f t="shared" si="43"/>
        <v>1135</v>
      </c>
      <c r="AU21" s="2">
        <f t="shared" si="44"/>
        <v>878</v>
      </c>
      <c r="AV21" s="2">
        <f t="shared" si="45"/>
        <v>723</v>
      </c>
      <c r="AW21" s="2">
        <f t="shared" si="46"/>
        <v>621</v>
      </c>
      <c r="AX21" s="2">
        <f t="shared" si="47"/>
        <v>492</v>
      </c>
    </row>
    <row r="22" ht="14.25" customHeight="1">
      <c r="A22" s="2" t="str">
        <f t="array" ref="A22">IFERROR(INDEX('Product Price'!A:A,SMALL('Product Price'!$D:$D,20)),"")</f>
        <v>HUAWEI Nova Y73 8/256 GB</v>
      </c>
      <c r="B22" s="23">
        <f t="array" ref="B22">IFERROR(INDEX('Product Price'!B:B,SMALL('Product Price'!$D:$D,20)),"")</f>
        <v>5990</v>
      </c>
      <c r="C22" s="2">
        <f t="array" ref="C22">IFERROR(INDEX('Product Price'!C:C,SMALL('Product Price'!$D:$D,20)),"")</f>
        <v>14</v>
      </c>
      <c r="D22" s="2">
        <f t="shared" si="1"/>
        <v>795</v>
      </c>
      <c r="E22" s="23">
        <f t="shared" si="2"/>
        <v>6785</v>
      </c>
      <c r="F22" s="25">
        <f t="shared" si="48"/>
        <v>899</v>
      </c>
      <c r="G22" s="23">
        <f t="shared" si="4"/>
        <v>5091</v>
      </c>
      <c r="H22" s="23">
        <f t="shared" si="5"/>
        <v>5886</v>
      </c>
      <c r="I22" s="2">
        <f t="shared" si="6"/>
        <v>1123</v>
      </c>
      <c r="J22" s="2">
        <f t="shared" si="7"/>
        <v>773</v>
      </c>
      <c r="K22" s="2">
        <f t="shared" si="8"/>
        <v>598</v>
      </c>
      <c r="L22" s="2">
        <f t="shared" si="9"/>
        <v>493</v>
      </c>
      <c r="M22" s="2">
        <f t="shared" si="10"/>
        <v>423</v>
      </c>
      <c r="N22" s="2" t="str">
        <f t="shared" si="11"/>
        <v>-</v>
      </c>
      <c r="O22" s="25">
        <f t="shared" si="12"/>
        <v>1198</v>
      </c>
      <c r="P22" s="23">
        <f t="shared" si="13"/>
        <v>4792</v>
      </c>
      <c r="Q22" s="23">
        <f t="shared" si="14"/>
        <v>5587</v>
      </c>
      <c r="R22" s="2">
        <f t="shared" si="15"/>
        <v>1066</v>
      </c>
      <c r="S22" s="2">
        <f t="shared" si="16"/>
        <v>733</v>
      </c>
      <c r="T22" s="2">
        <f t="shared" si="17"/>
        <v>567</v>
      </c>
      <c r="U22" s="2">
        <f t="shared" si="18"/>
        <v>468</v>
      </c>
      <c r="V22" s="2">
        <f t="shared" si="19"/>
        <v>401</v>
      </c>
      <c r="W22" s="2" t="str">
        <f t="shared" si="20"/>
        <v>-</v>
      </c>
      <c r="X22" s="25">
        <f t="shared" si="21"/>
        <v>1498</v>
      </c>
      <c r="Y22" s="23">
        <f t="shared" si="22"/>
        <v>4492</v>
      </c>
      <c r="Z22" s="23">
        <f t="shared" si="23"/>
        <v>5287</v>
      </c>
      <c r="AA22" s="2">
        <f t="shared" si="24"/>
        <v>1008</v>
      </c>
      <c r="AB22" s="2">
        <f t="shared" si="25"/>
        <v>694</v>
      </c>
      <c r="AC22" s="2">
        <f t="shared" si="26"/>
        <v>537</v>
      </c>
      <c r="AD22" s="2">
        <f t="shared" si="27"/>
        <v>443</v>
      </c>
      <c r="AE22" s="2" t="str">
        <f t="shared" si="28"/>
        <v>-</v>
      </c>
      <c r="AF22" s="2" t="str">
        <f t="shared" si="29"/>
        <v>-</v>
      </c>
      <c r="AG22" s="25">
        <f t="shared" si="30"/>
        <v>2097</v>
      </c>
      <c r="AH22" s="23">
        <f t="shared" si="31"/>
        <v>3893</v>
      </c>
      <c r="AI22" s="23">
        <f t="shared" si="32"/>
        <v>4688</v>
      </c>
      <c r="AJ22" s="2">
        <f t="shared" si="33"/>
        <v>894</v>
      </c>
      <c r="AK22" s="2">
        <f t="shared" si="34"/>
        <v>616</v>
      </c>
      <c r="AL22" s="2">
        <f t="shared" si="35"/>
        <v>476</v>
      </c>
      <c r="AM22" s="2" t="str">
        <f t="shared" si="36"/>
        <v>-</v>
      </c>
      <c r="AN22" s="2" t="str">
        <f t="shared" si="37"/>
        <v>-</v>
      </c>
      <c r="AO22" s="2" t="str">
        <f t="shared" si="38"/>
        <v>-</v>
      </c>
      <c r="AP22" s="25">
        <f t="shared" si="39"/>
        <v>2396</v>
      </c>
      <c r="AQ22" s="23">
        <f t="shared" si="40"/>
        <v>3594</v>
      </c>
      <c r="AR22" s="23">
        <f t="shared" si="41"/>
        <v>4389</v>
      </c>
      <c r="AS22" s="2">
        <f t="shared" si="42"/>
        <v>837</v>
      </c>
      <c r="AT22" s="2">
        <f t="shared" si="43"/>
        <v>576</v>
      </c>
      <c r="AU22" s="2">
        <f t="shared" si="44"/>
        <v>446</v>
      </c>
      <c r="AV22" s="2" t="str">
        <f t="shared" si="45"/>
        <v>-</v>
      </c>
      <c r="AW22" s="2" t="str">
        <f t="shared" si="46"/>
        <v>-</v>
      </c>
      <c r="AX22" s="2" t="str">
        <f t="shared" si="47"/>
        <v>-</v>
      </c>
    </row>
    <row r="23" ht="14.25" customHeight="1">
      <c r="A23" s="2" t="str">
        <f t="array" ref="A23">IFERROR(INDEX('Product Price'!A:A,SMALL('Product Price'!$D:$D,21)),"")</f>
        <v>HUAWEI MatePad ProMax 12/512 GB</v>
      </c>
      <c r="B23" s="23">
        <f t="array" ref="B23">IFERROR(INDEX('Product Price'!B:B,SMALL('Product Price'!$D:$D,21)),"")</f>
        <v>52990</v>
      </c>
      <c r="C23" s="2">
        <f t="array" ref="C23">IFERROR(INDEX('Product Price'!C:C,SMALL('Product Price'!$D:$D,21)),"")</f>
        <v>180</v>
      </c>
      <c r="D23" s="2">
        <f t="shared" si="1"/>
        <v>2475</v>
      </c>
      <c r="E23" s="23">
        <f t="shared" si="2"/>
        <v>55465</v>
      </c>
      <c r="F23" s="25">
        <f t="shared" si="48"/>
        <v>7949</v>
      </c>
      <c r="G23" s="23">
        <f t="shared" si="4"/>
        <v>45041</v>
      </c>
      <c r="H23" s="23">
        <f t="shared" si="5"/>
        <v>47516</v>
      </c>
      <c r="I23" s="2">
        <f t="shared" si="6"/>
        <v>9059</v>
      </c>
      <c r="J23" s="2">
        <f t="shared" si="7"/>
        <v>6234</v>
      </c>
      <c r="K23" s="2">
        <f t="shared" si="8"/>
        <v>4822</v>
      </c>
      <c r="L23" s="2">
        <f t="shared" si="9"/>
        <v>3975</v>
      </c>
      <c r="M23" s="2">
        <f t="shared" si="10"/>
        <v>3410</v>
      </c>
      <c r="N23" s="2">
        <f t="shared" si="11"/>
        <v>2704</v>
      </c>
      <c r="O23" s="25">
        <f t="shared" si="12"/>
        <v>10598</v>
      </c>
      <c r="P23" s="23">
        <f t="shared" si="13"/>
        <v>42392</v>
      </c>
      <c r="Q23" s="23">
        <f t="shared" si="14"/>
        <v>44867</v>
      </c>
      <c r="R23" s="2">
        <f t="shared" si="15"/>
        <v>8554</v>
      </c>
      <c r="S23" s="2">
        <f t="shared" si="16"/>
        <v>5887</v>
      </c>
      <c r="T23" s="2">
        <f t="shared" si="17"/>
        <v>4553</v>
      </c>
      <c r="U23" s="2">
        <f t="shared" si="18"/>
        <v>3753</v>
      </c>
      <c r="V23" s="2">
        <f t="shared" si="19"/>
        <v>3220</v>
      </c>
      <c r="W23" s="2">
        <f t="shared" si="20"/>
        <v>2553</v>
      </c>
      <c r="X23" s="25">
        <f t="shared" si="21"/>
        <v>13248</v>
      </c>
      <c r="Y23" s="23">
        <f t="shared" si="22"/>
        <v>39742</v>
      </c>
      <c r="Z23" s="23">
        <f t="shared" si="23"/>
        <v>42217</v>
      </c>
      <c r="AA23" s="2">
        <f t="shared" si="24"/>
        <v>8049</v>
      </c>
      <c r="AB23" s="2">
        <f t="shared" si="25"/>
        <v>5539</v>
      </c>
      <c r="AC23" s="2">
        <f t="shared" si="26"/>
        <v>4284</v>
      </c>
      <c r="AD23" s="2">
        <f t="shared" si="27"/>
        <v>3531</v>
      </c>
      <c r="AE23" s="2">
        <f t="shared" si="28"/>
        <v>3030</v>
      </c>
      <c r="AF23" s="2">
        <f t="shared" si="29"/>
        <v>2402</v>
      </c>
      <c r="AG23" s="25">
        <f t="shared" si="30"/>
        <v>18547</v>
      </c>
      <c r="AH23" s="23">
        <f t="shared" si="31"/>
        <v>34443</v>
      </c>
      <c r="AI23" s="23">
        <f t="shared" si="32"/>
        <v>36918</v>
      </c>
      <c r="AJ23" s="2">
        <f t="shared" si="33"/>
        <v>7038</v>
      </c>
      <c r="AK23" s="2">
        <f t="shared" si="34"/>
        <v>4844</v>
      </c>
      <c r="AL23" s="2">
        <f t="shared" si="35"/>
        <v>3747</v>
      </c>
      <c r="AM23" s="2">
        <f t="shared" si="36"/>
        <v>3088</v>
      </c>
      <c r="AN23" s="2">
        <f t="shared" si="37"/>
        <v>2649</v>
      </c>
      <c r="AO23" s="2">
        <f t="shared" si="38"/>
        <v>2101</v>
      </c>
      <c r="AP23" s="25">
        <f t="shared" si="39"/>
        <v>21196</v>
      </c>
      <c r="AQ23" s="23">
        <f t="shared" si="40"/>
        <v>31794</v>
      </c>
      <c r="AR23" s="23">
        <f t="shared" si="41"/>
        <v>34269</v>
      </c>
      <c r="AS23" s="2">
        <f t="shared" si="42"/>
        <v>6533</v>
      </c>
      <c r="AT23" s="2">
        <f t="shared" si="43"/>
        <v>4496</v>
      </c>
      <c r="AU23" s="2">
        <f t="shared" si="44"/>
        <v>3478</v>
      </c>
      <c r="AV23" s="2">
        <f t="shared" si="45"/>
        <v>2867</v>
      </c>
      <c r="AW23" s="2">
        <f t="shared" si="46"/>
        <v>2459</v>
      </c>
      <c r="AX23" s="2">
        <f t="shared" si="47"/>
        <v>1950</v>
      </c>
    </row>
    <row r="24" ht="14.25" customHeight="1">
      <c r="A24" s="2" t="str">
        <f t="array" ref="A24">IFERROR(INDEX('Product Price'!A:A,SMALL('Product Price'!$D:$D,22)),"")</f>
        <v>HUAWEI MatePad ProMax 12/256 GB</v>
      </c>
      <c r="B24" s="23">
        <f t="array" ref="B24">IFERROR(INDEX('Product Price'!B:B,SMALL('Product Price'!$D:$D,22)),"")</f>
        <v>39990</v>
      </c>
      <c r="C24" s="2">
        <f t="array" ref="C24">IFERROR(INDEX('Product Price'!C:C,SMALL('Product Price'!$D:$D,22)),"")</f>
        <v>181</v>
      </c>
      <c r="D24" s="2">
        <f t="shared" si="1"/>
        <v>1900</v>
      </c>
      <c r="E24" s="23">
        <f t="shared" si="2"/>
        <v>41890</v>
      </c>
      <c r="F24" s="25">
        <f t="shared" si="48"/>
        <v>5999</v>
      </c>
      <c r="G24" s="23">
        <f t="shared" si="4"/>
        <v>33991</v>
      </c>
      <c r="H24" s="23">
        <f t="shared" si="5"/>
        <v>35891</v>
      </c>
      <c r="I24" s="2">
        <f t="shared" si="6"/>
        <v>6843</v>
      </c>
      <c r="J24" s="2">
        <f t="shared" si="7"/>
        <v>4709</v>
      </c>
      <c r="K24" s="2">
        <f t="shared" si="8"/>
        <v>3642</v>
      </c>
      <c r="L24" s="2">
        <f t="shared" si="9"/>
        <v>3002</v>
      </c>
      <c r="M24" s="2">
        <f t="shared" si="10"/>
        <v>2576</v>
      </c>
      <c r="N24" s="2">
        <f t="shared" si="11"/>
        <v>2042</v>
      </c>
      <c r="O24" s="25">
        <f t="shared" si="12"/>
        <v>7998</v>
      </c>
      <c r="P24" s="23">
        <f t="shared" si="13"/>
        <v>31992</v>
      </c>
      <c r="Q24" s="23">
        <f t="shared" si="14"/>
        <v>33892</v>
      </c>
      <c r="R24" s="2">
        <f t="shared" si="15"/>
        <v>6462</v>
      </c>
      <c r="S24" s="2">
        <f t="shared" si="16"/>
        <v>4447</v>
      </c>
      <c r="T24" s="2">
        <f t="shared" si="17"/>
        <v>3440</v>
      </c>
      <c r="U24" s="2">
        <f t="shared" si="18"/>
        <v>2835</v>
      </c>
      <c r="V24" s="2">
        <f t="shared" si="19"/>
        <v>2432</v>
      </c>
      <c r="W24" s="2">
        <f t="shared" si="20"/>
        <v>1929</v>
      </c>
      <c r="X24" s="25">
        <f t="shared" si="21"/>
        <v>9998</v>
      </c>
      <c r="Y24" s="23">
        <f t="shared" si="22"/>
        <v>29992</v>
      </c>
      <c r="Z24" s="23">
        <f t="shared" si="23"/>
        <v>31892</v>
      </c>
      <c r="AA24" s="2">
        <f t="shared" si="24"/>
        <v>6080</v>
      </c>
      <c r="AB24" s="2">
        <f t="shared" si="25"/>
        <v>4185</v>
      </c>
      <c r="AC24" s="2">
        <f t="shared" si="26"/>
        <v>3237</v>
      </c>
      <c r="AD24" s="2">
        <f t="shared" si="27"/>
        <v>2668</v>
      </c>
      <c r="AE24" s="2">
        <f t="shared" si="28"/>
        <v>2289</v>
      </c>
      <c r="AF24" s="2">
        <f t="shared" si="29"/>
        <v>1815</v>
      </c>
      <c r="AG24" s="25">
        <f t="shared" si="30"/>
        <v>13997</v>
      </c>
      <c r="AH24" s="23">
        <f t="shared" si="31"/>
        <v>25993</v>
      </c>
      <c r="AI24" s="23">
        <f t="shared" si="32"/>
        <v>27893</v>
      </c>
      <c r="AJ24" s="2">
        <f t="shared" si="33"/>
        <v>5318</v>
      </c>
      <c r="AK24" s="2">
        <f t="shared" si="34"/>
        <v>3660</v>
      </c>
      <c r="AL24" s="2">
        <f t="shared" si="35"/>
        <v>2831</v>
      </c>
      <c r="AM24" s="2">
        <f t="shared" si="36"/>
        <v>2333</v>
      </c>
      <c r="AN24" s="2">
        <f t="shared" si="37"/>
        <v>2002</v>
      </c>
      <c r="AO24" s="2">
        <f t="shared" si="38"/>
        <v>1587</v>
      </c>
      <c r="AP24" s="25">
        <f t="shared" si="39"/>
        <v>15996</v>
      </c>
      <c r="AQ24" s="23">
        <f t="shared" si="40"/>
        <v>23994</v>
      </c>
      <c r="AR24" s="23">
        <f t="shared" si="41"/>
        <v>25894</v>
      </c>
      <c r="AS24" s="2">
        <f t="shared" si="42"/>
        <v>4937</v>
      </c>
      <c r="AT24" s="2">
        <f t="shared" si="43"/>
        <v>3398</v>
      </c>
      <c r="AU24" s="2">
        <f t="shared" si="44"/>
        <v>2628</v>
      </c>
      <c r="AV24" s="2">
        <f t="shared" si="45"/>
        <v>2166</v>
      </c>
      <c r="AW24" s="2">
        <f t="shared" si="46"/>
        <v>1858</v>
      </c>
      <c r="AX24" s="2">
        <f t="shared" si="47"/>
        <v>1474</v>
      </c>
    </row>
    <row r="25" ht="14.25" customHeight="1">
      <c r="A25" s="2" t="str">
        <f t="array" ref="A25">IFERROR(INDEX('Product Price'!A:A,SMALL('Product Price'!$D:$D,23)),"")</f>
        <v>HUAWEI MatePad Pro 13.2 12/512 GB</v>
      </c>
      <c r="B25" s="23">
        <f t="array" ref="B25">IFERROR(INDEX('Product Price'!B:B,SMALL('Product Price'!$D:$D,23)),"")</f>
        <v>32990</v>
      </c>
      <c r="C25" s="2">
        <f t="array" ref="C25">IFERROR(INDEX('Product Price'!C:C,SMALL('Product Price'!$D:$D,23)),"")</f>
        <v>15</v>
      </c>
      <c r="D25" s="2">
        <f t="shared" si="1"/>
        <v>1900</v>
      </c>
      <c r="E25" s="23">
        <f t="shared" si="2"/>
        <v>34890</v>
      </c>
      <c r="F25" s="25">
        <f t="shared" si="48"/>
        <v>4949</v>
      </c>
      <c r="G25" s="23">
        <f t="shared" si="4"/>
        <v>28041</v>
      </c>
      <c r="H25" s="23">
        <f t="shared" si="5"/>
        <v>29941</v>
      </c>
      <c r="I25" s="2">
        <f t="shared" si="6"/>
        <v>5708</v>
      </c>
      <c r="J25" s="2">
        <f t="shared" si="7"/>
        <v>3929</v>
      </c>
      <c r="K25" s="2">
        <f t="shared" si="8"/>
        <v>3039</v>
      </c>
      <c r="L25" s="2">
        <f t="shared" si="9"/>
        <v>2505</v>
      </c>
      <c r="M25" s="2">
        <f t="shared" si="10"/>
        <v>2149</v>
      </c>
      <c r="N25" s="2">
        <f t="shared" si="11"/>
        <v>1704</v>
      </c>
      <c r="O25" s="25">
        <f t="shared" si="12"/>
        <v>6598</v>
      </c>
      <c r="P25" s="23">
        <f t="shared" si="13"/>
        <v>26392</v>
      </c>
      <c r="Q25" s="23">
        <f t="shared" si="14"/>
        <v>28292</v>
      </c>
      <c r="R25" s="2">
        <f t="shared" si="15"/>
        <v>5394</v>
      </c>
      <c r="S25" s="2">
        <f t="shared" si="16"/>
        <v>3712</v>
      </c>
      <c r="T25" s="2">
        <f t="shared" si="17"/>
        <v>2871</v>
      </c>
      <c r="U25" s="2">
        <f t="shared" si="18"/>
        <v>2367</v>
      </c>
      <c r="V25" s="2">
        <f t="shared" si="19"/>
        <v>2030</v>
      </c>
      <c r="W25" s="2">
        <f t="shared" si="20"/>
        <v>1610</v>
      </c>
      <c r="X25" s="25">
        <f t="shared" si="21"/>
        <v>8248</v>
      </c>
      <c r="Y25" s="23">
        <f t="shared" si="22"/>
        <v>24742</v>
      </c>
      <c r="Z25" s="23">
        <f t="shared" si="23"/>
        <v>26642</v>
      </c>
      <c r="AA25" s="2">
        <f t="shared" si="24"/>
        <v>5079</v>
      </c>
      <c r="AB25" s="2">
        <f t="shared" si="25"/>
        <v>3496</v>
      </c>
      <c r="AC25" s="2">
        <f t="shared" si="26"/>
        <v>2704</v>
      </c>
      <c r="AD25" s="2">
        <f t="shared" si="27"/>
        <v>2229</v>
      </c>
      <c r="AE25" s="2">
        <f t="shared" si="28"/>
        <v>1912</v>
      </c>
      <c r="AF25" s="2">
        <f t="shared" si="29"/>
        <v>1516</v>
      </c>
      <c r="AG25" s="25">
        <f t="shared" si="30"/>
        <v>11547</v>
      </c>
      <c r="AH25" s="23">
        <f t="shared" si="31"/>
        <v>21443</v>
      </c>
      <c r="AI25" s="23">
        <f t="shared" si="32"/>
        <v>23343</v>
      </c>
      <c r="AJ25" s="2">
        <f t="shared" si="33"/>
        <v>4451</v>
      </c>
      <c r="AK25" s="2">
        <f t="shared" si="34"/>
        <v>3063</v>
      </c>
      <c r="AL25" s="2">
        <f t="shared" si="35"/>
        <v>2369</v>
      </c>
      <c r="AM25" s="2">
        <f t="shared" si="36"/>
        <v>1953</v>
      </c>
      <c r="AN25" s="2">
        <f t="shared" si="37"/>
        <v>1675</v>
      </c>
      <c r="AO25" s="2">
        <f t="shared" si="38"/>
        <v>1328</v>
      </c>
      <c r="AP25" s="25">
        <f t="shared" si="39"/>
        <v>13196</v>
      </c>
      <c r="AQ25" s="23">
        <f t="shared" si="40"/>
        <v>19794</v>
      </c>
      <c r="AR25" s="23">
        <f t="shared" si="41"/>
        <v>21694</v>
      </c>
      <c r="AS25" s="2">
        <f t="shared" si="42"/>
        <v>4136</v>
      </c>
      <c r="AT25" s="2">
        <f t="shared" si="43"/>
        <v>2847</v>
      </c>
      <c r="AU25" s="2">
        <f t="shared" si="44"/>
        <v>2202</v>
      </c>
      <c r="AV25" s="2">
        <f t="shared" si="45"/>
        <v>1815</v>
      </c>
      <c r="AW25" s="2">
        <f t="shared" si="46"/>
        <v>1557</v>
      </c>
      <c r="AX25" s="2">
        <f t="shared" si="47"/>
        <v>1235</v>
      </c>
    </row>
    <row r="26" ht="14.25" customHeight="1">
      <c r="A26" s="2" t="str">
        <f t="array" ref="A26">IFERROR(INDEX('Product Price'!A:A,SMALL('Product Price'!$D:$D,24)),"")</f>
        <v>HUAWEI MatePad Pro 12.2 2025 12/512 GB</v>
      </c>
      <c r="B26" s="23">
        <f t="array" ref="B26">IFERROR(INDEX('Product Price'!B:B,SMALL('Product Price'!$D:$D,24)),"")</f>
        <v>27990</v>
      </c>
      <c r="C26" s="2">
        <f t="array" ref="C26">IFERROR(INDEX('Product Price'!C:C,SMALL('Product Price'!$D:$D,24)),"")</f>
        <v>16</v>
      </c>
      <c r="D26" s="2">
        <f t="shared" si="1"/>
        <v>1900</v>
      </c>
      <c r="E26" s="23">
        <f t="shared" si="2"/>
        <v>29890</v>
      </c>
      <c r="F26" s="25">
        <f t="shared" si="48"/>
        <v>4199</v>
      </c>
      <c r="G26" s="23">
        <f t="shared" si="4"/>
        <v>23791</v>
      </c>
      <c r="H26" s="23">
        <f t="shared" si="5"/>
        <v>25691</v>
      </c>
      <c r="I26" s="2">
        <f t="shared" si="6"/>
        <v>4898</v>
      </c>
      <c r="J26" s="2">
        <f t="shared" si="7"/>
        <v>3371</v>
      </c>
      <c r="K26" s="2">
        <f t="shared" si="8"/>
        <v>2607</v>
      </c>
      <c r="L26" s="2">
        <f t="shared" si="9"/>
        <v>2149</v>
      </c>
      <c r="M26" s="2">
        <f t="shared" si="10"/>
        <v>1844</v>
      </c>
      <c r="N26" s="2">
        <f t="shared" si="11"/>
        <v>1462</v>
      </c>
      <c r="O26" s="25">
        <f t="shared" si="12"/>
        <v>5598</v>
      </c>
      <c r="P26" s="23">
        <f t="shared" si="13"/>
        <v>22392</v>
      </c>
      <c r="Q26" s="23">
        <f t="shared" si="14"/>
        <v>24292</v>
      </c>
      <c r="R26" s="2">
        <f t="shared" si="15"/>
        <v>4631</v>
      </c>
      <c r="S26" s="2">
        <f t="shared" si="16"/>
        <v>3187</v>
      </c>
      <c r="T26" s="2">
        <f t="shared" si="17"/>
        <v>2465</v>
      </c>
      <c r="U26" s="2">
        <f t="shared" si="18"/>
        <v>2032</v>
      </c>
      <c r="V26" s="2">
        <f t="shared" si="19"/>
        <v>1743</v>
      </c>
      <c r="W26" s="2">
        <f t="shared" si="20"/>
        <v>1382</v>
      </c>
      <c r="X26" s="25">
        <f t="shared" si="21"/>
        <v>6998</v>
      </c>
      <c r="Y26" s="23">
        <f t="shared" si="22"/>
        <v>20992</v>
      </c>
      <c r="Z26" s="23">
        <f t="shared" si="23"/>
        <v>22892</v>
      </c>
      <c r="AA26" s="2">
        <f t="shared" si="24"/>
        <v>4365</v>
      </c>
      <c r="AB26" s="2">
        <f t="shared" si="25"/>
        <v>3004</v>
      </c>
      <c r="AC26" s="2">
        <f t="shared" si="26"/>
        <v>2323</v>
      </c>
      <c r="AD26" s="2">
        <f t="shared" si="27"/>
        <v>1915</v>
      </c>
      <c r="AE26" s="2">
        <f t="shared" si="28"/>
        <v>1643</v>
      </c>
      <c r="AF26" s="2">
        <f t="shared" si="29"/>
        <v>1303</v>
      </c>
      <c r="AG26" s="25">
        <f t="shared" si="30"/>
        <v>9797</v>
      </c>
      <c r="AH26" s="23">
        <f t="shared" si="31"/>
        <v>18193</v>
      </c>
      <c r="AI26" s="23">
        <f t="shared" si="32"/>
        <v>20093</v>
      </c>
      <c r="AJ26" s="2">
        <f t="shared" si="33"/>
        <v>3831</v>
      </c>
      <c r="AK26" s="2">
        <f t="shared" si="34"/>
        <v>2637</v>
      </c>
      <c r="AL26" s="2">
        <f t="shared" si="35"/>
        <v>2039</v>
      </c>
      <c r="AM26" s="2">
        <f t="shared" si="36"/>
        <v>1681</v>
      </c>
      <c r="AN26" s="2">
        <f t="shared" si="37"/>
        <v>1442</v>
      </c>
      <c r="AO26" s="2">
        <f t="shared" si="38"/>
        <v>1144</v>
      </c>
      <c r="AP26" s="25">
        <f t="shared" si="39"/>
        <v>11196</v>
      </c>
      <c r="AQ26" s="23">
        <f t="shared" si="40"/>
        <v>16794</v>
      </c>
      <c r="AR26" s="23">
        <f t="shared" si="41"/>
        <v>18694</v>
      </c>
      <c r="AS26" s="2">
        <f t="shared" si="42"/>
        <v>3564</v>
      </c>
      <c r="AT26" s="2">
        <f t="shared" si="43"/>
        <v>2453</v>
      </c>
      <c r="AU26" s="2">
        <f t="shared" si="44"/>
        <v>1897</v>
      </c>
      <c r="AV26" s="2">
        <f t="shared" si="45"/>
        <v>1564</v>
      </c>
      <c r="AW26" s="2">
        <f t="shared" si="46"/>
        <v>1342</v>
      </c>
      <c r="AX26" s="2">
        <f t="shared" si="47"/>
        <v>1064</v>
      </c>
    </row>
    <row r="27" ht="14.25" customHeight="1">
      <c r="A27" s="2" t="str">
        <f t="array" ref="A27">IFERROR(INDEX('Product Price'!A:A,SMALL('Product Price'!$D:$D,25)),"")</f>
        <v>HUAWEI MatePad 11.5 2025 8/256 GB</v>
      </c>
      <c r="B27" s="23">
        <f t="array" ref="B27">IFERROR(INDEX('Product Price'!B:B,SMALL('Product Price'!$D:$D,25)),"")</f>
        <v>11990</v>
      </c>
      <c r="C27" s="2">
        <f t="array" ref="C27">IFERROR(INDEX('Product Price'!C:C,SMALL('Product Price'!$D:$D,25)),"")</f>
        <v>17</v>
      </c>
      <c r="D27" s="2">
        <f t="shared" si="1"/>
        <v>1450</v>
      </c>
      <c r="E27" s="23">
        <f t="shared" si="2"/>
        <v>13440</v>
      </c>
      <c r="F27" s="25">
        <f t="shared" si="48"/>
        <v>1799</v>
      </c>
      <c r="G27" s="23">
        <f t="shared" si="4"/>
        <v>10191</v>
      </c>
      <c r="H27" s="23">
        <f t="shared" si="5"/>
        <v>11641</v>
      </c>
      <c r="I27" s="2">
        <f t="shared" si="6"/>
        <v>2220</v>
      </c>
      <c r="J27" s="2">
        <f t="shared" si="7"/>
        <v>1528</v>
      </c>
      <c r="K27" s="2">
        <f t="shared" si="8"/>
        <v>1182</v>
      </c>
      <c r="L27" s="2">
        <f t="shared" si="9"/>
        <v>974</v>
      </c>
      <c r="M27" s="2">
        <f t="shared" si="10"/>
        <v>836</v>
      </c>
      <c r="N27" s="2">
        <f t="shared" si="11"/>
        <v>663</v>
      </c>
      <c r="O27" s="25">
        <f t="shared" si="12"/>
        <v>2398</v>
      </c>
      <c r="P27" s="23">
        <f t="shared" si="13"/>
        <v>9592</v>
      </c>
      <c r="Q27" s="23">
        <f t="shared" si="14"/>
        <v>11042</v>
      </c>
      <c r="R27" s="2">
        <f t="shared" si="15"/>
        <v>2106</v>
      </c>
      <c r="S27" s="2">
        <f t="shared" si="16"/>
        <v>1449</v>
      </c>
      <c r="T27" s="2">
        <f t="shared" si="17"/>
        <v>1121</v>
      </c>
      <c r="U27" s="2">
        <f t="shared" si="18"/>
        <v>924</v>
      </c>
      <c r="V27" s="2">
        <f t="shared" si="19"/>
        <v>793</v>
      </c>
      <c r="W27" s="2">
        <f t="shared" si="20"/>
        <v>629</v>
      </c>
      <c r="X27" s="25">
        <f t="shared" si="21"/>
        <v>2998</v>
      </c>
      <c r="Y27" s="23">
        <f t="shared" si="22"/>
        <v>8992</v>
      </c>
      <c r="Z27" s="23">
        <f t="shared" si="23"/>
        <v>10442</v>
      </c>
      <c r="AA27" s="2">
        <f t="shared" si="24"/>
        <v>1991</v>
      </c>
      <c r="AB27" s="2">
        <f t="shared" si="25"/>
        <v>1370</v>
      </c>
      <c r="AC27" s="2">
        <f t="shared" si="26"/>
        <v>1060</v>
      </c>
      <c r="AD27" s="2">
        <f t="shared" si="27"/>
        <v>874</v>
      </c>
      <c r="AE27" s="2">
        <f t="shared" si="28"/>
        <v>750</v>
      </c>
      <c r="AF27" s="2">
        <f t="shared" si="29"/>
        <v>595</v>
      </c>
      <c r="AG27" s="25">
        <f t="shared" si="30"/>
        <v>4197</v>
      </c>
      <c r="AH27" s="23">
        <f t="shared" si="31"/>
        <v>7793</v>
      </c>
      <c r="AI27" s="23">
        <f t="shared" si="32"/>
        <v>9243</v>
      </c>
      <c r="AJ27" s="2">
        <f t="shared" si="33"/>
        <v>1763</v>
      </c>
      <c r="AK27" s="2">
        <f t="shared" si="34"/>
        <v>1213</v>
      </c>
      <c r="AL27" s="2">
        <f t="shared" si="35"/>
        <v>938</v>
      </c>
      <c r="AM27" s="2">
        <f t="shared" si="36"/>
        <v>774</v>
      </c>
      <c r="AN27" s="2">
        <f t="shared" si="37"/>
        <v>664</v>
      </c>
      <c r="AO27" s="2">
        <f t="shared" si="38"/>
        <v>526</v>
      </c>
      <c r="AP27" s="25">
        <f t="shared" si="39"/>
        <v>4796</v>
      </c>
      <c r="AQ27" s="23">
        <f t="shared" si="40"/>
        <v>7194</v>
      </c>
      <c r="AR27" s="23">
        <f t="shared" si="41"/>
        <v>8644</v>
      </c>
      <c r="AS27" s="2">
        <f t="shared" si="42"/>
        <v>1648</v>
      </c>
      <c r="AT27" s="2">
        <f t="shared" si="43"/>
        <v>1135</v>
      </c>
      <c r="AU27" s="2">
        <f t="shared" si="44"/>
        <v>878</v>
      </c>
      <c r="AV27" s="2">
        <f t="shared" si="45"/>
        <v>723</v>
      </c>
      <c r="AW27" s="2">
        <f t="shared" si="46"/>
        <v>621</v>
      </c>
      <c r="AX27" s="2">
        <f t="shared" si="47"/>
        <v>492</v>
      </c>
    </row>
    <row r="28" ht="14.25" customHeight="1">
      <c r="A28" s="2" t="str">
        <f t="array" ref="A28">IFERROR(INDEX('Product Price'!A:A,SMALL('Product Price'!$D:$D,26)),"")</f>
        <v>HUAWEI MatePad 11.5 S 12/256 GB</v>
      </c>
      <c r="B28" s="29">
        <f t="array" ref="B28">IFERROR(INDEX('Product Price'!B:B,SMALL('Product Price'!$D:$D,26)),"")</f>
        <v>13990</v>
      </c>
      <c r="C28" s="2">
        <f t="array" ref="C28">IFERROR(INDEX('Product Price'!C:C,SMALL('Product Price'!$D:$D,26)),"")</f>
        <v>18</v>
      </c>
      <c r="D28" s="2">
        <f t="shared" si="1"/>
        <v>1450</v>
      </c>
      <c r="E28" s="29">
        <f t="shared" si="2"/>
        <v>15440</v>
      </c>
      <c r="F28" s="25">
        <f t="shared" si="48"/>
        <v>2099</v>
      </c>
      <c r="G28" s="29">
        <f t="shared" si="4"/>
        <v>11891</v>
      </c>
      <c r="H28" s="29">
        <f t="shared" si="5"/>
        <v>13341</v>
      </c>
      <c r="I28" s="2">
        <f t="shared" si="6"/>
        <v>2544</v>
      </c>
      <c r="J28" s="2">
        <f t="shared" si="7"/>
        <v>1751</v>
      </c>
      <c r="K28" s="2">
        <f t="shared" si="8"/>
        <v>1354</v>
      </c>
      <c r="L28" s="2">
        <f t="shared" si="9"/>
        <v>1116</v>
      </c>
      <c r="M28" s="2">
        <f t="shared" si="10"/>
        <v>958</v>
      </c>
      <c r="N28" s="2">
        <f t="shared" si="11"/>
        <v>759</v>
      </c>
      <c r="O28" s="25">
        <f t="shared" si="12"/>
        <v>2798</v>
      </c>
      <c r="P28" s="29">
        <f t="shared" si="13"/>
        <v>11192</v>
      </c>
      <c r="Q28" s="29">
        <f t="shared" si="14"/>
        <v>12642</v>
      </c>
      <c r="R28" s="2">
        <f t="shared" si="15"/>
        <v>2411</v>
      </c>
      <c r="S28" s="2">
        <f t="shared" si="16"/>
        <v>1659</v>
      </c>
      <c r="T28" s="2">
        <f t="shared" si="17"/>
        <v>1283</v>
      </c>
      <c r="U28" s="2">
        <f t="shared" si="18"/>
        <v>1058</v>
      </c>
      <c r="V28" s="2">
        <f t="shared" si="19"/>
        <v>908</v>
      </c>
      <c r="W28" s="2">
        <f t="shared" si="20"/>
        <v>720</v>
      </c>
      <c r="X28" s="25">
        <f t="shared" si="21"/>
        <v>3498</v>
      </c>
      <c r="Y28" s="29">
        <f t="shared" si="22"/>
        <v>10492</v>
      </c>
      <c r="Z28" s="29">
        <f t="shared" si="23"/>
        <v>11942</v>
      </c>
      <c r="AA28" s="2">
        <f t="shared" si="24"/>
        <v>2277</v>
      </c>
      <c r="AB28" s="2">
        <f t="shared" si="25"/>
        <v>1567</v>
      </c>
      <c r="AC28" s="2">
        <f t="shared" si="26"/>
        <v>1212</v>
      </c>
      <c r="AD28" s="2">
        <f t="shared" si="27"/>
        <v>999</v>
      </c>
      <c r="AE28" s="2">
        <f t="shared" si="28"/>
        <v>857</v>
      </c>
      <c r="AF28" s="2">
        <f t="shared" si="29"/>
        <v>680</v>
      </c>
      <c r="AG28" s="25">
        <f t="shared" si="30"/>
        <v>4897</v>
      </c>
      <c r="AH28" s="29">
        <f t="shared" si="31"/>
        <v>9093</v>
      </c>
      <c r="AI28" s="29">
        <f t="shared" si="32"/>
        <v>10543</v>
      </c>
      <c r="AJ28" s="2">
        <f t="shared" si="33"/>
        <v>2010</v>
      </c>
      <c r="AK28" s="2">
        <f t="shared" si="34"/>
        <v>1384</v>
      </c>
      <c r="AL28" s="2">
        <f t="shared" si="35"/>
        <v>1070</v>
      </c>
      <c r="AM28" s="2">
        <f t="shared" si="36"/>
        <v>882</v>
      </c>
      <c r="AN28" s="2">
        <f t="shared" si="37"/>
        <v>757</v>
      </c>
      <c r="AO28" s="2">
        <f t="shared" si="38"/>
        <v>600</v>
      </c>
      <c r="AP28" s="25">
        <f t="shared" si="39"/>
        <v>5596</v>
      </c>
      <c r="AQ28" s="29">
        <f t="shared" si="40"/>
        <v>8394</v>
      </c>
      <c r="AR28" s="29">
        <f t="shared" si="41"/>
        <v>9844</v>
      </c>
      <c r="AS28" s="2">
        <f t="shared" si="42"/>
        <v>1877</v>
      </c>
      <c r="AT28" s="2">
        <f t="shared" si="43"/>
        <v>1292</v>
      </c>
      <c r="AU28" s="2">
        <f t="shared" si="44"/>
        <v>999</v>
      </c>
      <c r="AV28" s="2">
        <f t="shared" si="45"/>
        <v>824</v>
      </c>
      <c r="AW28" s="2">
        <f t="shared" si="46"/>
        <v>707</v>
      </c>
      <c r="AX28" s="2">
        <f t="shared" si="47"/>
        <v>561</v>
      </c>
    </row>
    <row r="29" ht="14.25" customHeight="1">
      <c r="A29" s="2" t="str">
        <f t="array" ref="A29">IFERROR(INDEX('Product Price'!A:A,SMALL('Product Price'!$D:$D,27)),"")</f>
        <v>HUAWEI MatePad Mini 12/256 GB</v>
      </c>
      <c r="B29" s="29">
        <f t="array" ref="B29">IFERROR(INDEX('Product Price'!B:B,SMALL('Product Price'!$D:$D,27)),"")</f>
        <v>18990</v>
      </c>
      <c r="C29" s="2">
        <f t="array" ref="C29">IFERROR(INDEX('Product Price'!C:C,SMALL('Product Price'!$D:$D,27)),"")</f>
        <v>19</v>
      </c>
      <c r="D29" s="2">
        <f t="shared" si="1"/>
        <v>1450</v>
      </c>
      <c r="E29" s="29">
        <f t="shared" si="2"/>
        <v>20440</v>
      </c>
      <c r="F29" s="25">
        <f t="shared" si="48"/>
        <v>2849</v>
      </c>
      <c r="G29" s="29">
        <f t="shared" si="4"/>
        <v>16141</v>
      </c>
      <c r="H29" s="29">
        <f t="shared" si="5"/>
        <v>17591</v>
      </c>
      <c r="I29" s="2">
        <f t="shared" si="6"/>
        <v>3354</v>
      </c>
      <c r="J29" s="2">
        <f t="shared" si="7"/>
        <v>2308</v>
      </c>
      <c r="K29" s="2">
        <f t="shared" si="8"/>
        <v>1785</v>
      </c>
      <c r="L29" s="2">
        <f t="shared" si="9"/>
        <v>1472</v>
      </c>
      <c r="M29" s="2">
        <f t="shared" si="10"/>
        <v>1263</v>
      </c>
      <c r="N29" s="2">
        <f t="shared" si="11"/>
        <v>1001</v>
      </c>
      <c r="O29" s="25">
        <f t="shared" si="12"/>
        <v>3798</v>
      </c>
      <c r="P29" s="29">
        <f t="shared" si="13"/>
        <v>15192</v>
      </c>
      <c r="Q29" s="29">
        <f t="shared" si="14"/>
        <v>16642</v>
      </c>
      <c r="R29" s="2">
        <f t="shared" si="15"/>
        <v>3173</v>
      </c>
      <c r="S29" s="2">
        <f t="shared" si="16"/>
        <v>2184</v>
      </c>
      <c r="T29" s="2">
        <f t="shared" si="17"/>
        <v>1689</v>
      </c>
      <c r="U29" s="2">
        <f t="shared" si="18"/>
        <v>1392</v>
      </c>
      <c r="V29" s="2">
        <f t="shared" si="19"/>
        <v>1195</v>
      </c>
      <c r="W29" s="2">
        <f t="shared" si="20"/>
        <v>947</v>
      </c>
      <c r="X29" s="25">
        <f t="shared" si="21"/>
        <v>4748</v>
      </c>
      <c r="Y29" s="29">
        <f t="shared" si="22"/>
        <v>14242</v>
      </c>
      <c r="Z29" s="29">
        <f t="shared" si="23"/>
        <v>15692</v>
      </c>
      <c r="AA29" s="2">
        <f t="shared" si="24"/>
        <v>2992</v>
      </c>
      <c r="AB29" s="2">
        <f t="shared" si="25"/>
        <v>2059</v>
      </c>
      <c r="AC29" s="2">
        <f t="shared" si="26"/>
        <v>1593</v>
      </c>
      <c r="AD29" s="2">
        <f t="shared" si="27"/>
        <v>1313</v>
      </c>
      <c r="AE29" s="2">
        <f t="shared" si="28"/>
        <v>1126</v>
      </c>
      <c r="AF29" s="2">
        <f t="shared" si="29"/>
        <v>893</v>
      </c>
      <c r="AG29" s="25">
        <f t="shared" si="30"/>
        <v>6647</v>
      </c>
      <c r="AH29" s="29">
        <f t="shared" si="31"/>
        <v>12343</v>
      </c>
      <c r="AI29" s="29">
        <f t="shared" si="32"/>
        <v>13793</v>
      </c>
      <c r="AJ29" s="2">
        <f t="shared" si="33"/>
        <v>2630</v>
      </c>
      <c r="AK29" s="2">
        <f t="shared" si="34"/>
        <v>1810</v>
      </c>
      <c r="AL29" s="2">
        <f t="shared" si="35"/>
        <v>1400</v>
      </c>
      <c r="AM29" s="2">
        <f t="shared" si="36"/>
        <v>1154</v>
      </c>
      <c r="AN29" s="2">
        <f t="shared" si="37"/>
        <v>990</v>
      </c>
      <c r="AO29" s="2">
        <f t="shared" si="38"/>
        <v>785</v>
      </c>
      <c r="AP29" s="25">
        <f t="shared" si="39"/>
        <v>7596</v>
      </c>
      <c r="AQ29" s="29">
        <f t="shared" si="40"/>
        <v>11394</v>
      </c>
      <c r="AR29" s="29">
        <f t="shared" si="41"/>
        <v>12844</v>
      </c>
      <c r="AS29" s="2">
        <f t="shared" si="42"/>
        <v>2449</v>
      </c>
      <c r="AT29" s="2">
        <f t="shared" si="43"/>
        <v>1686</v>
      </c>
      <c r="AU29" s="2">
        <f t="shared" si="44"/>
        <v>1304</v>
      </c>
      <c r="AV29" s="2">
        <f t="shared" si="45"/>
        <v>1075</v>
      </c>
      <c r="AW29" s="2">
        <f t="shared" si="46"/>
        <v>922</v>
      </c>
      <c r="AX29" s="2">
        <f t="shared" si="47"/>
        <v>731</v>
      </c>
    </row>
    <row r="30" ht="14.25" customHeight="1">
      <c r="A30" s="2" t="str">
        <f t="array" ref="A30">IFERROR(INDEX('Product Price'!A:A,SMALL('Product Price'!$D:$D,28)),"")</f>
        <v>HUAWEI MatePad 12 X 12/256 GB</v>
      </c>
      <c r="B30" s="29">
        <f t="array" ref="B30">IFERROR(INDEX('Product Price'!B:B,SMALL('Product Price'!$D:$D,28)),"")</f>
        <v>19990</v>
      </c>
      <c r="C30" s="2">
        <f t="array" ref="C30">IFERROR(INDEX('Product Price'!C:C,SMALL('Product Price'!$D:$D,28)),"")</f>
        <v>20</v>
      </c>
      <c r="D30" s="2">
        <f t="shared" si="1"/>
        <v>1450</v>
      </c>
      <c r="E30" s="29">
        <f t="shared" si="2"/>
        <v>21440</v>
      </c>
      <c r="F30" s="25">
        <f t="shared" si="48"/>
        <v>2999</v>
      </c>
      <c r="G30" s="29">
        <f t="shared" si="4"/>
        <v>16991</v>
      </c>
      <c r="H30" s="29">
        <f t="shared" si="5"/>
        <v>18441</v>
      </c>
      <c r="I30" s="2">
        <f t="shared" si="6"/>
        <v>3516</v>
      </c>
      <c r="J30" s="2">
        <f t="shared" si="7"/>
        <v>2420</v>
      </c>
      <c r="K30" s="2">
        <f t="shared" si="8"/>
        <v>1872</v>
      </c>
      <c r="L30" s="2">
        <f t="shared" si="9"/>
        <v>1543</v>
      </c>
      <c r="M30" s="2">
        <f t="shared" si="10"/>
        <v>1324</v>
      </c>
      <c r="N30" s="2">
        <f t="shared" si="11"/>
        <v>1050</v>
      </c>
      <c r="O30" s="25">
        <f t="shared" si="12"/>
        <v>3998</v>
      </c>
      <c r="P30" s="29">
        <f t="shared" si="13"/>
        <v>15992</v>
      </c>
      <c r="Q30" s="29">
        <f t="shared" si="14"/>
        <v>17442</v>
      </c>
      <c r="R30" s="2">
        <f t="shared" si="15"/>
        <v>3326</v>
      </c>
      <c r="S30" s="2">
        <f t="shared" si="16"/>
        <v>2289</v>
      </c>
      <c r="T30" s="2">
        <f t="shared" si="17"/>
        <v>1770</v>
      </c>
      <c r="U30" s="2">
        <f t="shared" si="18"/>
        <v>1459</v>
      </c>
      <c r="V30" s="2">
        <f t="shared" si="19"/>
        <v>1252</v>
      </c>
      <c r="W30" s="2">
        <f t="shared" si="20"/>
        <v>993</v>
      </c>
      <c r="X30" s="25">
        <f t="shared" si="21"/>
        <v>4998</v>
      </c>
      <c r="Y30" s="29">
        <f t="shared" si="22"/>
        <v>14992</v>
      </c>
      <c r="Z30" s="29">
        <f t="shared" si="23"/>
        <v>16442</v>
      </c>
      <c r="AA30" s="2">
        <f t="shared" si="24"/>
        <v>3135</v>
      </c>
      <c r="AB30" s="2">
        <f t="shared" si="25"/>
        <v>2158</v>
      </c>
      <c r="AC30" s="2">
        <f t="shared" si="26"/>
        <v>1669</v>
      </c>
      <c r="AD30" s="2">
        <f t="shared" si="27"/>
        <v>1376</v>
      </c>
      <c r="AE30" s="2">
        <f t="shared" si="28"/>
        <v>1180</v>
      </c>
      <c r="AF30" s="2">
        <f t="shared" si="29"/>
        <v>936</v>
      </c>
      <c r="AG30" s="25">
        <f t="shared" si="30"/>
        <v>6997</v>
      </c>
      <c r="AH30" s="29">
        <f t="shared" si="31"/>
        <v>12993</v>
      </c>
      <c r="AI30" s="29">
        <f t="shared" si="32"/>
        <v>14443</v>
      </c>
      <c r="AJ30" s="2">
        <f t="shared" si="33"/>
        <v>2754</v>
      </c>
      <c r="AK30" s="2">
        <f t="shared" si="34"/>
        <v>1895</v>
      </c>
      <c r="AL30" s="2">
        <f t="shared" si="35"/>
        <v>1466</v>
      </c>
      <c r="AM30" s="2">
        <f t="shared" si="36"/>
        <v>1208</v>
      </c>
      <c r="AN30" s="2">
        <f t="shared" si="37"/>
        <v>1037</v>
      </c>
      <c r="AO30" s="2">
        <f t="shared" si="38"/>
        <v>822</v>
      </c>
      <c r="AP30" s="25">
        <f t="shared" si="39"/>
        <v>7996</v>
      </c>
      <c r="AQ30" s="29">
        <f t="shared" si="40"/>
        <v>11994</v>
      </c>
      <c r="AR30" s="29">
        <f t="shared" si="41"/>
        <v>13444</v>
      </c>
      <c r="AS30" s="2">
        <f t="shared" si="42"/>
        <v>2563</v>
      </c>
      <c r="AT30" s="2">
        <f t="shared" si="43"/>
        <v>1764</v>
      </c>
      <c r="AU30" s="2">
        <f t="shared" si="44"/>
        <v>1365</v>
      </c>
      <c r="AV30" s="2">
        <f t="shared" si="45"/>
        <v>1125</v>
      </c>
      <c r="AW30" s="2">
        <f t="shared" si="46"/>
        <v>965</v>
      </c>
      <c r="AX30" s="2">
        <f t="shared" si="47"/>
        <v>765</v>
      </c>
    </row>
    <row r="31" ht="14.25" customHeight="1">
      <c r="A31" s="2" t="str">
        <f t="array" ref="A31">IFERROR(INDEX('Product Price'!A:A,SMALL('Product Price'!$D:$D,29)),"")</f>
        <v>HUAWEI MatePad SE 11 8/128 GB</v>
      </c>
      <c r="B31" s="29">
        <f t="array" ref="B31">IFERROR(INDEX('Product Price'!B:B,SMALL('Product Price'!$D:$D,29)),"")</f>
        <v>7990</v>
      </c>
      <c r="C31" s="2">
        <f t="array" ref="C31">IFERROR(INDEX('Product Price'!C:C,SMALL('Product Price'!$D:$D,29)),"")</f>
        <v>21</v>
      </c>
      <c r="D31" s="2">
        <f t="shared" si="1"/>
        <v>795</v>
      </c>
      <c r="E31" s="29">
        <f t="shared" si="2"/>
        <v>8785</v>
      </c>
      <c r="F31" s="25">
        <f t="shared" si="48"/>
        <v>1199</v>
      </c>
      <c r="G31" s="29">
        <f t="shared" si="4"/>
        <v>6791</v>
      </c>
      <c r="H31" s="29">
        <f t="shared" si="5"/>
        <v>7586</v>
      </c>
      <c r="I31" s="2">
        <f t="shared" si="6"/>
        <v>1447</v>
      </c>
      <c r="J31" s="2">
        <f t="shared" si="7"/>
        <v>996</v>
      </c>
      <c r="K31" s="2">
        <f t="shared" si="8"/>
        <v>770</v>
      </c>
      <c r="L31" s="2">
        <f t="shared" si="9"/>
        <v>635</v>
      </c>
      <c r="M31" s="2">
        <f t="shared" si="10"/>
        <v>545</v>
      </c>
      <c r="N31" s="2">
        <f t="shared" si="11"/>
        <v>432</v>
      </c>
      <c r="O31" s="25">
        <f t="shared" si="12"/>
        <v>1598</v>
      </c>
      <c r="P31" s="29">
        <f t="shared" si="13"/>
        <v>6392</v>
      </c>
      <c r="Q31" s="29">
        <f t="shared" si="14"/>
        <v>7187</v>
      </c>
      <c r="R31" s="2">
        <f t="shared" si="15"/>
        <v>1371</v>
      </c>
      <c r="S31" s="2">
        <f t="shared" si="16"/>
        <v>943</v>
      </c>
      <c r="T31" s="2">
        <f t="shared" si="17"/>
        <v>730</v>
      </c>
      <c r="U31" s="2">
        <f t="shared" si="18"/>
        <v>602</v>
      </c>
      <c r="V31" s="2">
        <f t="shared" si="19"/>
        <v>516</v>
      </c>
      <c r="W31" s="2">
        <f t="shared" si="20"/>
        <v>409</v>
      </c>
      <c r="X31" s="25">
        <f t="shared" si="21"/>
        <v>1998</v>
      </c>
      <c r="Y31" s="29">
        <f t="shared" si="22"/>
        <v>5992</v>
      </c>
      <c r="Z31" s="29">
        <f t="shared" si="23"/>
        <v>6787</v>
      </c>
      <c r="AA31" s="2">
        <f t="shared" si="24"/>
        <v>1294</v>
      </c>
      <c r="AB31" s="2">
        <f t="shared" si="25"/>
        <v>891</v>
      </c>
      <c r="AC31" s="2">
        <f t="shared" si="26"/>
        <v>689</v>
      </c>
      <c r="AD31" s="2">
        <f t="shared" si="27"/>
        <v>568</v>
      </c>
      <c r="AE31" s="2">
        <f t="shared" si="28"/>
        <v>487</v>
      </c>
      <c r="AF31" s="2" t="str">
        <f t="shared" si="29"/>
        <v>-</v>
      </c>
      <c r="AG31" s="25">
        <f t="shared" si="30"/>
        <v>2797</v>
      </c>
      <c r="AH31" s="29">
        <f t="shared" si="31"/>
        <v>5193</v>
      </c>
      <c r="AI31" s="29">
        <f t="shared" si="32"/>
        <v>5988</v>
      </c>
      <c r="AJ31" s="2">
        <f t="shared" si="33"/>
        <v>1142</v>
      </c>
      <c r="AK31" s="2">
        <f t="shared" si="34"/>
        <v>786</v>
      </c>
      <c r="AL31" s="2">
        <f t="shared" si="35"/>
        <v>608</v>
      </c>
      <c r="AM31" s="2">
        <f t="shared" si="36"/>
        <v>501</v>
      </c>
      <c r="AN31" s="2">
        <f t="shared" si="37"/>
        <v>430</v>
      </c>
      <c r="AO31" s="2" t="str">
        <f t="shared" si="38"/>
        <v>-</v>
      </c>
      <c r="AP31" s="25">
        <f t="shared" si="39"/>
        <v>3196</v>
      </c>
      <c r="AQ31" s="29">
        <f t="shared" si="40"/>
        <v>4794</v>
      </c>
      <c r="AR31" s="29">
        <f t="shared" si="41"/>
        <v>5589</v>
      </c>
      <c r="AS31" s="2">
        <f t="shared" si="42"/>
        <v>1066</v>
      </c>
      <c r="AT31" s="2">
        <f t="shared" si="43"/>
        <v>734</v>
      </c>
      <c r="AU31" s="2">
        <f t="shared" si="44"/>
        <v>568</v>
      </c>
      <c r="AV31" s="2">
        <f t="shared" si="45"/>
        <v>468</v>
      </c>
      <c r="AW31" s="2">
        <f t="shared" si="46"/>
        <v>402</v>
      </c>
      <c r="AX31" s="2" t="str">
        <f t="shared" si="47"/>
        <v>-</v>
      </c>
    </row>
    <row r="32" ht="14.25" customHeight="1">
      <c r="A32" s="2" t="str">
        <f t="array" ref="A32">IFERROR(INDEX('Product Price'!A:A,SMALL('Product Price'!$D:$D,30)),"")</f>
        <v>INFINIX GT 50 Pro 5G 12/512 GB</v>
      </c>
      <c r="B32" s="29">
        <f t="array" ref="B32">IFERROR(INDEX('Product Price'!B:B,SMALL('Product Price'!$D:$D,30)),"")</f>
        <v>19999</v>
      </c>
      <c r="C32" s="2">
        <f t="array" ref="C32">IFERROR(INDEX('Product Price'!C:C,SMALL('Product Price'!$D:$D,30)),"")</f>
        <v>253</v>
      </c>
      <c r="D32" s="2">
        <f t="shared" si="1"/>
        <v>1450</v>
      </c>
      <c r="E32" s="29">
        <f t="shared" si="2"/>
        <v>21449</v>
      </c>
      <c r="F32" s="25">
        <f t="shared" si="48"/>
        <v>3000</v>
      </c>
      <c r="G32" s="29">
        <f t="shared" si="4"/>
        <v>16999</v>
      </c>
      <c r="H32" s="29">
        <f t="shared" si="5"/>
        <v>18449</v>
      </c>
      <c r="I32" s="2">
        <f t="shared" si="6"/>
        <v>3518</v>
      </c>
      <c r="J32" s="2">
        <f t="shared" si="7"/>
        <v>2421</v>
      </c>
      <c r="K32" s="2">
        <f t="shared" si="8"/>
        <v>1873</v>
      </c>
      <c r="L32" s="2">
        <f t="shared" si="9"/>
        <v>1544</v>
      </c>
      <c r="M32" s="2">
        <f t="shared" si="10"/>
        <v>1324</v>
      </c>
      <c r="N32" s="2">
        <f t="shared" si="11"/>
        <v>1050</v>
      </c>
      <c r="O32" s="25">
        <f t="shared" si="12"/>
        <v>4000</v>
      </c>
      <c r="P32" s="29">
        <f t="shared" si="13"/>
        <v>15999</v>
      </c>
      <c r="Q32" s="29">
        <f t="shared" si="14"/>
        <v>17449</v>
      </c>
      <c r="R32" s="2">
        <f t="shared" si="15"/>
        <v>3327</v>
      </c>
      <c r="S32" s="2">
        <f t="shared" si="16"/>
        <v>2290</v>
      </c>
      <c r="T32" s="2">
        <f t="shared" si="17"/>
        <v>1771</v>
      </c>
      <c r="U32" s="2">
        <f t="shared" si="18"/>
        <v>1460</v>
      </c>
      <c r="V32" s="2">
        <f t="shared" si="19"/>
        <v>1252</v>
      </c>
      <c r="W32" s="2">
        <f t="shared" si="20"/>
        <v>993</v>
      </c>
      <c r="X32" s="25">
        <f t="shared" si="21"/>
        <v>5000</v>
      </c>
      <c r="Y32" s="29">
        <f t="shared" si="22"/>
        <v>14999</v>
      </c>
      <c r="Z32" s="29">
        <f t="shared" si="23"/>
        <v>16449</v>
      </c>
      <c r="AA32" s="2">
        <f t="shared" si="24"/>
        <v>3136</v>
      </c>
      <c r="AB32" s="2">
        <f t="shared" si="25"/>
        <v>2159</v>
      </c>
      <c r="AC32" s="2">
        <f t="shared" si="26"/>
        <v>1670</v>
      </c>
      <c r="AD32" s="2">
        <f t="shared" si="27"/>
        <v>1376</v>
      </c>
      <c r="AE32" s="2">
        <f t="shared" si="28"/>
        <v>1181</v>
      </c>
      <c r="AF32" s="2">
        <f t="shared" si="29"/>
        <v>936</v>
      </c>
      <c r="AG32" s="25">
        <f t="shared" si="30"/>
        <v>7000</v>
      </c>
      <c r="AH32" s="29">
        <f t="shared" si="31"/>
        <v>12999</v>
      </c>
      <c r="AI32" s="29">
        <f t="shared" si="32"/>
        <v>14449</v>
      </c>
      <c r="AJ32" s="2">
        <f t="shared" si="33"/>
        <v>2755</v>
      </c>
      <c r="AK32" s="2">
        <f t="shared" si="34"/>
        <v>1896</v>
      </c>
      <c r="AL32" s="2">
        <f t="shared" si="35"/>
        <v>1467</v>
      </c>
      <c r="AM32" s="2">
        <f t="shared" si="36"/>
        <v>1209</v>
      </c>
      <c r="AN32" s="2">
        <f t="shared" si="37"/>
        <v>1037</v>
      </c>
      <c r="AO32" s="2">
        <f t="shared" si="38"/>
        <v>822</v>
      </c>
      <c r="AP32" s="25">
        <f t="shared" si="39"/>
        <v>8000</v>
      </c>
      <c r="AQ32" s="29">
        <f t="shared" si="40"/>
        <v>11999</v>
      </c>
      <c r="AR32" s="29">
        <f t="shared" si="41"/>
        <v>13449</v>
      </c>
      <c r="AS32" s="2">
        <f t="shared" si="42"/>
        <v>2564</v>
      </c>
      <c r="AT32" s="2">
        <f t="shared" si="43"/>
        <v>1765</v>
      </c>
      <c r="AU32" s="2">
        <f t="shared" si="44"/>
        <v>1365</v>
      </c>
      <c r="AV32" s="2">
        <f t="shared" si="45"/>
        <v>1125</v>
      </c>
      <c r="AW32" s="2">
        <f t="shared" si="46"/>
        <v>965</v>
      </c>
      <c r="AX32" s="2">
        <f t="shared" si="47"/>
        <v>766</v>
      </c>
    </row>
    <row r="33" ht="14.25" customHeight="1">
      <c r="A33" s="2" t="str">
        <f t="array" ref="A33">IFERROR(INDEX('Product Price'!A:A,SMALL('Product Price'!$D:$D,31)),"")</f>
        <v>INFINIX GT 50 Pro 5G 12/256 GB</v>
      </c>
      <c r="B33" s="29">
        <f t="array" ref="B33">IFERROR(INDEX('Product Price'!B:B,SMALL('Product Price'!$D:$D,31)),"")</f>
        <v>15999</v>
      </c>
      <c r="C33" s="2">
        <f t="array" ref="C33">IFERROR(INDEX('Product Price'!C:C,SMALL('Product Price'!$D:$D,31)),"")</f>
        <v>22</v>
      </c>
      <c r="D33" s="2">
        <f t="shared" si="1"/>
        <v>1450</v>
      </c>
      <c r="E33" s="29">
        <f t="shared" si="2"/>
        <v>17449</v>
      </c>
      <c r="F33" s="25">
        <f t="shared" si="48"/>
        <v>2400</v>
      </c>
      <c r="G33" s="29">
        <f t="shared" si="4"/>
        <v>13599</v>
      </c>
      <c r="H33" s="29">
        <f t="shared" si="5"/>
        <v>15049</v>
      </c>
      <c r="I33" s="2">
        <f t="shared" si="6"/>
        <v>2869</v>
      </c>
      <c r="J33" s="2">
        <f t="shared" si="7"/>
        <v>1975</v>
      </c>
      <c r="K33" s="2">
        <f t="shared" si="8"/>
        <v>1528</v>
      </c>
      <c r="L33" s="2">
        <f t="shared" si="9"/>
        <v>1259</v>
      </c>
      <c r="M33" s="2">
        <f t="shared" si="10"/>
        <v>1080</v>
      </c>
      <c r="N33" s="2">
        <f t="shared" si="11"/>
        <v>857</v>
      </c>
      <c r="O33" s="25">
        <f t="shared" si="12"/>
        <v>3200</v>
      </c>
      <c r="P33" s="29">
        <f t="shared" si="13"/>
        <v>12799</v>
      </c>
      <c r="Q33" s="29">
        <f t="shared" si="14"/>
        <v>14249</v>
      </c>
      <c r="R33" s="2">
        <f t="shared" si="15"/>
        <v>2717</v>
      </c>
      <c r="S33" s="2">
        <f t="shared" si="16"/>
        <v>1870</v>
      </c>
      <c r="T33" s="2">
        <f t="shared" si="17"/>
        <v>1446</v>
      </c>
      <c r="U33" s="2">
        <f t="shared" si="18"/>
        <v>1192</v>
      </c>
      <c r="V33" s="2">
        <f t="shared" si="19"/>
        <v>1023</v>
      </c>
      <c r="W33" s="2">
        <f t="shared" si="20"/>
        <v>811</v>
      </c>
      <c r="X33" s="25">
        <f t="shared" si="21"/>
        <v>4000</v>
      </c>
      <c r="Y33" s="29">
        <f t="shared" si="22"/>
        <v>11999</v>
      </c>
      <c r="Z33" s="29">
        <f t="shared" si="23"/>
        <v>13449</v>
      </c>
      <c r="AA33" s="2">
        <f t="shared" si="24"/>
        <v>2564</v>
      </c>
      <c r="AB33" s="2">
        <f t="shared" si="25"/>
        <v>1765</v>
      </c>
      <c r="AC33" s="2">
        <f t="shared" si="26"/>
        <v>1365</v>
      </c>
      <c r="AD33" s="2">
        <f t="shared" si="27"/>
        <v>1125</v>
      </c>
      <c r="AE33" s="2">
        <f t="shared" si="28"/>
        <v>965</v>
      </c>
      <c r="AF33" s="2">
        <f t="shared" si="29"/>
        <v>766</v>
      </c>
      <c r="AG33" s="25">
        <f t="shared" si="30"/>
        <v>5600</v>
      </c>
      <c r="AH33" s="29">
        <f t="shared" si="31"/>
        <v>10399</v>
      </c>
      <c r="AI33" s="29">
        <f t="shared" si="32"/>
        <v>11849</v>
      </c>
      <c r="AJ33" s="2">
        <f t="shared" si="33"/>
        <v>2259</v>
      </c>
      <c r="AK33" s="2">
        <f t="shared" si="34"/>
        <v>1555</v>
      </c>
      <c r="AL33" s="2">
        <f t="shared" si="35"/>
        <v>1203</v>
      </c>
      <c r="AM33" s="2">
        <f t="shared" si="36"/>
        <v>992</v>
      </c>
      <c r="AN33" s="2">
        <f t="shared" si="37"/>
        <v>851</v>
      </c>
      <c r="AO33" s="2">
        <f t="shared" si="38"/>
        <v>675</v>
      </c>
      <c r="AP33" s="25">
        <f t="shared" si="39"/>
        <v>6400</v>
      </c>
      <c r="AQ33" s="29">
        <f t="shared" si="40"/>
        <v>9599</v>
      </c>
      <c r="AR33" s="29">
        <f t="shared" si="41"/>
        <v>11049</v>
      </c>
      <c r="AS33" s="2">
        <f t="shared" si="42"/>
        <v>2107</v>
      </c>
      <c r="AT33" s="2">
        <f t="shared" si="43"/>
        <v>1450</v>
      </c>
      <c r="AU33" s="2">
        <f t="shared" si="44"/>
        <v>1122</v>
      </c>
      <c r="AV33" s="2">
        <f t="shared" si="45"/>
        <v>925</v>
      </c>
      <c r="AW33" s="2">
        <f t="shared" si="46"/>
        <v>793</v>
      </c>
      <c r="AX33" s="2">
        <f t="shared" si="47"/>
        <v>629</v>
      </c>
    </row>
    <row r="34" ht="14.25" customHeight="1">
      <c r="A34" s="2" t="str">
        <f t="array" ref="A34">IFERROR(INDEX('Product Price'!A:A,SMALL('Product Price'!$D:$D,32)),"")</f>
        <v>INFINIX NOTE 50 Pro+ 5G 12/256 GB</v>
      </c>
      <c r="B34" s="29">
        <f t="array" ref="B34">IFERROR(INDEX('Product Price'!B:B,SMALL('Product Price'!$D:$D,32)),"")</f>
        <v>13999</v>
      </c>
      <c r="C34" s="2">
        <f t="array" ref="C34">IFERROR(INDEX('Product Price'!C:C,SMALL('Product Price'!$D:$D,32)),"")</f>
        <v>23</v>
      </c>
      <c r="D34" s="2">
        <f t="shared" si="1"/>
        <v>1450</v>
      </c>
      <c r="E34" s="29">
        <f t="shared" si="2"/>
        <v>15449</v>
      </c>
      <c r="F34" s="25">
        <f t="shared" si="48"/>
        <v>2100</v>
      </c>
      <c r="G34" s="29">
        <f t="shared" si="4"/>
        <v>11899</v>
      </c>
      <c r="H34" s="29">
        <f t="shared" si="5"/>
        <v>13349</v>
      </c>
      <c r="I34" s="2">
        <f t="shared" si="6"/>
        <v>2545</v>
      </c>
      <c r="J34" s="2">
        <f t="shared" si="7"/>
        <v>1752</v>
      </c>
      <c r="K34" s="2">
        <f t="shared" si="8"/>
        <v>1355</v>
      </c>
      <c r="L34" s="2">
        <f t="shared" si="9"/>
        <v>1117</v>
      </c>
      <c r="M34" s="2">
        <f t="shared" si="10"/>
        <v>958</v>
      </c>
      <c r="N34" s="2">
        <f t="shared" si="11"/>
        <v>760</v>
      </c>
      <c r="O34" s="25">
        <f t="shared" si="12"/>
        <v>2800</v>
      </c>
      <c r="P34" s="29">
        <f t="shared" si="13"/>
        <v>11199</v>
      </c>
      <c r="Q34" s="29">
        <f t="shared" si="14"/>
        <v>12649</v>
      </c>
      <c r="R34" s="2">
        <f t="shared" si="15"/>
        <v>2412</v>
      </c>
      <c r="S34" s="2">
        <f t="shared" si="16"/>
        <v>1660</v>
      </c>
      <c r="T34" s="2">
        <f t="shared" si="17"/>
        <v>1284</v>
      </c>
      <c r="U34" s="2">
        <f t="shared" si="18"/>
        <v>1058</v>
      </c>
      <c r="V34" s="2">
        <f t="shared" si="19"/>
        <v>908</v>
      </c>
      <c r="W34" s="2">
        <f t="shared" si="20"/>
        <v>720</v>
      </c>
      <c r="X34" s="25">
        <f t="shared" si="21"/>
        <v>3500</v>
      </c>
      <c r="Y34" s="29">
        <f t="shared" si="22"/>
        <v>10499</v>
      </c>
      <c r="Z34" s="29">
        <f t="shared" si="23"/>
        <v>11949</v>
      </c>
      <c r="AA34" s="2">
        <f t="shared" si="24"/>
        <v>2278</v>
      </c>
      <c r="AB34" s="2">
        <f t="shared" si="25"/>
        <v>1568</v>
      </c>
      <c r="AC34" s="2">
        <f t="shared" si="26"/>
        <v>1213</v>
      </c>
      <c r="AD34" s="2">
        <f t="shared" si="27"/>
        <v>1000</v>
      </c>
      <c r="AE34" s="2">
        <f t="shared" si="28"/>
        <v>858</v>
      </c>
      <c r="AF34" s="2">
        <f t="shared" si="29"/>
        <v>680</v>
      </c>
      <c r="AG34" s="25">
        <f t="shared" si="30"/>
        <v>4900</v>
      </c>
      <c r="AH34" s="29">
        <f t="shared" si="31"/>
        <v>9099</v>
      </c>
      <c r="AI34" s="29">
        <f t="shared" si="32"/>
        <v>10549</v>
      </c>
      <c r="AJ34" s="2">
        <f t="shared" si="33"/>
        <v>2012</v>
      </c>
      <c r="AK34" s="2">
        <f t="shared" si="34"/>
        <v>1384</v>
      </c>
      <c r="AL34" s="2">
        <f t="shared" si="35"/>
        <v>1071</v>
      </c>
      <c r="AM34" s="2">
        <f t="shared" si="36"/>
        <v>883</v>
      </c>
      <c r="AN34" s="2">
        <f t="shared" si="37"/>
        <v>757</v>
      </c>
      <c r="AO34" s="2">
        <f t="shared" si="38"/>
        <v>601</v>
      </c>
      <c r="AP34" s="25">
        <f t="shared" si="39"/>
        <v>5600</v>
      </c>
      <c r="AQ34" s="29">
        <f t="shared" si="40"/>
        <v>8399</v>
      </c>
      <c r="AR34" s="29">
        <f t="shared" si="41"/>
        <v>9849</v>
      </c>
      <c r="AS34" s="2">
        <f t="shared" si="42"/>
        <v>1878</v>
      </c>
      <c r="AT34" s="2">
        <f t="shared" si="43"/>
        <v>1293</v>
      </c>
      <c r="AU34" s="2">
        <f t="shared" si="44"/>
        <v>1000</v>
      </c>
      <c r="AV34" s="2">
        <f t="shared" si="45"/>
        <v>824</v>
      </c>
      <c r="AW34" s="2">
        <f t="shared" si="46"/>
        <v>707</v>
      </c>
      <c r="AX34" s="2">
        <f t="shared" si="47"/>
        <v>561</v>
      </c>
    </row>
    <row r="35" ht="14.25" customHeight="1">
      <c r="A35" s="2" t="str">
        <f t="array" ref="A35">IFERROR(INDEX('Product Price'!A:A,SMALL('Product Price'!$D:$D,33)),"")</f>
        <v>INFINIX NOTE 60 Pro 5G 12/256 GB</v>
      </c>
      <c r="B35" s="29">
        <f t="array" ref="B35">IFERROR(INDEX('Product Price'!B:B,SMALL('Product Price'!$D:$D,33)),"")</f>
        <v>12999</v>
      </c>
      <c r="C35" s="2">
        <f t="array" ref="C35">IFERROR(INDEX('Product Price'!C:C,SMALL('Product Price'!$D:$D,33)),"")</f>
        <v>24</v>
      </c>
      <c r="D35" s="2">
        <f t="shared" si="1"/>
        <v>1450</v>
      </c>
      <c r="E35" s="29">
        <f t="shared" si="2"/>
        <v>14449</v>
      </c>
      <c r="F35" s="25">
        <f t="shared" si="48"/>
        <v>1950</v>
      </c>
      <c r="G35" s="29">
        <f t="shared" si="4"/>
        <v>11049</v>
      </c>
      <c r="H35" s="29">
        <f t="shared" si="5"/>
        <v>12499</v>
      </c>
      <c r="I35" s="2">
        <f t="shared" si="6"/>
        <v>2383</v>
      </c>
      <c r="J35" s="2">
        <f t="shared" si="7"/>
        <v>1640</v>
      </c>
      <c r="K35" s="2">
        <f t="shared" si="8"/>
        <v>1269</v>
      </c>
      <c r="L35" s="2">
        <f t="shared" si="9"/>
        <v>1046</v>
      </c>
      <c r="M35" s="2">
        <f t="shared" si="10"/>
        <v>897</v>
      </c>
      <c r="N35" s="2">
        <f t="shared" si="11"/>
        <v>712</v>
      </c>
      <c r="O35" s="25">
        <f t="shared" si="12"/>
        <v>2600</v>
      </c>
      <c r="P35" s="29">
        <f t="shared" si="13"/>
        <v>10399</v>
      </c>
      <c r="Q35" s="29">
        <f t="shared" si="14"/>
        <v>11849</v>
      </c>
      <c r="R35" s="2">
        <f t="shared" si="15"/>
        <v>2259</v>
      </c>
      <c r="S35" s="2">
        <f t="shared" si="16"/>
        <v>1555</v>
      </c>
      <c r="T35" s="2">
        <f t="shared" si="17"/>
        <v>1203</v>
      </c>
      <c r="U35" s="2">
        <f t="shared" si="18"/>
        <v>992</v>
      </c>
      <c r="V35" s="2">
        <f t="shared" si="19"/>
        <v>851</v>
      </c>
      <c r="W35" s="2">
        <f t="shared" si="20"/>
        <v>675</v>
      </c>
      <c r="X35" s="25">
        <f t="shared" si="21"/>
        <v>3250</v>
      </c>
      <c r="Y35" s="29">
        <f t="shared" si="22"/>
        <v>9749</v>
      </c>
      <c r="Z35" s="29">
        <f t="shared" si="23"/>
        <v>11199</v>
      </c>
      <c r="AA35" s="2">
        <f t="shared" si="24"/>
        <v>2135</v>
      </c>
      <c r="AB35" s="2">
        <f t="shared" si="25"/>
        <v>1470</v>
      </c>
      <c r="AC35" s="2">
        <f t="shared" si="26"/>
        <v>1137</v>
      </c>
      <c r="AD35" s="2">
        <f t="shared" si="27"/>
        <v>937</v>
      </c>
      <c r="AE35" s="2">
        <f t="shared" si="28"/>
        <v>804</v>
      </c>
      <c r="AF35" s="2">
        <f t="shared" si="29"/>
        <v>638</v>
      </c>
      <c r="AG35" s="25">
        <f t="shared" si="30"/>
        <v>4550</v>
      </c>
      <c r="AH35" s="29">
        <f t="shared" si="31"/>
        <v>8449</v>
      </c>
      <c r="AI35" s="29">
        <f t="shared" si="32"/>
        <v>9899</v>
      </c>
      <c r="AJ35" s="2">
        <f t="shared" si="33"/>
        <v>1888</v>
      </c>
      <c r="AK35" s="2">
        <f t="shared" si="34"/>
        <v>1299</v>
      </c>
      <c r="AL35" s="2">
        <f t="shared" si="35"/>
        <v>1005</v>
      </c>
      <c r="AM35" s="2">
        <f t="shared" si="36"/>
        <v>828</v>
      </c>
      <c r="AN35" s="2">
        <f t="shared" si="37"/>
        <v>711</v>
      </c>
      <c r="AO35" s="2">
        <f t="shared" si="38"/>
        <v>564</v>
      </c>
      <c r="AP35" s="25">
        <f t="shared" si="39"/>
        <v>5200</v>
      </c>
      <c r="AQ35" s="29">
        <f t="shared" si="40"/>
        <v>7799</v>
      </c>
      <c r="AR35" s="29">
        <f t="shared" si="41"/>
        <v>9249</v>
      </c>
      <c r="AS35" s="2">
        <f t="shared" si="42"/>
        <v>1764</v>
      </c>
      <c r="AT35" s="2">
        <f t="shared" si="43"/>
        <v>1214</v>
      </c>
      <c r="AU35" s="2">
        <f t="shared" si="44"/>
        <v>939</v>
      </c>
      <c r="AV35" s="2">
        <f t="shared" si="45"/>
        <v>774</v>
      </c>
      <c r="AW35" s="2">
        <f t="shared" si="46"/>
        <v>664</v>
      </c>
      <c r="AX35" s="2">
        <f t="shared" si="47"/>
        <v>527</v>
      </c>
    </row>
    <row r="36" ht="14.25" customHeight="1">
      <c r="A36" s="2" t="str">
        <f t="array" ref="A36">IFERROR(INDEX('Product Price'!A:A,SMALL('Product Price'!$D:$D,34)),"")</f>
        <v>INFINIX GT 30 Pro 5G 12/512 GB</v>
      </c>
      <c r="B36" s="29">
        <f t="array" ref="B36">IFERROR(INDEX('Product Price'!B:B,SMALL('Product Price'!$D:$D,34)),"")</f>
        <v>12999</v>
      </c>
      <c r="C36" s="2">
        <f t="array" ref="C36">IFERROR(INDEX('Product Price'!C:C,SMALL('Product Price'!$D:$D,34)),"")</f>
        <v>25</v>
      </c>
      <c r="D36" s="2">
        <f t="shared" si="1"/>
        <v>1450</v>
      </c>
      <c r="E36" s="29">
        <f t="shared" si="2"/>
        <v>14449</v>
      </c>
      <c r="F36" s="25">
        <f t="shared" si="48"/>
        <v>1950</v>
      </c>
      <c r="G36" s="29">
        <f t="shared" si="4"/>
        <v>11049</v>
      </c>
      <c r="H36" s="29">
        <f t="shared" si="5"/>
        <v>12499</v>
      </c>
      <c r="I36" s="2">
        <f t="shared" si="6"/>
        <v>2383</v>
      </c>
      <c r="J36" s="2">
        <f t="shared" si="7"/>
        <v>1640</v>
      </c>
      <c r="K36" s="2">
        <f t="shared" si="8"/>
        <v>1269</v>
      </c>
      <c r="L36" s="2">
        <f t="shared" si="9"/>
        <v>1046</v>
      </c>
      <c r="M36" s="2">
        <f t="shared" si="10"/>
        <v>897</v>
      </c>
      <c r="N36" s="2">
        <f t="shared" si="11"/>
        <v>712</v>
      </c>
      <c r="O36" s="25">
        <f t="shared" si="12"/>
        <v>2600</v>
      </c>
      <c r="P36" s="29">
        <f t="shared" si="13"/>
        <v>10399</v>
      </c>
      <c r="Q36" s="29">
        <f t="shared" si="14"/>
        <v>11849</v>
      </c>
      <c r="R36" s="2">
        <f t="shared" si="15"/>
        <v>2259</v>
      </c>
      <c r="S36" s="2">
        <f t="shared" si="16"/>
        <v>1555</v>
      </c>
      <c r="T36" s="2">
        <f t="shared" si="17"/>
        <v>1203</v>
      </c>
      <c r="U36" s="2">
        <f t="shared" si="18"/>
        <v>992</v>
      </c>
      <c r="V36" s="2">
        <f t="shared" si="19"/>
        <v>851</v>
      </c>
      <c r="W36" s="2">
        <f t="shared" si="20"/>
        <v>675</v>
      </c>
      <c r="X36" s="25">
        <f t="shared" si="21"/>
        <v>3250</v>
      </c>
      <c r="Y36" s="29">
        <f t="shared" si="22"/>
        <v>9749</v>
      </c>
      <c r="Z36" s="29">
        <f t="shared" si="23"/>
        <v>11199</v>
      </c>
      <c r="AA36" s="2">
        <f t="shared" si="24"/>
        <v>2135</v>
      </c>
      <c r="AB36" s="2">
        <f t="shared" si="25"/>
        <v>1470</v>
      </c>
      <c r="AC36" s="2">
        <f t="shared" si="26"/>
        <v>1137</v>
      </c>
      <c r="AD36" s="2">
        <f t="shared" si="27"/>
        <v>937</v>
      </c>
      <c r="AE36" s="2">
        <f t="shared" si="28"/>
        <v>804</v>
      </c>
      <c r="AF36" s="2">
        <f t="shared" si="29"/>
        <v>638</v>
      </c>
      <c r="AG36" s="25">
        <f t="shared" si="30"/>
        <v>4550</v>
      </c>
      <c r="AH36" s="29">
        <f t="shared" si="31"/>
        <v>8449</v>
      </c>
      <c r="AI36" s="29">
        <f t="shared" si="32"/>
        <v>9899</v>
      </c>
      <c r="AJ36" s="2">
        <f t="shared" si="33"/>
        <v>1888</v>
      </c>
      <c r="AK36" s="2">
        <f t="shared" si="34"/>
        <v>1299</v>
      </c>
      <c r="AL36" s="2">
        <f t="shared" si="35"/>
        <v>1005</v>
      </c>
      <c r="AM36" s="2">
        <f t="shared" si="36"/>
        <v>828</v>
      </c>
      <c r="AN36" s="2">
        <f t="shared" si="37"/>
        <v>711</v>
      </c>
      <c r="AO36" s="2">
        <f t="shared" si="38"/>
        <v>564</v>
      </c>
      <c r="AP36" s="25">
        <f t="shared" si="39"/>
        <v>5200</v>
      </c>
      <c r="AQ36" s="29">
        <f t="shared" si="40"/>
        <v>7799</v>
      </c>
      <c r="AR36" s="29">
        <f t="shared" si="41"/>
        <v>9249</v>
      </c>
      <c r="AS36" s="2">
        <f t="shared" si="42"/>
        <v>1764</v>
      </c>
      <c r="AT36" s="2">
        <f t="shared" si="43"/>
        <v>1214</v>
      </c>
      <c r="AU36" s="2">
        <f t="shared" si="44"/>
        <v>939</v>
      </c>
      <c r="AV36" s="2">
        <f t="shared" si="45"/>
        <v>774</v>
      </c>
      <c r="AW36" s="2">
        <f t="shared" si="46"/>
        <v>664</v>
      </c>
      <c r="AX36" s="2">
        <f t="shared" si="47"/>
        <v>527</v>
      </c>
    </row>
    <row r="37" ht="14.25" customHeight="1">
      <c r="A37" s="2" t="str">
        <f t="array" ref="A37">IFERROR(INDEX('Product Price'!A:A,SMALL('Product Price'!$D:$D,35)),"")</f>
        <v>INFINIX NOTE 60 Pro 5G 8/256 GB</v>
      </c>
      <c r="B37" s="29">
        <f t="array" ref="B37">IFERROR(INDEX('Product Price'!B:B,SMALL('Product Price'!$D:$D,35)),"")</f>
        <v>11999</v>
      </c>
      <c r="C37" s="2">
        <f t="array" ref="C37">IFERROR(INDEX('Product Price'!C:C,SMALL('Product Price'!$D:$D,35)),"")</f>
        <v>26</v>
      </c>
      <c r="D37" s="2">
        <f t="shared" si="1"/>
        <v>1450</v>
      </c>
      <c r="E37" s="29">
        <f t="shared" si="2"/>
        <v>13449</v>
      </c>
      <c r="F37" s="25">
        <f t="shared" si="48"/>
        <v>1800</v>
      </c>
      <c r="G37" s="29">
        <f t="shared" si="4"/>
        <v>10199</v>
      </c>
      <c r="H37" s="29">
        <f t="shared" si="5"/>
        <v>11649</v>
      </c>
      <c r="I37" s="2">
        <f t="shared" si="6"/>
        <v>2221</v>
      </c>
      <c r="J37" s="2">
        <f t="shared" si="7"/>
        <v>1529</v>
      </c>
      <c r="K37" s="2">
        <f t="shared" si="8"/>
        <v>1183</v>
      </c>
      <c r="L37" s="2">
        <f t="shared" si="9"/>
        <v>975</v>
      </c>
      <c r="M37" s="2">
        <f t="shared" si="10"/>
        <v>836</v>
      </c>
      <c r="N37" s="2">
        <f t="shared" si="11"/>
        <v>663</v>
      </c>
      <c r="O37" s="25">
        <f t="shared" si="12"/>
        <v>2400</v>
      </c>
      <c r="P37" s="29">
        <f t="shared" si="13"/>
        <v>9599</v>
      </c>
      <c r="Q37" s="29">
        <f t="shared" si="14"/>
        <v>11049</v>
      </c>
      <c r="R37" s="2">
        <f t="shared" si="15"/>
        <v>2107</v>
      </c>
      <c r="S37" s="2">
        <f t="shared" si="16"/>
        <v>1450</v>
      </c>
      <c r="T37" s="2">
        <f t="shared" si="17"/>
        <v>1122</v>
      </c>
      <c r="U37" s="2">
        <f t="shared" si="18"/>
        <v>925</v>
      </c>
      <c r="V37" s="2">
        <f t="shared" si="19"/>
        <v>793</v>
      </c>
      <c r="W37" s="2">
        <f t="shared" si="20"/>
        <v>629</v>
      </c>
      <c r="X37" s="25">
        <f t="shared" si="21"/>
        <v>3000</v>
      </c>
      <c r="Y37" s="29">
        <f t="shared" si="22"/>
        <v>8999</v>
      </c>
      <c r="Z37" s="29">
        <f t="shared" si="23"/>
        <v>10449</v>
      </c>
      <c r="AA37" s="2">
        <f t="shared" si="24"/>
        <v>1992</v>
      </c>
      <c r="AB37" s="2">
        <f t="shared" si="25"/>
        <v>1371</v>
      </c>
      <c r="AC37" s="2">
        <f t="shared" si="26"/>
        <v>1061</v>
      </c>
      <c r="AD37" s="2">
        <f t="shared" si="27"/>
        <v>874</v>
      </c>
      <c r="AE37" s="2">
        <f t="shared" si="28"/>
        <v>750</v>
      </c>
      <c r="AF37" s="2">
        <f t="shared" si="29"/>
        <v>595</v>
      </c>
      <c r="AG37" s="25">
        <f t="shared" si="30"/>
        <v>4200</v>
      </c>
      <c r="AH37" s="29">
        <f t="shared" si="31"/>
        <v>7799</v>
      </c>
      <c r="AI37" s="29">
        <f t="shared" si="32"/>
        <v>9249</v>
      </c>
      <c r="AJ37" s="2">
        <f t="shared" si="33"/>
        <v>1764</v>
      </c>
      <c r="AK37" s="2">
        <f t="shared" si="34"/>
        <v>1214</v>
      </c>
      <c r="AL37" s="2">
        <f t="shared" si="35"/>
        <v>939</v>
      </c>
      <c r="AM37" s="2">
        <f t="shared" si="36"/>
        <v>774</v>
      </c>
      <c r="AN37" s="2">
        <f t="shared" si="37"/>
        <v>664</v>
      </c>
      <c r="AO37" s="2">
        <f t="shared" si="38"/>
        <v>527</v>
      </c>
      <c r="AP37" s="25">
        <f t="shared" si="39"/>
        <v>4800</v>
      </c>
      <c r="AQ37" s="29">
        <f t="shared" si="40"/>
        <v>7199</v>
      </c>
      <c r="AR37" s="29">
        <f t="shared" si="41"/>
        <v>8649</v>
      </c>
      <c r="AS37" s="2">
        <f t="shared" si="42"/>
        <v>1649</v>
      </c>
      <c r="AT37" s="2">
        <f t="shared" si="43"/>
        <v>1135</v>
      </c>
      <c r="AU37" s="2">
        <f t="shared" si="44"/>
        <v>878</v>
      </c>
      <c r="AV37" s="2">
        <f t="shared" si="45"/>
        <v>724</v>
      </c>
      <c r="AW37" s="2">
        <f t="shared" si="46"/>
        <v>621</v>
      </c>
      <c r="AX37" s="2">
        <f t="shared" si="47"/>
        <v>493</v>
      </c>
    </row>
    <row r="38" ht="14.25" customHeight="1">
      <c r="A38" s="2" t="str">
        <f t="array" ref="A38">IFERROR(INDEX('Product Price'!A:A,SMALL('Product Price'!$D:$D,36)),"")</f>
        <v>INFINIX GT 30 Pro 5G 8/256 GB</v>
      </c>
      <c r="B38" s="29">
        <f t="array" ref="B38">IFERROR(INDEX('Product Price'!B:B,SMALL('Product Price'!$D:$D,36)),"")</f>
        <v>9999</v>
      </c>
      <c r="C38" s="2">
        <f t="array" ref="C38">IFERROR(INDEX('Product Price'!C:C,SMALL('Product Price'!$D:$D,36)),"")</f>
        <v>27</v>
      </c>
      <c r="D38" s="2">
        <f t="shared" si="1"/>
        <v>795</v>
      </c>
      <c r="E38" s="29">
        <f t="shared" si="2"/>
        <v>10794</v>
      </c>
      <c r="F38" s="25">
        <f t="shared" si="48"/>
        <v>1500</v>
      </c>
      <c r="G38" s="29">
        <f t="shared" si="4"/>
        <v>8499</v>
      </c>
      <c r="H38" s="29">
        <f t="shared" si="5"/>
        <v>9294</v>
      </c>
      <c r="I38" s="2">
        <f t="shared" si="6"/>
        <v>1772</v>
      </c>
      <c r="J38" s="2">
        <f t="shared" si="7"/>
        <v>1220</v>
      </c>
      <c r="K38" s="2">
        <f t="shared" si="8"/>
        <v>944</v>
      </c>
      <c r="L38" s="2">
        <f t="shared" si="9"/>
        <v>778</v>
      </c>
      <c r="M38" s="2">
        <f t="shared" si="10"/>
        <v>667</v>
      </c>
      <c r="N38" s="2">
        <f t="shared" si="11"/>
        <v>529</v>
      </c>
      <c r="O38" s="25">
        <f t="shared" si="12"/>
        <v>2000</v>
      </c>
      <c r="P38" s="29">
        <f t="shared" si="13"/>
        <v>7999</v>
      </c>
      <c r="Q38" s="29">
        <f t="shared" si="14"/>
        <v>8794</v>
      </c>
      <c r="R38" s="2">
        <f t="shared" si="15"/>
        <v>1677</v>
      </c>
      <c r="S38" s="2">
        <f t="shared" si="16"/>
        <v>1154</v>
      </c>
      <c r="T38" s="2">
        <f t="shared" si="17"/>
        <v>893</v>
      </c>
      <c r="U38" s="2">
        <f t="shared" si="18"/>
        <v>736</v>
      </c>
      <c r="V38" s="2">
        <f t="shared" si="19"/>
        <v>631</v>
      </c>
      <c r="W38" s="2">
        <f t="shared" si="20"/>
        <v>501</v>
      </c>
      <c r="X38" s="25">
        <f t="shared" si="21"/>
        <v>2500</v>
      </c>
      <c r="Y38" s="29">
        <f t="shared" si="22"/>
        <v>7499</v>
      </c>
      <c r="Z38" s="29">
        <f t="shared" si="23"/>
        <v>8294</v>
      </c>
      <c r="AA38" s="2">
        <f t="shared" si="24"/>
        <v>1582</v>
      </c>
      <c r="AB38" s="2">
        <f t="shared" si="25"/>
        <v>1089</v>
      </c>
      <c r="AC38" s="2">
        <f t="shared" si="26"/>
        <v>842</v>
      </c>
      <c r="AD38" s="2">
        <f t="shared" si="27"/>
        <v>694</v>
      </c>
      <c r="AE38" s="2">
        <f t="shared" si="28"/>
        <v>596</v>
      </c>
      <c r="AF38" s="2">
        <f t="shared" si="29"/>
        <v>472</v>
      </c>
      <c r="AG38" s="25">
        <f t="shared" si="30"/>
        <v>3500</v>
      </c>
      <c r="AH38" s="29">
        <f t="shared" si="31"/>
        <v>6499</v>
      </c>
      <c r="AI38" s="29">
        <f t="shared" si="32"/>
        <v>7294</v>
      </c>
      <c r="AJ38" s="2">
        <f t="shared" si="33"/>
        <v>1391</v>
      </c>
      <c r="AK38" s="2">
        <f t="shared" si="34"/>
        <v>957</v>
      </c>
      <c r="AL38" s="2">
        <f t="shared" si="35"/>
        <v>741</v>
      </c>
      <c r="AM38" s="2">
        <f t="shared" si="36"/>
        <v>611</v>
      </c>
      <c r="AN38" s="2">
        <f t="shared" si="37"/>
        <v>524</v>
      </c>
      <c r="AO38" s="2">
        <f t="shared" si="38"/>
        <v>415</v>
      </c>
      <c r="AP38" s="25">
        <f t="shared" si="39"/>
        <v>4000</v>
      </c>
      <c r="AQ38" s="29">
        <f t="shared" si="40"/>
        <v>5999</v>
      </c>
      <c r="AR38" s="29">
        <f t="shared" si="41"/>
        <v>6794</v>
      </c>
      <c r="AS38" s="2">
        <f t="shared" si="42"/>
        <v>1296</v>
      </c>
      <c r="AT38" s="2">
        <f t="shared" si="43"/>
        <v>892</v>
      </c>
      <c r="AU38" s="2">
        <f t="shared" si="44"/>
        <v>690</v>
      </c>
      <c r="AV38" s="2">
        <f t="shared" si="45"/>
        <v>569</v>
      </c>
      <c r="AW38" s="2">
        <f t="shared" si="46"/>
        <v>488</v>
      </c>
      <c r="AX38" s="2" t="str">
        <f t="shared" si="47"/>
        <v>-</v>
      </c>
    </row>
    <row r="39" ht="14.25" customHeight="1">
      <c r="A39" s="2" t="str">
        <f t="array" ref="A39">IFERROR(INDEX('Product Price'!A:A,SMALL('Product Price'!$D:$D,37)),"")</f>
        <v>INFINIX NOTE EDGE 8/256 GB</v>
      </c>
      <c r="B39" s="29">
        <f t="array" ref="B39">IFERROR(INDEX('Product Price'!B:B,SMALL('Product Price'!$D:$D,37)),"")</f>
        <v>8499</v>
      </c>
      <c r="C39" s="2">
        <f t="array" ref="C39">IFERROR(INDEX('Product Price'!C:C,SMALL('Product Price'!$D:$D,37)),"")</f>
        <v>28</v>
      </c>
      <c r="D39" s="2">
        <f t="shared" si="1"/>
        <v>795</v>
      </c>
      <c r="E39" s="29">
        <f t="shared" si="2"/>
        <v>9294</v>
      </c>
      <c r="F39" s="25">
        <f t="shared" si="48"/>
        <v>1275</v>
      </c>
      <c r="G39" s="29">
        <f t="shared" si="4"/>
        <v>7224</v>
      </c>
      <c r="H39" s="29">
        <f t="shared" si="5"/>
        <v>8019</v>
      </c>
      <c r="I39" s="2">
        <f t="shared" si="6"/>
        <v>1529</v>
      </c>
      <c r="J39" s="2">
        <f t="shared" si="7"/>
        <v>1053</v>
      </c>
      <c r="K39" s="2">
        <f t="shared" si="8"/>
        <v>814</v>
      </c>
      <c r="L39" s="2">
        <f t="shared" si="9"/>
        <v>671</v>
      </c>
      <c r="M39" s="2">
        <f t="shared" si="10"/>
        <v>576</v>
      </c>
      <c r="N39" s="2">
        <f t="shared" si="11"/>
        <v>457</v>
      </c>
      <c r="O39" s="25">
        <f t="shared" si="12"/>
        <v>1700</v>
      </c>
      <c r="P39" s="29">
        <f t="shared" si="13"/>
        <v>6799</v>
      </c>
      <c r="Q39" s="29">
        <f t="shared" si="14"/>
        <v>7594</v>
      </c>
      <c r="R39" s="2">
        <f t="shared" si="15"/>
        <v>1448</v>
      </c>
      <c r="S39" s="2">
        <f t="shared" si="16"/>
        <v>997</v>
      </c>
      <c r="T39" s="2">
        <f t="shared" si="17"/>
        <v>771</v>
      </c>
      <c r="U39" s="2">
        <f t="shared" si="18"/>
        <v>636</v>
      </c>
      <c r="V39" s="2">
        <f t="shared" si="19"/>
        <v>545</v>
      </c>
      <c r="W39" s="2">
        <f t="shared" si="20"/>
        <v>433</v>
      </c>
      <c r="X39" s="25">
        <f t="shared" si="21"/>
        <v>2125</v>
      </c>
      <c r="Y39" s="29">
        <f t="shared" si="22"/>
        <v>6374</v>
      </c>
      <c r="Z39" s="29">
        <f t="shared" si="23"/>
        <v>7169</v>
      </c>
      <c r="AA39" s="2">
        <f t="shared" si="24"/>
        <v>1367</v>
      </c>
      <c r="AB39" s="2">
        <f t="shared" si="25"/>
        <v>941</v>
      </c>
      <c r="AC39" s="2">
        <f t="shared" si="26"/>
        <v>728</v>
      </c>
      <c r="AD39" s="2">
        <f t="shared" si="27"/>
        <v>600</v>
      </c>
      <c r="AE39" s="2">
        <f t="shared" si="28"/>
        <v>515</v>
      </c>
      <c r="AF39" s="2">
        <f t="shared" si="29"/>
        <v>408</v>
      </c>
      <c r="AG39" s="25">
        <f t="shared" si="30"/>
        <v>2975</v>
      </c>
      <c r="AH39" s="29">
        <f t="shared" si="31"/>
        <v>5524</v>
      </c>
      <c r="AI39" s="29">
        <f t="shared" si="32"/>
        <v>6319</v>
      </c>
      <c r="AJ39" s="2">
        <f t="shared" si="33"/>
        <v>1205</v>
      </c>
      <c r="AK39" s="2">
        <f t="shared" si="34"/>
        <v>830</v>
      </c>
      <c r="AL39" s="2">
        <f t="shared" si="35"/>
        <v>642</v>
      </c>
      <c r="AM39" s="2">
        <f t="shared" si="36"/>
        <v>529</v>
      </c>
      <c r="AN39" s="2">
        <f t="shared" si="37"/>
        <v>454</v>
      </c>
      <c r="AO39" s="2" t="str">
        <f t="shared" si="38"/>
        <v>-</v>
      </c>
      <c r="AP39" s="25">
        <f t="shared" si="39"/>
        <v>3400</v>
      </c>
      <c r="AQ39" s="29">
        <f t="shared" si="40"/>
        <v>5099</v>
      </c>
      <c r="AR39" s="29">
        <f t="shared" si="41"/>
        <v>5894</v>
      </c>
      <c r="AS39" s="2">
        <f t="shared" si="42"/>
        <v>1124</v>
      </c>
      <c r="AT39" s="2">
        <f t="shared" si="43"/>
        <v>774</v>
      </c>
      <c r="AU39" s="2">
        <f t="shared" si="44"/>
        <v>599</v>
      </c>
      <c r="AV39" s="2">
        <f t="shared" si="45"/>
        <v>493</v>
      </c>
      <c r="AW39" s="2">
        <f t="shared" si="46"/>
        <v>423</v>
      </c>
      <c r="AX39" s="2" t="str">
        <f t="shared" si="47"/>
        <v>-</v>
      </c>
    </row>
    <row r="40" ht="14.25" customHeight="1">
      <c r="A40" s="2" t="str">
        <f t="array" ref="A40">IFERROR(INDEX('Product Price'!A:A,SMALL('Product Price'!$D:$D,38)),"")</f>
        <v>INFINIX GT 30 5G 8/256 GB</v>
      </c>
      <c r="B40" s="29">
        <f t="array" ref="B40">IFERROR(INDEX('Product Price'!B:B,SMALL('Product Price'!$D:$D,38)),"")</f>
        <v>8499</v>
      </c>
      <c r="C40" s="2">
        <f t="array" ref="C40">IFERROR(INDEX('Product Price'!C:C,SMALL('Product Price'!$D:$D,38)),"")</f>
        <v>29</v>
      </c>
      <c r="D40" s="2">
        <f t="shared" si="1"/>
        <v>795</v>
      </c>
      <c r="E40" s="29">
        <f t="shared" si="2"/>
        <v>9294</v>
      </c>
      <c r="F40" s="25">
        <f t="shared" si="48"/>
        <v>1275</v>
      </c>
      <c r="G40" s="29">
        <f t="shared" si="4"/>
        <v>7224</v>
      </c>
      <c r="H40" s="29">
        <f t="shared" si="5"/>
        <v>8019</v>
      </c>
      <c r="I40" s="2">
        <f t="shared" si="6"/>
        <v>1529</v>
      </c>
      <c r="J40" s="2">
        <f t="shared" si="7"/>
        <v>1053</v>
      </c>
      <c r="K40" s="2">
        <f t="shared" si="8"/>
        <v>814</v>
      </c>
      <c r="L40" s="2">
        <f t="shared" si="9"/>
        <v>671</v>
      </c>
      <c r="M40" s="2">
        <f t="shared" si="10"/>
        <v>576</v>
      </c>
      <c r="N40" s="2">
        <f t="shared" si="11"/>
        <v>457</v>
      </c>
      <c r="O40" s="25">
        <f t="shared" si="12"/>
        <v>1700</v>
      </c>
      <c r="P40" s="29">
        <f t="shared" si="13"/>
        <v>6799</v>
      </c>
      <c r="Q40" s="29">
        <f t="shared" si="14"/>
        <v>7594</v>
      </c>
      <c r="R40" s="2">
        <f t="shared" si="15"/>
        <v>1448</v>
      </c>
      <c r="S40" s="2">
        <f t="shared" si="16"/>
        <v>997</v>
      </c>
      <c r="T40" s="2">
        <f t="shared" si="17"/>
        <v>771</v>
      </c>
      <c r="U40" s="2">
        <f t="shared" si="18"/>
        <v>636</v>
      </c>
      <c r="V40" s="2">
        <f t="shared" si="19"/>
        <v>545</v>
      </c>
      <c r="W40" s="2">
        <f t="shared" si="20"/>
        <v>433</v>
      </c>
      <c r="X40" s="25">
        <f t="shared" si="21"/>
        <v>2125</v>
      </c>
      <c r="Y40" s="29">
        <f t="shared" si="22"/>
        <v>6374</v>
      </c>
      <c r="Z40" s="29">
        <f t="shared" si="23"/>
        <v>7169</v>
      </c>
      <c r="AA40" s="2">
        <f t="shared" si="24"/>
        <v>1367</v>
      </c>
      <c r="AB40" s="2">
        <f t="shared" si="25"/>
        <v>941</v>
      </c>
      <c r="AC40" s="2">
        <f t="shared" si="26"/>
        <v>728</v>
      </c>
      <c r="AD40" s="2">
        <f t="shared" si="27"/>
        <v>600</v>
      </c>
      <c r="AE40" s="2">
        <f t="shared" si="28"/>
        <v>515</v>
      </c>
      <c r="AF40" s="2">
        <f t="shared" si="29"/>
        <v>408</v>
      </c>
      <c r="AG40" s="25">
        <f t="shared" si="30"/>
        <v>2975</v>
      </c>
      <c r="AH40" s="29">
        <f t="shared" si="31"/>
        <v>5524</v>
      </c>
      <c r="AI40" s="29">
        <f t="shared" si="32"/>
        <v>6319</v>
      </c>
      <c r="AJ40" s="2">
        <f t="shared" si="33"/>
        <v>1205</v>
      </c>
      <c r="AK40" s="2">
        <f t="shared" si="34"/>
        <v>830</v>
      </c>
      <c r="AL40" s="2">
        <f t="shared" si="35"/>
        <v>642</v>
      </c>
      <c r="AM40" s="2">
        <f t="shared" si="36"/>
        <v>529</v>
      </c>
      <c r="AN40" s="2">
        <f t="shared" si="37"/>
        <v>454</v>
      </c>
      <c r="AO40" s="2" t="str">
        <f t="shared" si="38"/>
        <v>-</v>
      </c>
      <c r="AP40" s="25">
        <f t="shared" si="39"/>
        <v>3400</v>
      </c>
      <c r="AQ40" s="29">
        <f t="shared" si="40"/>
        <v>5099</v>
      </c>
      <c r="AR40" s="29">
        <f t="shared" si="41"/>
        <v>5894</v>
      </c>
      <c r="AS40" s="2">
        <f t="shared" si="42"/>
        <v>1124</v>
      </c>
      <c r="AT40" s="2">
        <f t="shared" si="43"/>
        <v>774</v>
      </c>
      <c r="AU40" s="2">
        <f t="shared" si="44"/>
        <v>599</v>
      </c>
      <c r="AV40" s="2">
        <f t="shared" si="45"/>
        <v>493</v>
      </c>
      <c r="AW40" s="2">
        <f t="shared" si="46"/>
        <v>423</v>
      </c>
      <c r="AX40" s="2" t="str">
        <f t="shared" si="47"/>
        <v>-</v>
      </c>
    </row>
    <row r="41" ht="14.25" customHeight="1">
      <c r="A41" s="2" t="str">
        <f t="array" ref="A41">IFERROR(INDEX('Product Price'!A:A,SMALL('Product Price'!$D:$D,39)),"")</f>
        <v>INFINIX NOTE 50S 5G 8/256 GB</v>
      </c>
      <c r="B41" s="29">
        <f t="array" ref="B41">IFERROR(INDEX('Product Price'!B:B,SMALL('Product Price'!$D:$D,39)),"")</f>
        <v>7999</v>
      </c>
      <c r="C41" s="2">
        <f t="array" ref="C41">IFERROR(INDEX('Product Price'!C:C,SMALL('Product Price'!$D:$D,39)),"")</f>
        <v>30</v>
      </c>
      <c r="D41" s="2">
        <f t="shared" si="1"/>
        <v>795</v>
      </c>
      <c r="E41" s="29">
        <f t="shared" si="2"/>
        <v>8794</v>
      </c>
      <c r="F41" s="25">
        <f t="shared" si="48"/>
        <v>1200</v>
      </c>
      <c r="G41" s="29">
        <f t="shared" si="4"/>
        <v>6799</v>
      </c>
      <c r="H41" s="29">
        <f t="shared" si="5"/>
        <v>7594</v>
      </c>
      <c r="I41" s="2">
        <f t="shared" si="6"/>
        <v>1448</v>
      </c>
      <c r="J41" s="2">
        <f t="shared" si="7"/>
        <v>997</v>
      </c>
      <c r="K41" s="2">
        <f t="shared" si="8"/>
        <v>771</v>
      </c>
      <c r="L41" s="2">
        <f t="shared" si="9"/>
        <v>636</v>
      </c>
      <c r="M41" s="2">
        <f t="shared" si="10"/>
        <v>545</v>
      </c>
      <c r="N41" s="2">
        <f t="shared" si="11"/>
        <v>433</v>
      </c>
      <c r="O41" s="25">
        <f t="shared" si="12"/>
        <v>1600</v>
      </c>
      <c r="P41" s="29">
        <f t="shared" si="13"/>
        <v>6399</v>
      </c>
      <c r="Q41" s="29">
        <f t="shared" si="14"/>
        <v>7194</v>
      </c>
      <c r="R41" s="2">
        <f t="shared" si="15"/>
        <v>1372</v>
      </c>
      <c r="S41" s="2">
        <f t="shared" si="16"/>
        <v>944</v>
      </c>
      <c r="T41" s="2">
        <f t="shared" si="17"/>
        <v>730</v>
      </c>
      <c r="U41" s="2">
        <f t="shared" si="18"/>
        <v>602</v>
      </c>
      <c r="V41" s="2">
        <f t="shared" si="19"/>
        <v>517</v>
      </c>
      <c r="W41" s="2">
        <f t="shared" si="20"/>
        <v>410</v>
      </c>
      <c r="X41" s="25">
        <f t="shared" si="21"/>
        <v>2000</v>
      </c>
      <c r="Y41" s="29">
        <f t="shared" si="22"/>
        <v>5999</v>
      </c>
      <c r="Z41" s="29">
        <f t="shared" si="23"/>
        <v>6794</v>
      </c>
      <c r="AA41" s="2">
        <f t="shared" si="24"/>
        <v>1296</v>
      </c>
      <c r="AB41" s="2">
        <f t="shared" si="25"/>
        <v>892</v>
      </c>
      <c r="AC41" s="2">
        <f t="shared" si="26"/>
        <v>690</v>
      </c>
      <c r="AD41" s="2">
        <f t="shared" si="27"/>
        <v>569</v>
      </c>
      <c r="AE41" s="2">
        <f t="shared" si="28"/>
        <v>488</v>
      </c>
      <c r="AF41" s="2" t="str">
        <f t="shared" si="29"/>
        <v>-</v>
      </c>
      <c r="AG41" s="25">
        <f t="shared" si="30"/>
        <v>2800</v>
      </c>
      <c r="AH41" s="29">
        <f t="shared" si="31"/>
        <v>5199</v>
      </c>
      <c r="AI41" s="29">
        <f t="shared" si="32"/>
        <v>5994</v>
      </c>
      <c r="AJ41" s="2">
        <f t="shared" si="33"/>
        <v>1143</v>
      </c>
      <c r="AK41" s="2">
        <f t="shared" si="34"/>
        <v>787</v>
      </c>
      <c r="AL41" s="2">
        <f t="shared" si="35"/>
        <v>609</v>
      </c>
      <c r="AM41" s="2">
        <f t="shared" si="36"/>
        <v>502</v>
      </c>
      <c r="AN41" s="2">
        <f t="shared" si="37"/>
        <v>431</v>
      </c>
      <c r="AO41" s="2" t="str">
        <f t="shared" si="38"/>
        <v>-</v>
      </c>
      <c r="AP41" s="25">
        <f t="shared" si="39"/>
        <v>3200</v>
      </c>
      <c r="AQ41" s="29">
        <f t="shared" si="40"/>
        <v>4799</v>
      </c>
      <c r="AR41" s="29">
        <f t="shared" si="41"/>
        <v>5594</v>
      </c>
      <c r="AS41" s="2">
        <f t="shared" si="42"/>
        <v>1067</v>
      </c>
      <c r="AT41" s="2">
        <f t="shared" si="43"/>
        <v>734</v>
      </c>
      <c r="AU41" s="2">
        <f t="shared" si="44"/>
        <v>568</v>
      </c>
      <c r="AV41" s="2">
        <f t="shared" si="45"/>
        <v>468</v>
      </c>
      <c r="AW41" s="2">
        <f t="shared" si="46"/>
        <v>402</v>
      </c>
      <c r="AX41" s="2" t="str">
        <f t="shared" si="47"/>
        <v>-</v>
      </c>
    </row>
    <row r="42" ht="14.25" customHeight="1">
      <c r="A42" s="2" t="str">
        <f t="array" ref="A42">IFERROR(INDEX('Product Price'!A:A,SMALL('Product Price'!$D:$D,40)),"")</f>
        <v>INFINIX NOTE EDGE 8/128 GB</v>
      </c>
      <c r="B42" s="29">
        <f t="array" ref="B42">IFERROR(INDEX('Product Price'!B:B,SMALL('Product Price'!$D:$D,40)),"")</f>
        <v>7499</v>
      </c>
      <c r="C42" s="2">
        <f t="array" ref="C42">IFERROR(INDEX('Product Price'!C:C,SMALL('Product Price'!$D:$D,40)),"")</f>
        <v>31</v>
      </c>
      <c r="D42" s="2">
        <f t="shared" si="1"/>
        <v>795</v>
      </c>
      <c r="E42" s="29">
        <f t="shared" si="2"/>
        <v>8294</v>
      </c>
      <c r="F42" s="25">
        <f t="shared" si="48"/>
        <v>1125</v>
      </c>
      <c r="G42" s="29">
        <f t="shared" si="4"/>
        <v>6374</v>
      </c>
      <c r="H42" s="29">
        <f t="shared" si="5"/>
        <v>7169</v>
      </c>
      <c r="I42" s="2">
        <f t="shared" si="6"/>
        <v>1367</v>
      </c>
      <c r="J42" s="2">
        <f t="shared" si="7"/>
        <v>941</v>
      </c>
      <c r="K42" s="2">
        <f t="shared" si="8"/>
        <v>728</v>
      </c>
      <c r="L42" s="2">
        <f t="shared" si="9"/>
        <v>600</v>
      </c>
      <c r="M42" s="2">
        <f t="shared" si="10"/>
        <v>515</v>
      </c>
      <c r="N42" s="2">
        <f t="shared" si="11"/>
        <v>408</v>
      </c>
      <c r="O42" s="25">
        <f t="shared" si="12"/>
        <v>1500</v>
      </c>
      <c r="P42" s="29">
        <f t="shared" si="13"/>
        <v>5999</v>
      </c>
      <c r="Q42" s="29">
        <f t="shared" si="14"/>
        <v>6794</v>
      </c>
      <c r="R42" s="2">
        <f t="shared" si="15"/>
        <v>1296</v>
      </c>
      <c r="S42" s="2">
        <f t="shared" si="16"/>
        <v>892</v>
      </c>
      <c r="T42" s="2">
        <f t="shared" si="17"/>
        <v>690</v>
      </c>
      <c r="U42" s="2">
        <f t="shared" si="18"/>
        <v>569</v>
      </c>
      <c r="V42" s="2">
        <f t="shared" si="19"/>
        <v>488</v>
      </c>
      <c r="W42" s="2" t="str">
        <f t="shared" si="20"/>
        <v>-</v>
      </c>
      <c r="X42" s="25">
        <f t="shared" si="21"/>
        <v>1875</v>
      </c>
      <c r="Y42" s="29">
        <f t="shared" si="22"/>
        <v>5624</v>
      </c>
      <c r="Z42" s="29">
        <f t="shared" si="23"/>
        <v>6419</v>
      </c>
      <c r="AA42" s="2">
        <f t="shared" si="24"/>
        <v>1224</v>
      </c>
      <c r="AB42" s="2">
        <f t="shared" si="25"/>
        <v>843</v>
      </c>
      <c r="AC42" s="2">
        <f t="shared" si="26"/>
        <v>652</v>
      </c>
      <c r="AD42" s="2">
        <f t="shared" si="27"/>
        <v>537</v>
      </c>
      <c r="AE42" s="2">
        <f t="shared" si="28"/>
        <v>461</v>
      </c>
      <c r="AF42" s="2" t="str">
        <f t="shared" si="29"/>
        <v>-</v>
      </c>
      <c r="AG42" s="25">
        <f t="shared" si="30"/>
        <v>2625</v>
      </c>
      <c r="AH42" s="29">
        <f t="shared" si="31"/>
        <v>4874</v>
      </c>
      <c r="AI42" s="29">
        <f t="shared" si="32"/>
        <v>5669</v>
      </c>
      <c r="AJ42" s="2">
        <f t="shared" si="33"/>
        <v>1081</v>
      </c>
      <c r="AK42" s="2">
        <f t="shared" si="34"/>
        <v>744</v>
      </c>
      <c r="AL42" s="2">
        <f t="shared" si="35"/>
        <v>576</v>
      </c>
      <c r="AM42" s="2">
        <f t="shared" si="36"/>
        <v>475</v>
      </c>
      <c r="AN42" s="2">
        <f t="shared" si="37"/>
        <v>407</v>
      </c>
      <c r="AO42" s="2" t="str">
        <f t="shared" si="38"/>
        <v>-</v>
      </c>
      <c r="AP42" s="25">
        <f t="shared" si="39"/>
        <v>3000</v>
      </c>
      <c r="AQ42" s="29">
        <f t="shared" si="40"/>
        <v>4499</v>
      </c>
      <c r="AR42" s="29">
        <f t="shared" si="41"/>
        <v>5294</v>
      </c>
      <c r="AS42" s="2">
        <f t="shared" si="42"/>
        <v>1010</v>
      </c>
      <c r="AT42" s="2">
        <f t="shared" si="43"/>
        <v>695</v>
      </c>
      <c r="AU42" s="2">
        <f t="shared" si="44"/>
        <v>538</v>
      </c>
      <c r="AV42" s="2">
        <f t="shared" si="45"/>
        <v>443</v>
      </c>
      <c r="AW42" s="2" t="str">
        <f t="shared" si="46"/>
        <v>-</v>
      </c>
      <c r="AX42" s="2" t="str">
        <f t="shared" si="47"/>
        <v>-</v>
      </c>
    </row>
    <row r="43" ht="14.25" customHeight="1">
      <c r="A43" s="2" t="str">
        <f t="array" ref="A43">IFERROR(INDEX('Product Price'!A:A,SMALL('Product Price'!$D:$D,41)),"")</f>
        <v>INFINIX HOT 60 Pro+ 8/256 GB</v>
      </c>
      <c r="B43" s="29">
        <f t="array" ref="B43">IFERROR(INDEX('Product Price'!B:B,SMALL('Product Price'!$D:$D,41)),"")</f>
        <v>6499</v>
      </c>
      <c r="C43" s="2">
        <f t="array" ref="C43">IFERROR(INDEX('Product Price'!C:C,SMALL('Product Price'!$D:$D,41)),"")</f>
        <v>32</v>
      </c>
      <c r="D43" s="2">
        <f t="shared" si="1"/>
        <v>795</v>
      </c>
      <c r="E43" s="29">
        <f t="shared" si="2"/>
        <v>7294</v>
      </c>
      <c r="F43" s="25">
        <f t="shared" si="48"/>
        <v>975</v>
      </c>
      <c r="G43" s="29">
        <f t="shared" si="4"/>
        <v>5524</v>
      </c>
      <c r="H43" s="29">
        <f t="shared" si="5"/>
        <v>6319</v>
      </c>
      <c r="I43" s="2">
        <f t="shared" si="6"/>
        <v>1205</v>
      </c>
      <c r="J43" s="2">
        <f t="shared" si="7"/>
        <v>830</v>
      </c>
      <c r="K43" s="2">
        <f t="shared" si="8"/>
        <v>642</v>
      </c>
      <c r="L43" s="2">
        <f t="shared" si="9"/>
        <v>529</v>
      </c>
      <c r="M43" s="2">
        <f t="shared" si="10"/>
        <v>454</v>
      </c>
      <c r="N43" s="2" t="str">
        <f t="shared" si="11"/>
        <v>-</v>
      </c>
      <c r="O43" s="25">
        <f t="shared" si="12"/>
        <v>1300</v>
      </c>
      <c r="P43" s="29">
        <f t="shared" si="13"/>
        <v>5199</v>
      </c>
      <c r="Q43" s="29">
        <f t="shared" si="14"/>
        <v>5994</v>
      </c>
      <c r="R43" s="2">
        <f t="shared" si="15"/>
        <v>1143</v>
      </c>
      <c r="S43" s="2">
        <f t="shared" si="16"/>
        <v>787</v>
      </c>
      <c r="T43" s="2">
        <f t="shared" si="17"/>
        <v>609</v>
      </c>
      <c r="U43" s="2">
        <f t="shared" si="18"/>
        <v>502</v>
      </c>
      <c r="V43" s="2">
        <f t="shared" si="19"/>
        <v>431</v>
      </c>
      <c r="W43" s="2" t="str">
        <f t="shared" si="20"/>
        <v>-</v>
      </c>
      <c r="X43" s="25">
        <f t="shared" si="21"/>
        <v>1625</v>
      </c>
      <c r="Y43" s="29">
        <f t="shared" si="22"/>
        <v>4874</v>
      </c>
      <c r="Z43" s="29">
        <f t="shared" si="23"/>
        <v>5669</v>
      </c>
      <c r="AA43" s="2">
        <f t="shared" si="24"/>
        <v>1081</v>
      </c>
      <c r="AB43" s="2">
        <f t="shared" si="25"/>
        <v>744</v>
      </c>
      <c r="AC43" s="2">
        <f t="shared" si="26"/>
        <v>576</v>
      </c>
      <c r="AD43" s="2">
        <f t="shared" si="27"/>
        <v>475</v>
      </c>
      <c r="AE43" s="2">
        <f t="shared" si="28"/>
        <v>407</v>
      </c>
      <c r="AF43" s="2" t="str">
        <f t="shared" si="29"/>
        <v>-</v>
      </c>
      <c r="AG43" s="25">
        <f t="shared" si="30"/>
        <v>2275</v>
      </c>
      <c r="AH43" s="29">
        <f t="shared" si="31"/>
        <v>4224</v>
      </c>
      <c r="AI43" s="29">
        <f t="shared" si="32"/>
        <v>5019</v>
      </c>
      <c r="AJ43" s="2">
        <f t="shared" si="33"/>
        <v>957</v>
      </c>
      <c r="AK43" s="2">
        <f t="shared" si="34"/>
        <v>659</v>
      </c>
      <c r="AL43" s="2">
        <f t="shared" si="35"/>
        <v>510</v>
      </c>
      <c r="AM43" s="2">
        <f t="shared" si="36"/>
        <v>420</v>
      </c>
      <c r="AN43" s="2" t="str">
        <f t="shared" si="37"/>
        <v>-</v>
      </c>
      <c r="AO43" s="2" t="str">
        <f t="shared" si="38"/>
        <v>-</v>
      </c>
      <c r="AP43" s="25">
        <f t="shared" si="39"/>
        <v>2600</v>
      </c>
      <c r="AQ43" s="29">
        <f t="shared" si="40"/>
        <v>3899</v>
      </c>
      <c r="AR43" s="29">
        <f t="shared" si="41"/>
        <v>4694</v>
      </c>
      <c r="AS43" s="2">
        <f t="shared" si="42"/>
        <v>895</v>
      </c>
      <c r="AT43" s="2">
        <f t="shared" si="43"/>
        <v>616</v>
      </c>
      <c r="AU43" s="2">
        <f t="shared" si="44"/>
        <v>477</v>
      </c>
      <c r="AV43" s="2" t="str">
        <f t="shared" si="45"/>
        <v>-</v>
      </c>
      <c r="AW43" s="2" t="str">
        <f t="shared" si="46"/>
        <v>-</v>
      </c>
      <c r="AX43" s="2" t="str">
        <f t="shared" si="47"/>
        <v>-</v>
      </c>
    </row>
    <row r="44" ht="14.25" customHeight="1">
      <c r="A44" s="2" t="str">
        <f t="array" ref="A44">IFERROR(INDEX('Product Price'!A:A,SMALL('Product Price'!$D:$D,42)),"")</f>
        <v>INFINIX HOT 60 Pro 8/256 GB</v>
      </c>
      <c r="B44" s="29">
        <f t="array" ref="B44">IFERROR(INDEX('Product Price'!B:B,SMALL('Product Price'!$D:$D,42)),"")</f>
        <v>5899</v>
      </c>
      <c r="C44" s="2">
        <f t="array" ref="C44">IFERROR(INDEX('Product Price'!C:C,SMALL('Product Price'!$D:$D,42)),"")</f>
        <v>33</v>
      </c>
      <c r="D44" s="2">
        <f t="shared" si="1"/>
        <v>795</v>
      </c>
      <c r="E44" s="29">
        <f t="shared" si="2"/>
        <v>6694</v>
      </c>
      <c r="F44" s="25">
        <f t="shared" si="48"/>
        <v>885</v>
      </c>
      <c r="G44" s="29">
        <f t="shared" si="4"/>
        <v>5014</v>
      </c>
      <c r="H44" s="29">
        <f t="shared" si="5"/>
        <v>5809</v>
      </c>
      <c r="I44" s="2">
        <f t="shared" si="6"/>
        <v>1108</v>
      </c>
      <c r="J44" s="2">
        <f t="shared" si="7"/>
        <v>763</v>
      </c>
      <c r="K44" s="2">
        <f t="shared" si="8"/>
        <v>590</v>
      </c>
      <c r="L44" s="2">
        <f t="shared" si="9"/>
        <v>486</v>
      </c>
      <c r="M44" s="2">
        <f t="shared" si="10"/>
        <v>417</v>
      </c>
      <c r="N44" s="2" t="str">
        <f t="shared" si="11"/>
        <v>-</v>
      </c>
      <c r="O44" s="25">
        <f t="shared" si="12"/>
        <v>1180</v>
      </c>
      <c r="P44" s="29">
        <f t="shared" si="13"/>
        <v>4719</v>
      </c>
      <c r="Q44" s="29">
        <f t="shared" si="14"/>
        <v>5514</v>
      </c>
      <c r="R44" s="2">
        <f t="shared" si="15"/>
        <v>1052</v>
      </c>
      <c r="S44" s="2">
        <f t="shared" si="16"/>
        <v>724</v>
      </c>
      <c r="T44" s="2">
        <f t="shared" si="17"/>
        <v>560</v>
      </c>
      <c r="U44" s="2">
        <f t="shared" si="18"/>
        <v>462</v>
      </c>
      <c r="V44" s="2" t="str">
        <f t="shared" si="19"/>
        <v>-</v>
      </c>
      <c r="W44" s="2" t="str">
        <f t="shared" si="20"/>
        <v>-</v>
      </c>
      <c r="X44" s="25">
        <f t="shared" si="21"/>
        <v>1475</v>
      </c>
      <c r="Y44" s="29">
        <f t="shared" si="22"/>
        <v>4424</v>
      </c>
      <c r="Z44" s="29">
        <f t="shared" si="23"/>
        <v>5219</v>
      </c>
      <c r="AA44" s="2">
        <f t="shared" si="24"/>
        <v>995</v>
      </c>
      <c r="AB44" s="2">
        <f t="shared" si="25"/>
        <v>685</v>
      </c>
      <c r="AC44" s="2">
        <f t="shared" si="26"/>
        <v>530</v>
      </c>
      <c r="AD44" s="2">
        <f t="shared" si="27"/>
        <v>437</v>
      </c>
      <c r="AE44" s="2" t="str">
        <f t="shared" si="28"/>
        <v>-</v>
      </c>
      <c r="AF44" s="2" t="str">
        <f t="shared" si="29"/>
        <v>-</v>
      </c>
      <c r="AG44" s="25">
        <f t="shared" si="30"/>
        <v>2065</v>
      </c>
      <c r="AH44" s="29">
        <f t="shared" si="31"/>
        <v>3834</v>
      </c>
      <c r="AI44" s="29">
        <f t="shared" si="32"/>
        <v>4629</v>
      </c>
      <c r="AJ44" s="2">
        <f t="shared" si="33"/>
        <v>883</v>
      </c>
      <c r="AK44" s="2">
        <f t="shared" si="34"/>
        <v>608</v>
      </c>
      <c r="AL44" s="2">
        <f t="shared" si="35"/>
        <v>470</v>
      </c>
      <c r="AM44" s="2" t="str">
        <f t="shared" si="36"/>
        <v>-</v>
      </c>
      <c r="AN44" s="2" t="str">
        <f t="shared" si="37"/>
        <v>-</v>
      </c>
      <c r="AO44" s="2" t="str">
        <f t="shared" si="38"/>
        <v>-</v>
      </c>
      <c r="AP44" s="25">
        <f t="shared" si="39"/>
        <v>2360</v>
      </c>
      <c r="AQ44" s="29">
        <f t="shared" si="40"/>
        <v>3539</v>
      </c>
      <c r="AR44" s="29">
        <f t="shared" si="41"/>
        <v>4334</v>
      </c>
      <c r="AS44" s="2">
        <f t="shared" si="42"/>
        <v>827</v>
      </c>
      <c r="AT44" s="2">
        <f t="shared" si="43"/>
        <v>569</v>
      </c>
      <c r="AU44" s="2">
        <f t="shared" si="44"/>
        <v>440</v>
      </c>
      <c r="AV44" s="2" t="str">
        <f t="shared" si="45"/>
        <v>-</v>
      </c>
      <c r="AW44" s="2" t="str">
        <f t="shared" si="46"/>
        <v>-</v>
      </c>
      <c r="AX44" s="2" t="str">
        <f t="shared" si="47"/>
        <v>-</v>
      </c>
    </row>
    <row r="45" ht="14.25" customHeight="1">
      <c r="A45" s="2" t="str">
        <f t="array" ref="A45">IFERROR(INDEX('Product Price'!A:A,SMALL('Product Price'!$D:$D,43)),"")</f>
        <v>INFINIX HOT 70 6/128 GB</v>
      </c>
      <c r="B45" s="29">
        <f t="array" ref="B45">IFERROR(INDEX('Product Price'!B:B,SMALL('Product Price'!$D:$D,43)),"")</f>
        <v>6499</v>
      </c>
      <c r="C45" s="2">
        <f t="array" ref="C45">IFERROR(INDEX('Product Price'!C:C,SMALL('Product Price'!$D:$D,43)),"")</f>
        <v>34</v>
      </c>
      <c r="D45" s="2">
        <f t="shared" si="1"/>
        <v>795</v>
      </c>
      <c r="E45" s="29">
        <f t="shared" si="2"/>
        <v>7294</v>
      </c>
      <c r="F45" s="25">
        <f t="shared" si="48"/>
        <v>975</v>
      </c>
      <c r="G45" s="29">
        <f t="shared" si="4"/>
        <v>5524</v>
      </c>
      <c r="H45" s="29">
        <f t="shared" si="5"/>
        <v>6319</v>
      </c>
      <c r="I45" s="2">
        <f t="shared" si="6"/>
        <v>1205</v>
      </c>
      <c r="J45" s="2">
        <f t="shared" si="7"/>
        <v>830</v>
      </c>
      <c r="K45" s="2">
        <f t="shared" si="8"/>
        <v>642</v>
      </c>
      <c r="L45" s="2">
        <f t="shared" si="9"/>
        <v>529</v>
      </c>
      <c r="M45" s="2">
        <f t="shared" si="10"/>
        <v>454</v>
      </c>
      <c r="N45" s="2" t="str">
        <f t="shared" si="11"/>
        <v>-</v>
      </c>
      <c r="O45" s="25">
        <f t="shared" si="12"/>
        <v>1300</v>
      </c>
      <c r="P45" s="29">
        <f t="shared" si="13"/>
        <v>5199</v>
      </c>
      <c r="Q45" s="29">
        <f t="shared" si="14"/>
        <v>5994</v>
      </c>
      <c r="R45" s="2">
        <f t="shared" si="15"/>
        <v>1143</v>
      </c>
      <c r="S45" s="2">
        <f t="shared" si="16"/>
        <v>787</v>
      </c>
      <c r="T45" s="2">
        <f t="shared" si="17"/>
        <v>609</v>
      </c>
      <c r="U45" s="2">
        <f t="shared" si="18"/>
        <v>502</v>
      </c>
      <c r="V45" s="2">
        <f t="shared" si="19"/>
        <v>431</v>
      </c>
      <c r="W45" s="2" t="str">
        <f t="shared" si="20"/>
        <v>-</v>
      </c>
      <c r="X45" s="25">
        <f t="shared" si="21"/>
        <v>1625</v>
      </c>
      <c r="Y45" s="29">
        <f t="shared" si="22"/>
        <v>4874</v>
      </c>
      <c r="Z45" s="29">
        <f t="shared" si="23"/>
        <v>5669</v>
      </c>
      <c r="AA45" s="2">
        <f t="shared" si="24"/>
        <v>1081</v>
      </c>
      <c r="AB45" s="2">
        <f t="shared" si="25"/>
        <v>744</v>
      </c>
      <c r="AC45" s="2">
        <f t="shared" si="26"/>
        <v>576</v>
      </c>
      <c r="AD45" s="2">
        <f t="shared" si="27"/>
        <v>475</v>
      </c>
      <c r="AE45" s="2">
        <f t="shared" si="28"/>
        <v>407</v>
      </c>
      <c r="AF45" s="2" t="str">
        <f t="shared" si="29"/>
        <v>-</v>
      </c>
      <c r="AG45" s="25">
        <f t="shared" si="30"/>
        <v>2275</v>
      </c>
      <c r="AH45" s="29">
        <f t="shared" si="31"/>
        <v>4224</v>
      </c>
      <c r="AI45" s="29">
        <f t="shared" si="32"/>
        <v>5019</v>
      </c>
      <c r="AJ45" s="2">
        <f t="shared" si="33"/>
        <v>957</v>
      </c>
      <c r="AK45" s="2">
        <f t="shared" si="34"/>
        <v>659</v>
      </c>
      <c r="AL45" s="2">
        <f t="shared" si="35"/>
        <v>510</v>
      </c>
      <c r="AM45" s="2">
        <f t="shared" si="36"/>
        <v>420</v>
      </c>
      <c r="AN45" s="2" t="str">
        <f t="shared" si="37"/>
        <v>-</v>
      </c>
      <c r="AO45" s="2" t="str">
        <f t="shared" si="38"/>
        <v>-</v>
      </c>
      <c r="AP45" s="25">
        <f t="shared" si="39"/>
        <v>2600</v>
      </c>
      <c r="AQ45" s="29">
        <f t="shared" si="40"/>
        <v>3899</v>
      </c>
      <c r="AR45" s="29">
        <f t="shared" si="41"/>
        <v>4694</v>
      </c>
      <c r="AS45" s="2">
        <f t="shared" si="42"/>
        <v>895</v>
      </c>
      <c r="AT45" s="2">
        <f t="shared" si="43"/>
        <v>616</v>
      </c>
      <c r="AU45" s="2">
        <f t="shared" si="44"/>
        <v>477</v>
      </c>
      <c r="AV45" s="2" t="str">
        <f t="shared" si="45"/>
        <v>-</v>
      </c>
      <c r="AW45" s="2" t="str">
        <f t="shared" si="46"/>
        <v>-</v>
      </c>
      <c r="AX45" s="2" t="str">
        <f t="shared" si="47"/>
        <v>-</v>
      </c>
    </row>
    <row r="46" ht="14.25" customHeight="1">
      <c r="A46" s="2" t="str">
        <f t="array" ref="A46">IFERROR(INDEX('Product Price'!A:A,SMALL('Product Price'!$D:$D,44)),"")</f>
        <v>INFINIX XPAD 20 Pro 8/256 GB</v>
      </c>
      <c r="B46" s="29">
        <f t="array" ref="B46">IFERROR(INDEX('Product Price'!B:B,SMALL('Product Price'!$D:$D,44)),"")</f>
        <v>7999</v>
      </c>
      <c r="C46" s="2">
        <f t="array" ref="C46">IFERROR(INDEX('Product Price'!C:C,SMALL('Product Price'!$D:$D,44)),"")</f>
        <v>35</v>
      </c>
      <c r="D46" s="2">
        <f t="shared" si="1"/>
        <v>795</v>
      </c>
      <c r="E46" s="29">
        <f t="shared" si="2"/>
        <v>8794</v>
      </c>
      <c r="F46" s="25">
        <f t="shared" si="48"/>
        <v>1200</v>
      </c>
      <c r="G46" s="29">
        <f t="shared" si="4"/>
        <v>6799</v>
      </c>
      <c r="H46" s="29">
        <f t="shared" si="5"/>
        <v>7594</v>
      </c>
      <c r="I46" s="2">
        <f t="shared" si="6"/>
        <v>1448</v>
      </c>
      <c r="J46" s="2">
        <f t="shared" si="7"/>
        <v>997</v>
      </c>
      <c r="K46" s="2">
        <f t="shared" si="8"/>
        <v>771</v>
      </c>
      <c r="L46" s="2">
        <f t="shared" si="9"/>
        <v>636</v>
      </c>
      <c r="M46" s="2">
        <f t="shared" si="10"/>
        <v>545</v>
      </c>
      <c r="N46" s="2">
        <f t="shared" si="11"/>
        <v>433</v>
      </c>
      <c r="O46" s="25">
        <f t="shared" si="12"/>
        <v>1600</v>
      </c>
      <c r="P46" s="29">
        <f t="shared" si="13"/>
        <v>6399</v>
      </c>
      <c r="Q46" s="29">
        <f t="shared" si="14"/>
        <v>7194</v>
      </c>
      <c r="R46" s="2">
        <f t="shared" si="15"/>
        <v>1372</v>
      </c>
      <c r="S46" s="2">
        <f t="shared" si="16"/>
        <v>944</v>
      </c>
      <c r="T46" s="2">
        <f t="shared" si="17"/>
        <v>730</v>
      </c>
      <c r="U46" s="2">
        <f t="shared" si="18"/>
        <v>602</v>
      </c>
      <c r="V46" s="2">
        <f t="shared" si="19"/>
        <v>517</v>
      </c>
      <c r="W46" s="2">
        <f t="shared" si="20"/>
        <v>410</v>
      </c>
      <c r="X46" s="25">
        <f t="shared" si="21"/>
        <v>2000</v>
      </c>
      <c r="Y46" s="29">
        <f t="shared" si="22"/>
        <v>5999</v>
      </c>
      <c r="Z46" s="29">
        <f t="shared" si="23"/>
        <v>6794</v>
      </c>
      <c r="AA46" s="2">
        <f t="shared" si="24"/>
        <v>1296</v>
      </c>
      <c r="AB46" s="2">
        <f t="shared" si="25"/>
        <v>892</v>
      </c>
      <c r="AC46" s="2">
        <f t="shared" si="26"/>
        <v>690</v>
      </c>
      <c r="AD46" s="2">
        <f t="shared" si="27"/>
        <v>569</v>
      </c>
      <c r="AE46" s="2">
        <f t="shared" si="28"/>
        <v>488</v>
      </c>
      <c r="AF46" s="2" t="str">
        <f t="shared" si="29"/>
        <v>-</v>
      </c>
      <c r="AG46" s="25">
        <f t="shared" si="30"/>
        <v>2800</v>
      </c>
      <c r="AH46" s="29">
        <f t="shared" si="31"/>
        <v>5199</v>
      </c>
      <c r="AI46" s="29">
        <f t="shared" si="32"/>
        <v>5994</v>
      </c>
      <c r="AJ46" s="2">
        <f t="shared" si="33"/>
        <v>1143</v>
      </c>
      <c r="AK46" s="2">
        <f t="shared" si="34"/>
        <v>787</v>
      </c>
      <c r="AL46" s="2">
        <f t="shared" si="35"/>
        <v>609</v>
      </c>
      <c r="AM46" s="2">
        <f t="shared" si="36"/>
        <v>502</v>
      </c>
      <c r="AN46" s="2">
        <f t="shared" si="37"/>
        <v>431</v>
      </c>
      <c r="AO46" s="2" t="str">
        <f t="shared" si="38"/>
        <v>-</v>
      </c>
      <c r="AP46" s="25">
        <f t="shared" si="39"/>
        <v>3200</v>
      </c>
      <c r="AQ46" s="29">
        <f t="shared" si="40"/>
        <v>4799</v>
      </c>
      <c r="AR46" s="29">
        <f t="shared" si="41"/>
        <v>5594</v>
      </c>
      <c r="AS46" s="2">
        <f t="shared" si="42"/>
        <v>1067</v>
      </c>
      <c r="AT46" s="2">
        <f t="shared" si="43"/>
        <v>734</v>
      </c>
      <c r="AU46" s="2">
        <f t="shared" si="44"/>
        <v>568</v>
      </c>
      <c r="AV46" s="2">
        <f t="shared" si="45"/>
        <v>468</v>
      </c>
      <c r="AW46" s="2">
        <f t="shared" si="46"/>
        <v>402</v>
      </c>
      <c r="AX46" s="2" t="str">
        <f t="shared" si="47"/>
        <v>-</v>
      </c>
    </row>
    <row r="47" ht="14.25" customHeight="1">
      <c r="A47" s="2" t="str">
        <f t="array" ref="A47">IFERROR(INDEX('Product Price'!A:A,SMALL('Product Price'!$D:$D,45)),"")</f>
        <v>INFINIX XPAD 30E 4/128 GB</v>
      </c>
      <c r="B47" s="29">
        <f t="array" ref="B47">IFERROR(INDEX('Product Price'!B:B,SMALL('Product Price'!$D:$D,45)),"")</f>
        <v>5499</v>
      </c>
      <c r="C47" s="2">
        <f t="array" ref="C47">IFERROR(INDEX('Product Price'!C:C,SMALL('Product Price'!$D:$D,45)),"")</f>
        <v>36</v>
      </c>
      <c r="D47" s="2">
        <f t="shared" si="1"/>
        <v>795</v>
      </c>
      <c r="E47" s="29">
        <f t="shared" si="2"/>
        <v>6294</v>
      </c>
      <c r="F47" s="25">
        <f t="shared" si="48"/>
        <v>825</v>
      </c>
      <c r="G47" s="29">
        <f t="shared" si="4"/>
        <v>4674</v>
      </c>
      <c r="H47" s="29">
        <f t="shared" si="5"/>
        <v>5469</v>
      </c>
      <c r="I47" s="2">
        <f t="shared" si="6"/>
        <v>1043</v>
      </c>
      <c r="J47" s="2">
        <f t="shared" si="7"/>
        <v>718</v>
      </c>
      <c r="K47" s="2">
        <f t="shared" si="8"/>
        <v>555</v>
      </c>
      <c r="L47" s="2">
        <f t="shared" si="9"/>
        <v>458</v>
      </c>
      <c r="M47" s="2" t="str">
        <f t="shared" si="10"/>
        <v>-</v>
      </c>
      <c r="N47" s="2" t="str">
        <f t="shared" si="11"/>
        <v>-</v>
      </c>
      <c r="O47" s="25">
        <f t="shared" si="12"/>
        <v>1100</v>
      </c>
      <c r="P47" s="29">
        <f t="shared" si="13"/>
        <v>4399</v>
      </c>
      <c r="Q47" s="29">
        <f t="shared" si="14"/>
        <v>5194</v>
      </c>
      <c r="R47" s="2">
        <f t="shared" si="15"/>
        <v>991</v>
      </c>
      <c r="S47" s="2">
        <f t="shared" si="16"/>
        <v>682</v>
      </c>
      <c r="T47" s="2">
        <f t="shared" si="17"/>
        <v>528</v>
      </c>
      <c r="U47" s="2">
        <f t="shared" si="18"/>
        <v>435</v>
      </c>
      <c r="V47" s="2" t="str">
        <f t="shared" si="19"/>
        <v>-</v>
      </c>
      <c r="W47" s="2" t="str">
        <f t="shared" si="20"/>
        <v>-</v>
      </c>
      <c r="X47" s="25">
        <f t="shared" si="21"/>
        <v>1375</v>
      </c>
      <c r="Y47" s="29">
        <f t="shared" si="22"/>
        <v>4124</v>
      </c>
      <c r="Z47" s="29">
        <f t="shared" si="23"/>
        <v>4919</v>
      </c>
      <c r="AA47" s="2">
        <f t="shared" si="24"/>
        <v>938</v>
      </c>
      <c r="AB47" s="2">
        <f t="shared" si="25"/>
        <v>646</v>
      </c>
      <c r="AC47" s="2">
        <f t="shared" si="26"/>
        <v>500</v>
      </c>
      <c r="AD47" s="2">
        <f t="shared" si="27"/>
        <v>412</v>
      </c>
      <c r="AE47" s="2" t="str">
        <f t="shared" si="28"/>
        <v>-</v>
      </c>
      <c r="AF47" s="2" t="str">
        <f t="shared" si="29"/>
        <v>-</v>
      </c>
      <c r="AG47" s="25">
        <f t="shared" si="30"/>
        <v>1925</v>
      </c>
      <c r="AH47" s="29">
        <f t="shared" si="31"/>
        <v>3574</v>
      </c>
      <c r="AI47" s="29">
        <f t="shared" si="32"/>
        <v>4369</v>
      </c>
      <c r="AJ47" s="2">
        <f t="shared" si="33"/>
        <v>833</v>
      </c>
      <c r="AK47" s="2">
        <f t="shared" si="34"/>
        <v>574</v>
      </c>
      <c r="AL47" s="2">
        <f t="shared" si="35"/>
        <v>444</v>
      </c>
      <c r="AM47" s="2" t="str">
        <f t="shared" si="36"/>
        <v>-</v>
      </c>
      <c r="AN47" s="2" t="str">
        <f t="shared" si="37"/>
        <v>-</v>
      </c>
      <c r="AO47" s="2" t="str">
        <f t="shared" si="38"/>
        <v>-</v>
      </c>
      <c r="AP47" s="25">
        <f t="shared" si="39"/>
        <v>2200</v>
      </c>
      <c r="AQ47" s="29">
        <f t="shared" si="40"/>
        <v>3299</v>
      </c>
      <c r="AR47" s="29">
        <f t="shared" si="41"/>
        <v>4094</v>
      </c>
      <c r="AS47" s="2">
        <f t="shared" si="42"/>
        <v>781</v>
      </c>
      <c r="AT47" s="2">
        <f t="shared" si="43"/>
        <v>538</v>
      </c>
      <c r="AU47" s="2">
        <f t="shared" si="44"/>
        <v>416</v>
      </c>
      <c r="AV47" s="2" t="str">
        <f t="shared" si="45"/>
        <v>-</v>
      </c>
      <c r="AW47" s="2" t="str">
        <f t="shared" si="46"/>
        <v>-</v>
      </c>
      <c r="AX47" s="2" t="str">
        <f t="shared" si="47"/>
        <v>-</v>
      </c>
    </row>
    <row r="48" ht="14.25" customHeight="1">
      <c r="A48" s="2" t="str">
        <f t="array" ref="A48">IFERROR(INDEX('Product Price'!A:A,SMALL('Product Price'!$D:$D,46)),"")</f>
        <v>Nubia NEO 5 GT 12/512 GB</v>
      </c>
      <c r="B48" s="29">
        <f t="array" ref="B48">IFERROR(INDEX('Product Price'!B:B,SMALL('Product Price'!$D:$D,46)),"")</f>
        <v>14999</v>
      </c>
      <c r="C48" s="2">
        <f t="array" ref="C48">IFERROR(INDEX('Product Price'!C:C,SMALL('Product Price'!$D:$D,46)),"")</f>
        <v>37</v>
      </c>
      <c r="D48" s="2">
        <f t="shared" si="1"/>
        <v>1450</v>
      </c>
      <c r="E48" s="29">
        <f t="shared" si="2"/>
        <v>16449</v>
      </c>
      <c r="F48" s="25">
        <f t="shared" si="48"/>
        <v>2250</v>
      </c>
      <c r="G48" s="29">
        <f t="shared" si="4"/>
        <v>12749</v>
      </c>
      <c r="H48" s="29">
        <f t="shared" si="5"/>
        <v>14199</v>
      </c>
      <c r="I48" s="2">
        <f t="shared" si="6"/>
        <v>2707</v>
      </c>
      <c r="J48" s="2">
        <f t="shared" si="7"/>
        <v>1863</v>
      </c>
      <c r="K48" s="2">
        <f t="shared" si="8"/>
        <v>1441</v>
      </c>
      <c r="L48" s="2">
        <f t="shared" si="9"/>
        <v>1188</v>
      </c>
      <c r="M48" s="2">
        <f t="shared" si="10"/>
        <v>1019</v>
      </c>
      <c r="N48" s="2">
        <f t="shared" si="11"/>
        <v>808</v>
      </c>
      <c r="O48" s="25">
        <f t="shared" si="12"/>
        <v>3000</v>
      </c>
      <c r="P48" s="29">
        <f t="shared" si="13"/>
        <v>11999</v>
      </c>
      <c r="Q48" s="29">
        <f t="shared" si="14"/>
        <v>13449</v>
      </c>
      <c r="R48" s="2">
        <f t="shared" si="15"/>
        <v>2564</v>
      </c>
      <c r="S48" s="2">
        <f t="shared" si="16"/>
        <v>1765</v>
      </c>
      <c r="T48" s="2">
        <f t="shared" si="17"/>
        <v>1365</v>
      </c>
      <c r="U48" s="2">
        <f t="shared" si="18"/>
        <v>1125</v>
      </c>
      <c r="V48" s="2">
        <f t="shared" si="19"/>
        <v>965</v>
      </c>
      <c r="W48" s="2">
        <f t="shared" si="20"/>
        <v>766</v>
      </c>
      <c r="X48" s="25">
        <f t="shared" si="21"/>
        <v>3750</v>
      </c>
      <c r="Y48" s="29">
        <f t="shared" si="22"/>
        <v>11249</v>
      </c>
      <c r="Z48" s="29">
        <f t="shared" si="23"/>
        <v>12699</v>
      </c>
      <c r="AA48" s="2">
        <f t="shared" si="24"/>
        <v>2421</v>
      </c>
      <c r="AB48" s="2">
        <f t="shared" si="25"/>
        <v>1667</v>
      </c>
      <c r="AC48" s="2">
        <f t="shared" si="26"/>
        <v>1289</v>
      </c>
      <c r="AD48" s="2">
        <f t="shared" si="27"/>
        <v>1063</v>
      </c>
      <c r="AE48" s="2">
        <f t="shared" si="28"/>
        <v>912</v>
      </c>
      <c r="AF48" s="2">
        <f t="shared" si="29"/>
        <v>723</v>
      </c>
      <c r="AG48" s="25">
        <f t="shared" si="30"/>
        <v>5250</v>
      </c>
      <c r="AH48" s="29">
        <f t="shared" si="31"/>
        <v>9749</v>
      </c>
      <c r="AI48" s="29">
        <f t="shared" si="32"/>
        <v>11199</v>
      </c>
      <c r="AJ48" s="2">
        <f t="shared" si="33"/>
        <v>2135</v>
      </c>
      <c r="AK48" s="2">
        <f t="shared" si="34"/>
        <v>1470</v>
      </c>
      <c r="AL48" s="2">
        <f t="shared" si="35"/>
        <v>1137</v>
      </c>
      <c r="AM48" s="2">
        <f t="shared" si="36"/>
        <v>937</v>
      </c>
      <c r="AN48" s="2">
        <f t="shared" si="37"/>
        <v>804</v>
      </c>
      <c r="AO48" s="2">
        <f t="shared" si="38"/>
        <v>638</v>
      </c>
      <c r="AP48" s="25">
        <f t="shared" si="39"/>
        <v>6000</v>
      </c>
      <c r="AQ48" s="29">
        <f t="shared" si="40"/>
        <v>8999</v>
      </c>
      <c r="AR48" s="29">
        <f t="shared" si="41"/>
        <v>10449</v>
      </c>
      <c r="AS48" s="2">
        <f t="shared" si="42"/>
        <v>1992</v>
      </c>
      <c r="AT48" s="2">
        <f t="shared" si="43"/>
        <v>1371</v>
      </c>
      <c r="AU48" s="2">
        <f t="shared" si="44"/>
        <v>1061</v>
      </c>
      <c r="AV48" s="2">
        <f t="shared" si="45"/>
        <v>874</v>
      </c>
      <c r="AW48" s="2">
        <f t="shared" si="46"/>
        <v>750</v>
      </c>
      <c r="AX48" s="2">
        <f t="shared" si="47"/>
        <v>595</v>
      </c>
    </row>
    <row r="49" ht="14.25" customHeight="1">
      <c r="A49" s="2" t="str">
        <f t="array" ref="A49">IFERROR(INDEX('Product Price'!A:A,SMALL('Product Price'!$D:$D,47)),"")</f>
        <v>Nubia NEO 5 GT 8/258 GB</v>
      </c>
      <c r="B49" s="29">
        <f t="array" ref="B49">IFERROR(INDEX('Product Price'!B:B,SMALL('Product Price'!$D:$D,47)),"")</f>
        <v>11999</v>
      </c>
      <c r="C49" s="2">
        <f t="array" ref="C49">IFERROR(INDEX('Product Price'!C:C,SMALL('Product Price'!$D:$D,47)),"")</f>
        <v>38</v>
      </c>
      <c r="D49" s="2">
        <f t="shared" si="1"/>
        <v>1450</v>
      </c>
      <c r="E49" s="29">
        <f t="shared" si="2"/>
        <v>13449</v>
      </c>
      <c r="F49" s="25">
        <f t="shared" si="48"/>
        <v>1800</v>
      </c>
      <c r="G49" s="29">
        <f t="shared" si="4"/>
        <v>10199</v>
      </c>
      <c r="H49" s="29">
        <f t="shared" si="5"/>
        <v>11649</v>
      </c>
      <c r="I49" s="2">
        <f t="shared" si="6"/>
        <v>2221</v>
      </c>
      <c r="J49" s="2">
        <f t="shared" si="7"/>
        <v>1529</v>
      </c>
      <c r="K49" s="2">
        <f t="shared" si="8"/>
        <v>1183</v>
      </c>
      <c r="L49" s="2">
        <f t="shared" si="9"/>
        <v>975</v>
      </c>
      <c r="M49" s="2">
        <f t="shared" si="10"/>
        <v>836</v>
      </c>
      <c r="N49" s="2">
        <f t="shared" si="11"/>
        <v>663</v>
      </c>
      <c r="O49" s="25">
        <f t="shared" si="12"/>
        <v>2400</v>
      </c>
      <c r="P49" s="29">
        <f t="shared" si="13"/>
        <v>9599</v>
      </c>
      <c r="Q49" s="29">
        <f t="shared" si="14"/>
        <v>11049</v>
      </c>
      <c r="R49" s="2">
        <f t="shared" si="15"/>
        <v>2107</v>
      </c>
      <c r="S49" s="2">
        <f t="shared" si="16"/>
        <v>1450</v>
      </c>
      <c r="T49" s="2">
        <f t="shared" si="17"/>
        <v>1122</v>
      </c>
      <c r="U49" s="2">
        <f t="shared" si="18"/>
        <v>925</v>
      </c>
      <c r="V49" s="2">
        <f t="shared" si="19"/>
        <v>793</v>
      </c>
      <c r="W49" s="2">
        <f t="shared" si="20"/>
        <v>629</v>
      </c>
      <c r="X49" s="25">
        <f t="shared" si="21"/>
        <v>3000</v>
      </c>
      <c r="Y49" s="29">
        <f t="shared" si="22"/>
        <v>8999</v>
      </c>
      <c r="Z49" s="29">
        <f t="shared" si="23"/>
        <v>10449</v>
      </c>
      <c r="AA49" s="2">
        <f t="shared" si="24"/>
        <v>1992</v>
      </c>
      <c r="AB49" s="2">
        <f t="shared" si="25"/>
        <v>1371</v>
      </c>
      <c r="AC49" s="2">
        <f t="shared" si="26"/>
        <v>1061</v>
      </c>
      <c r="AD49" s="2">
        <f t="shared" si="27"/>
        <v>874</v>
      </c>
      <c r="AE49" s="2">
        <f t="shared" si="28"/>
        <v>750</v>
      </c>
      <c r="AF49" s="2">
        <f t="shared" si="29"/>
        <v>595</v>
      </c>
      <c r="AG49" s="25">
        <f t="shared" si="30"/>
        <v>4200</v>
      </c>
      <c r="AH49" s="29">
        <f t="shared" si="31"/>
        <v>7799</v>
      </c>
      <c r="AI49" s="29">
        <f t="shared" si="32"/>
        <v>9249</v>
      </c>
      <c r="AJ49" s="2">
        <f t="shared" si="33"/>
        <v>1764</v>
      </c>
      <c r="AK49" s="2">
        <f t="shared" si="34"/>
        <v>1214</v>
      </c>
      <c r="AL49" s="2">
        <f t="shared" si="35"/>
        <v>939</v>
      </c>
      <c r="AM49" s="2">
        <f t="shared" si="36"/>
        <v>774</v>
      </c>
      <c r="AN49" s="2">
        <f t="shared" si="37"/>
        <v>664</v>
      </c>
      <c r="AO49" s="2">
        <f t="shared" si="38"/>
        <v>527</v>
      </c>
      <c r="AP49" s="25">
        <f t="shared" si="39"/>
        <v>4800</v>
      </c>
      <c r="AQ49" s="29">
        <f t="shared" si="40"/>
        <v>7199</v>
      </c>
      <c r="AR49" s="29">
        <f t="shared" si="41"/>
        <v>8649</v>
      </c>
      <c r="AS49" s="2">
        <f t="shared" si="42"/>
        <v>1649</v>
      </c>
      <c r="AT49" s="2">
        <f t="shared" si="43"/>
        <v>1135</v>
      </c>
      <c r="AU49" s="2">
        <f t="shared" si="44"/>
        <v>878</v>
      </c>
      <c r="AV49" s="2">
        <f t="shared" si="45"/>
        <v>724</v>
      </c>
      <c r="AW49" s="2">
        <f t="shared" si="46"/>
        <v>621</v>
      </c>
      <c r="AX49" s="2">
        <f t="shared" si="47"/>
        <v>493</v>
      </c>
    </row>
    <row r="50" ht="14.25" customHeight="1">
      <c r="A50" s="2" t="str">
        <f t="array" ref="A50">IFERROR(INDEX('Product Price'!A:A,SMALL('Product Price'!$D:$D,48)),"")</f>
        <v>Nubia NEO 5 Pro 5G 12/258 GB</v>
      </c>
      <c r="B50" s="29">
        <f t="array" ref="B50">IFERROR(INDEX('Product Price'!B:B,SMALL('Product Price'!$D:$D,48)),"")</f>
        <v>8999</v>
      </c>
      <c r="C50" s="2">
        <f t="array" ref="C50">IFERROR(INDEX('Product Price'!C:C,SMALL('Product Price'!$D:$D,48)),"")</f>
        <v>39</v>
      </c>
      <c r="D50" s="2">
        <f t="shared" si="1"/>
        <v>795</v>
      </c>
      <c r="E50" s="29">
        <f t="shared" si="2"/>
        <v>9794</v>
      </c>
      <c r="F50" s="25">
        <f t="shared" si="48"/>
        <v>1350</v>
      </c>
      <c r="G50" s="29">
        <f t="shared" si="4"/>
        <v>7649</v>
      </c>
      <c r="H50" s="29">
        <f t="shared" si="5"/>
        <v>8444</v>
      </c>
      <c r="I50" s="2">
        <f t="shared" si="6"/>
        <v>1610</v>
      </c>
      <c r="J50" s="2">
        <f t="shared" si="7"/>
        <v>1108</v>
      </c>
      <c r="K50" s="2">
        <f t="shared" si="8"/>
        <v>857</v>
      </c>
      <c r="L50" s="2">
        <f t="shared" si="9"/>
        <v>707</v>
      </c>
      <c r="M50" s="2">
        <f t="shared" si="10"/>
        <v>606</v>
      </c>
      <c r="N50" s="2">
        <f t="shared" si="11"/>
        <v>481</v>
      </c>
      <c r="O50" s="25">
        <f t="shared" si="12"/>
        <v>1800</v>
      </c>
      <c r="P50" s="29">
        <f t="shared" si="13"/>
        <v>7199</v>
      </c>
      <c r="Q50" s="29">
        <f t="shared" si="14"/>
        <v>7994</v>
      </c>
      <c r="R50" s="2">
        <f t="shared" si="15"/>
        <v>1524</v>
      </c>
      <c r="S50" s="2">
        <f t="shared" si="16"/>
        <v>1049</v>
      </c>
      <c r="T50" s="2">
        <f t="shared" si="17"/>
        <v>812</v>
      </c>
      <c r="U50" s="2">
        <f t="shared" si="18"/>
        <v>669</v>
      </c>
      <c r="V50" s="2">
        <f t="shared" si="19"/>
        <v>574</v>
      </c>
      <c r="W50" s="2">
        <f t="shared" si="20"/>
        <v>455</v>
      </c>
      <c r="X50" s="25">
        <f t="shared" si="21"/>
        <v>2250</v>
      </c>
      <c r="Y50" s="29">
        <f t="shared" si="22"/>
        <v>6749</v>
      </c>
      <c r="Z50" s="29">
        <f t="shared" si="23"/>
        <v>7544</v>
      </c>
      <c r="AA50" s="2">
        <f t="shared" si="24"/>
        <v>1439</v>
      </c>
      <c r="AB50" s="2">
        <f t="shared" si="25"/>
        <v>990</v>
      </c>
      <c r="AC50" s="2">
        <f t="shared" si="26"/>
        <v>766</v>
      </c>
      <c r="AD50" s="2">
        <f t="shared" si="27"/>
        <v>631</v>
      </c>
      <c r="AE50" s="2">
        <f t="shared" si="28"/>
        <v>542</v>
      </c>
      <c r="AF50" s="2">
        <f t="shared" si="29"/>
        <v>430</v>
      </c>
      <c r="AG50" s="25">
        <f t="shared" si="30"/>
        <v>3150</v>
      </c>
      <c r="AH50" s="29">
        <f t="shared" si="31"/>
        <v>5849</v>
      </c>
      <c r="AI50" s="29">
        <f t="shared" si="32"/>
        <v>6644</v>
      </c>
      <c r="AJ50" s="2">
        <f t="shared" si="33"/>
        <v>1267</v>
      </c>
      <c r="AK50" s="2">
        <f t="shared" si="34"/>
        <v>872</v>
      </c>
      <c r="AL50" s="2">
        <f t="shared" si="35"/>
        <v>675</v>
      </c>
      <c r="AM50" s="2">
        <f t="shared" si="36"/>
        <v>556</v>
      </c>
      <c r="AN50" s="2">
        <f t="shared" si="37"/>
        <v>477</v>
      </c>
      <c r="AO50" s="2" t="str">
        <f t="shared" si="38"/>
        <v>-</v>
      </c>
      <c r="AP50" s="25">
        <f t="shared" si="39"/>
        <v>3600</v>
      </c>
      <c r="AQ50" s="29">
        <f t="shared" si="40"/>
        <v>5399</v>
      </c>
      <c r="AR50" s="29">
        <f t="shared" si="41"/>
        <v>6194</v>
      </c>
      <c r="AS50" s="2">
        <f t="shared" si="42"/>
        <v>1181</v>
      </c>
      <c r="AT50" s="2">
        <f t="shared" si="43"/>
        <v>813</v>
      </c>
      <c r="AU50" s="2">
        <f t="shared" si="44"/>
        <v>629</v>
      </c>
      <c r="AV50" s="2">
        <f t="shared" si="45"/>
        <v>519</v>
      </c>
      <c r="AW50" s="2">
        <f t="shared" si="46"/>
        <v>445</v>
      </c>
      <c r="AX50" s="2" t="str">
        <f t="shared" si="47"/>
        <v>-</v>
      </c>
    </row>
    <row r="51" ht="14.25" customHeight="1">
      <c r="A51" s="2" t="str">
        <f t="array" ref="A51">IFERROR(INDEX('Product Price'!A:A,SMALL('Product Price'!$D:$D,49)),"")</f>
        <v>Nubia NEO 5 5G 8/128 GB</v>
      </c>
      <c r="B51" s="29">
        <f t="array" ref="B51">IFERROR(INDEX('Product Price'!B:B,SMALL('Product Price'!$D:$D,49)),"")</f>
        <v>7999</v>
      </c>
      <c r="C51" s="2">
        <f t="array" ref="C51">IFERROR(INDEX('Product Price'!C:C,SMALL('Product Price'!$D:$D,49)),"")</f>
        <v>40</v>
      </c>
      <c r="D51" s="2">
        <f t="shared" si="1"/>
        <v>795</v>
      </c>
      <c r="E51" s="29">
        <f t="shared" si="2"/>
        <v>8794</v>
      </c>
      <c r="F51" s="25">
        <f t="shared" si="48"/>
        <v>1200</v>
      </c>
      <c r="G51" s="29">
        <f t="shared" si="4"/>
        <v>6799</v>
      </c>
      <c r="H51" s="29">
        <f t="shared" si="5"/>
        <v>7594</v>
      </c>
      <c r="I51" s="2">
        <f t="shared" si="6"/>
        <v>1448</v>
      </c>
      <c r="J51" s="2">
        <f t="shared" si="7"/>
        <v>997</v>
      </c>
      <c r="K51" s="2">
        <f t="shared" si="8"/>
        <v>771</v>
      </c>
      <c r="L51" s="2">
        <f t="shared" si="9"/>
        <v>636</v>
      </c>
      <c r="M51" s="2">
        <f t="shared" si="10"/>
        <v>545</v>
      </c>
      <c r="N51" s="2">
        <f t="shared" si="11"/>
        <v>433</v>
      </c>
      <c r="O51" s="25">
        <f t="shared" si="12"/>
        <v>1600</v>
      </c>
      <c r="P51" s="29">
        <f t="shared" si="13"/>
        <v>6399</v>
      </c>
      <c r="Q51" s="29">
        <f t="shared" si="14"/>
        <v>7194</v>
      </c>
      <c r="R51" s="2">
        <f t="shared" si="15"/>
        <v>1372</v>
      </c>
      <c r="S51" s="2">
        <f t="shared" si="16"/>
        <v>944</v>
      </c>
      <c r="T51" s="2">
        <f t="shared" si="17"/>
        <v>730</v>
      </c>
      <c r="U51" s="2">
        <f t="shared" si="18"/>
        <v>602</v>
      </c>
      <c r="V51" s="2">
        <f t="shared" si="19"/>
        <v>517</v>
      </c>
      <c r="W51" s="2">
        <f t="shared" si="20"/>
        <v>410</v>
      </c>
      <c r="X51" s="25">
        <f t="shared" si="21"/>
        <v>2000</v>
      </c>
      <c r="Y51" s="29">
        <f t="shared" si="22"/>
        <v>5999</v>
      </c>
      <c r="Z51" s="29">
        <f t="shared" si="23"/>
        <v>6794</v>
      </c>
      <c r="AA51" s="2">
        <f t="shared" si="24"/>
        <v>1296</v>
      </c>
      <c r="AB51" s="2">
        <f t="shared" si="25"/>
        <v>892</v>
      </c>
      <c r="AC51" s="2">
        <f t="shared" si="26"/>
        <v>690</v>
      </c>
      <c r="AD51" s="2">
        <f t="shared" si="27"/>
        <v>569</v>
      </c>
      <c r="AE51" s="2">
        <f t="shared" si="28"/>
        <v>488</v>
      </c>
      <c r="AF51" s="2" t="str">
        <f t="shared" si="29"/>
        <v>-</v>
      </c>
      <c r="AG51" s="25">
        <f t="shared" si="30"/>
        <v>2800</v>
      </c>
      <c r="AH51" s="29">
        <f t="shared" si="31"/>
        <v>5199</v>
      </c>
      <c r="AI51" s="29">
        <f t="shared" si="32"/>
        <v>5994</v>
      </c>
      <c r="AJ51" s="2">
        <f t="shared" si="33"/>
        <v>1143</v>
      </c>
      <c r="AK51" s="2">
        <f t="shared" si="34"/>
        <v>787</v>
      </c>
      <c r="AL51" s="2">
        <f t="shared" si="35"/>
        <v>609</v>
      </c>
      <c r="AM51" s="2">
        <f t="shared" si="36"/>
        <v>502</v>
      </c>
      <c r="AN51" s="2">
        <f t="shared" si="37"/>
        <v>431</v>
      </c>
      <c r="AO51" s="2" t="str">
        <f t="shared" si="38"/>
        <v>-</v>
      </c>
      <c r="AP51" s="25">
        <f t="shared" si="39"/>
        <v>3200</v>
      </c>
      <c r="AQ51" s="29">
        <f t="shared" si="40"/>
        <v>4799</v>
      </c>
      <c r="AR51" s="29">
        <f t="shared" si="41"/>
        <v>5594</v>
      </c>
      <c r="AS51" s="2">
        <f t="shared" si="42"/>
        <v>1067</v>
      </c>
      <c r="AT51" s="2">
        <f t="shared" si="43"/>
        <v>734</v>
      </c>
      <c r="AU51" s="2">
        <f t="shared" si="44"/>
        <v>568</v>
      </c>
      <c r="AV51" s="2">
        <f t="shared" si="45"/>
        <v>468</v>
      </c>
      <c r="AW51" s="2">
        <f t="shared" si="46"/>
        <v>402</v>
      </c>
      <c r="AX51" s="2" t="str">
        <f t="shared" si="47"/>
        <v>-</v>
      </c>
    </row>
    <row r="52" ht="14.25" customHeight="1">
      <c r="A52" s="2" t="str">
        <f t="array" ref="A52">IFERROR(INDEX('Product Price'!A:A,SMALL('Product Price'!$D:$D,50)),"")</f>
        <v>Nubia NEO 3 GT 5G 12/256 GB</v>
      </c>
      <c r="B52" s="29">
        <f t="array" ref="B52">IFERROR(INDEX('Product Price'!B:B,SMALL('Product Price'!$D:$D,50)),"")</f>
        <v>8499</v>
      </c>
      <c r="C52" s="2">
        <f t="array" ref="C52">IFERROR(INDEX('Product Price'!C:C,SMALL('Product Price'!$D:$D,50)),"")</f>
        <v>41</v>
      </c>
      <c r="D52" s="2">
        <f t="shared" si="1"/>
        <v>795</v>
      </c>
      <c r="E52" s="29">
        <f t="shared" si="2"/>
        <v>9294</v>
      </c>
      <c r="F52" s="25">
        <f t="shared" si="48"/>
        <v>1275</v>
      </c>
      <c r="G52" s="29">
        <f t="shared" si="4"/>
        <v>7224</v>
      </c>
      <c r="H52" s="29">
        <f t="shared" si="5"/>
        <v>8019</v>
      </c>
      <c r="I52" s="2">
        <f t="shared" si="6"/>
        <v>1529</v>
      </c>
      <c r="J52" s="2">
        <f t="shared" si="7"/>
        <v>1053</v>
      </c>
      <c r="K52" s="2">
        <f t="shared" si="8"/>
        <v>814</v>
      </c>
      <c r="L52" s="2">
        <f t="shared" si="9"/>
        <v>671</v>
      </c>
      <c r="M52" s="2">
        <f t="shared" si="10"/>
        <v>576</v>
      </c>
      <c r="N52" s="2">
        <f t="shared" si="11"/>
        <v>457</v>
      </c>
      <c r="O52" s="25">
        <f t="shared" si="12"/>
        <v>1700</v>
      </c>
      <c r="P52" s="29">
        <f t="shared" si="13"/>
        <v>6799</v>
      </c>
      <c r="Q52" s="29">
        <f t="shared" si="14"/>
        <v>7594</v>
      </c>
      <c r="R52" s="2">
        <f t="shared" si="15"/>
        <v>1448</v>
      </c>
      <c r="S52" s="2">
        <f t="shared" si="16"/>
        <v>997</v>
      </c>
      <c r="T52" s="2">
        <f t="shared" si="17"/>
        <v>771</v>
      </c>
      <c r="U52" s="2">
        <f t="shared" si="18"/>
        <v>636</v>
      </c>
      <c r="V52" s="2">
        <f t="shared" si="19"/>
        <v>545</v>
      </c>
      <c r="W52" s="2">
        <f t="shared" si="20"/>
        <v>433</v>
      </c>
      <c r="X52" s="25">
        <f t="shared" si="21"/>
        <v>2125</v>
      </c>
      <c r="Y52" s="29">
        <f t="shared" si="22"/>
        <v>6374</v>
      </c>
      <c r="Z52" s="29">
        <f t="shared" si="23"/>
        <v>7169</v>
      </c>
      <c r="AA52" s="2">
        <f t="shared" si="24"/>
        <v>1367</v>
      </c>
      <c r="AB52" s="2">
        <f t="shared" si="25"/>
        <v>941</v>
      </c>
      <c r="AC52" s="2">
        <f t="shared" si="26"/>
        <v>728</v>
      </c>
      <c r="AD52" s="2">
        <f t="shared" si="27"/>
        <v>600</v>
      </c>
      <c r="AE52" s="2">
        <f t="shared" si="28"/>
        <v>515</v>
      </c>
      <c r="AF52" s="2">
        <f t="shared" si="29"/>
        <v>408</v>
      </c>
      <c r="AG52" s="25">
        <f t="shared" si="30"/>
        <v>2975</v>
      </c>
      <c r="AH52" s="29">
        <f t="shared" si="31"/>
        <v>5524</v>
      </c>
      <c r="AI52" s="29">
        <f t="shared" si="32"/>
        <v>6319</v>
      </c>
      <c r="AJ52" s="2">
        <f t="shared" si="33"/>
        <v>1205</v>
      </c>
      <c r="AK52" s="2">
        <f t="shared" si="34"/>
        <v>830</v>
      </c>
      <c r="AL52" s="2">
        <f t="shared" si="35"/>
        <v>642</v>
      </c>
      <c r="AM52" s="2">
        <f t="shared" si="36"/>
        <v>529</v>
      </c>
      <c r="AN52" s="2">
        <f t="shared" si="37"/>
        <v>454</v>
      </c>
      <c r="AO52" s="2" t="str">
        <f t="shared" si="38"/>
        <v>-</v>
      </c>
      <c r="AP52" s="25">
        <f t="shared" si="39"/>
        <v>3400</v>
      </c>
      <c r="AQ52" s="29">
        <f t="shared" si="40"/>
        <v>5099</v>
      </c>
      <c r="AR52" s="29">
        <f t="shared" si="41"/>
        <v>5894</v>
      </c>
      <c r="AS52" s="2">
        <f t="shared" si="42"/>
        <v>1124</v>
      </c>
      <c r="AT52" s="2">
        <f t="shared" si="43"/>
        <v>774</v>
      </c>
      <c r="AU52" s="2">
        <f t="shared" si="44"/>
        <v>599</v>
      </c>
      <c r="AV52" s="2">
        <f t="shared" si="45"/>
        <v>493</v>
      </c>
      <c r="AW52" s="2">
        <f t="shared" si="46"/>
        <v>423</v>
      </c>
      <c r="AX52" s="2" t="str">
        <f t="shared" si="47"/>
        <v>-</v>
      </c>
    </row>
    <row r="53" ht="14.25" customHeight="1">
      <c r="A53" s="2" t="str">
        <f t="array" ref="A53">IFERROR(INDEX('Product Price'!A:A,SMALL('Product Price'!$D:$D,51)),"")</f>
        <v>Nubia Air 5G 8/256 GB</v>
      </c>
      <c r="B53" s="29">
        <f t="array" ref="B53">IFERROR(INDEX('Product Price'!B:B,SMALL('Product Price'!$D:$D,51)),"")</f>
        <v>7499</v>
      </c>
      <c r="C53" s="2">
        <f t="array" ref="C53">IFERROR(INDEX('Product Price'!C:C,SMALL('Product Price'!$D:$D,51)),"")</f>
        <v>42</v>
      </c>
      <c r="D53" s="2">
        <f t="shared" si="1"/>
        <v>795</v>
      </c>
      <c r="E53" s="29">
        <f t="shared" si="2"/>
        <v>8294</v>
      </c>
      <c r="F53" s="25">
        <f t="shared" si="48"/>
        <v>1125</v>
      </c>
      <c r="G53" s="29">
        <f t="shared" si="4"/>
        <v>6374</v>
      </c>
      <c r="H53" s="29">
        <f t="shared" si="5"/>
        <v>7169</v>
      </c>
      <c r="I53" s="2">
        <f t="shared" si="6"/>
        <v>1367</v>
      </c>
      <c r="J53" s="2">
        <f t="shared" si="7"/>
        <v>941</v>
      </c>
      <c r="K53" s="2">
        <f t="shared" si="8"/>
        <v>728</v>
      </c>
      <c r="L53" s="2">
        <f t="shared" si="9"/>
        <v>600</v>
      </c>
      <c r="M53" s="2">
        <f t="shared" si="10"/>
        <v>515</v>
      </c>
      <c r="N53" s="2">
        <f t="shared" si="11"/>
        <v>408</v>
      </c>
      <c r="O53" s="25">
        <f t="shared" si="12"/>
        <v>1500</v>
      </c>
      <c r="P53" s="29">
        <f t="shared" si="13"/>
        <v>5999</v>
      </c>
      <c r="Q53" s="29">
        <f t="shared" si="14"/>
        <v>6794</v>
      </c>
      <c r="R53" s="2">
        <f t="shared" si="15"/>
        <v>1296</v>
      </c>
      <c r="S53" s="2">
        <f t="shared" si="16"/>
        <v>892</v>
      </c>
      <c r="T53" s="2">
        <f t="shared" si="17"/>
        <v>690</v>
      </c>
      <c r="U53" s="2">
        <f t="shared" si="18"/>
        <v>569</v>
      </c>
      <c r="V53" s="2">
        <f t="shared" si="19"/>
        <v>488</v>
      </c>
      <c r="W53" s="2" t="str">
        <f t="shared" si="20"/>
        <v>-</v>
      </c>
      <c r="X53" s="25">
        <f t="shared" si="21"/>
        <v>1875</v>
      </c>
      <c r="Y53" s="29">
        <f t="shared" si="22"/>
        <v>5624</v>
      </c>
      <c r="Z53" s="29">
        <f t="shared" si="23"/>
        <v>6419</v>
      </c>
      <c r="AA53" s="2">
        <f t="shared" si="24"/>
        <v>1224</v>
      </c>
      <c r="AB53" s="2">
        <f t="shared" si="25"/>
        <v>843</v>
      </c>
      <c r="AC53" s="2">
        <f t="shared" si="26"/>
        <v>652</v>
      </c>
      <c r="AD53" s="2">
        <f t="shared" si="27"/>
        <v>537</v>
      </c>
      <c r="AE53" s="2">
        <f t="shared" si="28"/>
        <v>461</v>
      </c>
      <c r="AF53" s="2" t="str">
        <f t="shared" si="29"/>
        <v>-</v>
      </c>
      <c r="AG53" s="25">
        <f t="shared" si="30"/>
        <v>2625</v>
      </c>
      <c r="AH53" s="29">
        <f t="shared" si="31"/>
        <v>4874</v>
      </c>
      <c r="AI53" s="29">
        <f t="shared" si="32"/>
        <v>5669</v>
      </c>
      <c r="AJ53" s="2">
        <f t="shared" si="33"/>
        <v>1081</v>
      </c>
      <c r="AK53" s="2">
        <f t="shared" si="34"/>
        <v>744</v>
      </c>
      <c r="AL53" s="2">
        <f t="shared" si="35"/>
        <v>576</v>
      </c>
      <c r="AM53" s="2">
        <f t="shared" si="36"/>
        <v>475</v>
      </c>
      <c r="AN53" s="2">
        <f t="shared" si="37"/>
        <v>407</v>
      </c>
      <c r="AO53" s="2" t="str">
        <f t="shared" si="38"/>
        <v>-</v>
      </c>
      <c r="AP53" s="25">
        <f t="shared" si="39"/>
        <v>3000</v>
      </c>
      <c r="AQ53" s="29">
        <f t="shared" si="40"/>
        <v>4499</v>
      </c>
      <c r="AR53" s="29">
        <f t="shared" si="41"/>
        <v>5294</v>
      </c>
      <c r="AS53" s="2">
        <f t="shared" si="42"/>
        <v>1010</v>
      </c>
      <c r="AT53" s="2">
        <f t="shared" si="43"/>
        <v>695</v>
      </c>
      <c r="AU53" s="2">
        <f t="shared" si="44"/>
        <v>538</v>
      </c>
      <c r="AV53" s="2">
        <f t="shared" si="45"/>
        <v>443</v>
      </c>
      <c r="AW53" s="2" t="str">
        <f t="shared" si="46"/>
        <v>-</v>
      </c>
      <c r="AX53" s="2" t="str">
        <f t="shared" si="47"/>
        <v>-</v>
      </c>
    </row>
    <row r="54" ht="14.25" customHeight="1">
      <c r="A54" s="2" t="str">
        <f t="array" ref="A54">IFERROR(INDEX('Product Price'!A:A,SMALL('Product Price'!$D:$D,52)),"")</f>
        <v>Nubia NEO 3 5G 8/256 GB</v>
      </c>
      <c r="B54" s="29">
        <f t="array" ref="B54">IFERROR(INDEX('Product Price'!B:B,SMALL('Product Price'!$D:$D,52)),"")</f>
        <v>6499</v>
      </c>
      <c r="C54" s="2">
        <f t="array" ref="C54">IFERROR(INDEX('Product Price'!C:C,SMALL('Product Price'!$D:$D,52)),"")</f>
        <v>43</v>
      </c>
      <c r="D54" s="2">
        <f t="shared" si="1"/>
        <v>795</v>
      </c>
      <c r="E54" s="29">
        <f t="shared" si="2"/>
        <v>7294</v>
      </c>
      <c r="F54" s="25">
        <f t="shared" si="48"/>
        <v>975</v>
      </c>
      <c r="G54" s="29">
        <f t="shared" si="4"/>
        <v>5524</v>
      </c>
      <c r="H54" s="29">
        <f t="shared" si="5"/>
        <v>6319</v>
      </c>
      <c r="I54" s="2">
        <f t="shared" si="6"/>
        <v>1205</v>
      </c>
      <c r="J54" s="2">
        <f t="shared" si="7"/>
        <v>830</v>
      </c>
      <c r="K54" s="2">
        <f t="shared" si="8"/>
        <v>642</v>
      </c>
      <c r="L54" s="2">
        <f t="shared" si="9"/>
        <v>529</v>
      </c>
      <c r="M54" s="2">
        <f t="shared" si="10"/>
        <v>454</v>
      </c>
      <c r="N54" s="2" t="str">
        <f t="shared" si="11"/>
        <v>-</v>
      </c>
      <c r="O54" s="25">
        <f t="shared" si="12"/>
        <v>1300</v>
      </c>
      <c r="P54" s="29">
        <f t="shared" si="13"/>
        <v>5199</v>
      </c>
      <c r="Q54" s="29">
        <f t="shared" si="14"/>
        <v>5994</v>
      </c>
      <c r="R54" s="2">
        <f t="shared" si="15"/>
        <v>1143</v>
      </c>
      <c r="S54" s="2">
        <f t="shared" si="16"/>
        <v>787</v>
      </c>
      <c r="T54" s="2">
        <f t="shared" si="17"/>
        <v>609</v>
      </c>
      <c r="U54" s="2">
        <f t="shared" si="18"/>
        <v>502</v>
      </c>
      <c r="V54" s="2">
        <f t="shared" si="19"/>
        <v>431</v>
      </c>
      <c r="W54" s="2" t="str">
        <f t="shared" si="20"/>
        <v>-</v>
      </c>
      <c r="X54" s="25">
        <f t="shared" si="21"/>
        <v>1625</v>
      </c>
      <c r="Y54" s="29">
        <f t="shared" si="22"/>
        <v>4874</v>
      </c>
      <c r="Z54" s="29">
        <f t="shared" si="23"/>
        <v>5669</v>
      </c>
      <c r="AA54" s="2">
        <f t="shared" si="24"/>
        <v>1081</v>
      </c>
      <c r="AB54" s="2">
        <f t="shared" si="25"/>
        <v>744</v>
      </c>
      <c r="AC54" s="2">
        <f t="shared" si="26"/>
        <v>576</v>
      </c>
      <c r="AD54" s="2">
        <f t="shared" si="27"/>
        <v>475</v>
      </c>
      <c r="AE54" s="2">
        <f t="shared" si="28"/>
        <v>407</v>
      </c>
      <c r="AF54" s="2" t="str">
        <f t="shared" si="29"/>
        <v>-</v>
      </c>
      <c r="AG54" s="25">
        <f t="shared" si="30"/>
        <v>2275</v>
      </c>
      <c r="AH54" s="29">
        <f t="shared" si="31"/>
        <v>4224</v>
      </c>
      <c r="AI54" s="29">
        <f t="shared" si="32"/>
        <v>5019</v>
      </c>
      <c r="AJ54" s="2">
        <f t="shared" si="33"/>
        <v>957</v>
      </c>
      <c r="AK54" s="2">
        <f t="shared" si="34"/>
        <v>659</v>
      </c>
      <c r="AL54" s="2">
        <f t="shared" si="35"/>
        <v>510</v>
      </c>
      <c r="AM54" s="2">
        <f t="shared" si="36"/>
        <v>420</v>
      </c>
      <c r="AN54" s="2" t="str">
        <f t="shared" si="37"/>
        <v>-</v>
      </c>
      <c r="AO54" s="2" t="str">
        <f t="shared" si="38"/>
        <v>-</v>
      </c>
      <c r="AP54" s="25">
        <f t="shared" si="39"/>
        <v>2600</v>
      </c>
      <c r="AQ54" s="29">
        <f t="shared" si="40"/>
        <v>3899</v>
      </c>
      <c r="AR54" s="29">
        <f t="shared" si="41"/>
        <v>4694</v>
      </c>
      <c r="AS54" s="2">
        <f t="shared" si="42"/>
        <v>895</v>
      </c>
      <c r="AT54" s="2">
        <f t="shared" si="43"/>
        <v>616</v>
      </c>
      <c r="AU54" s="2">
        <f t="shared" si="44"/>
        <v>477</v>
      </c>
      <c r="AV54" s="2" t="str">
        <f t="shared" si="45"/>
        <v>-</v>
      </c>
      <c r="AW54" s="2" t="str">
        <f t="shared" si="46"/>
        <v>-</v>
      </c>
      <c r="AX54" s="2" t="str">
        <f t="shared" si="47"/>
        <v>-</v>
      </c>
    </row>
    <row r="55" ht="14.25" customHeight="1">
      <c r="A55" s="2" t="str">
        <f t="array" ref="A55">IFERROR(INDEX('Product Price'!A:A,SMALL('Product Price'!$D:$D,53)),"")</f>
        <v>realme 16 Pro+ 5G 12/512 GB</v>
      </c>
      <c r="B55" s="29">
        <f t="array" ref="B55">IFERROR(INDEX('Product Price'!B:B,SMALL('Product Price'!$D:$D,53)),"")</f>
        <v>23999</v>
      </c>
      <c r="C55" s="2">
        <f t="array" ref="C55">IFERROR(INDEX('Product Price'!C:C,SMALL('Product Price'!$D:$D,53)),"")</f>
        <v>44</v>
      </c>
      <c r="D55" s="2">
        <f t="shared" si="1"/>
        <v>1900</v>
      </c>
      <c r="E55" s="29">
        <f t="shared" si="2"/>
        <v>25899</v>
      </c>
      <c r="F55" s="25">
        <f t="shared" si="48"/>
        <v>3600</v>
      </c>
      <c r="G55" s="29">
        <f t="shared" si="4"/>
        <v>20399</v>
      </c>
      <c r="H55" s="29">
        <f t="shared" si="5"/>
        <v>22299</v>
      </c>
      <c r="I55" s="2">
        <f t="shared" si="6"/>
        <v>4252</v>
      </c>
      <c r="J55" s="2">
        <f t="shared" si="7"/>
        <v>2926</v>
      </c>
      <c r="K55" s="2">
        <f t="shared" si="8"/>
        <v>2263</v>
      </c>
      <c r="L55" s="2">
        <f t="shared" si="9"/>
        <v>1866</v>
      </c>
      <c r="M55" s="2">
        <f t="shared" si="10"/>
        <v>1600</v>
      </c>
      <c r="N55" s="2">
        <f t="shared" si="11"/>
        <v>1269</v>
      </c>
      <c r="O55" s="25">
        <f t="shared" si="12"/>
        <v>4800</v>
      </c>
      <c r="P55" s="29">
        <f t="shared" si="13"/>
        <v>19199</v>
      </c>
      <c r="Q55" s="29">
        <f t="shared" si="14"/>
        <v>21099</v>
      </c>
      <c r="R55" s="2">
        <f t="shared" si="15"/>
        <v>4023</v>
      </c>
      <c r="S55" s="2">
        <f t="shared" si="16"/>
        <v>2769</v>
      </c>
      <c r="T55" s="2">
        <f t="shared" si="17"/>
        <v>2141</v>
      </c>
      <c r="U55" s="2">
        <f t="shared" si="18"/>
        <v>1765</v>
      </c>
      <c r="V55" s="2">
        <f t="shared" si="19"/>
        <v>1514</v>
      </c>
      <c r="W55" s="2">
        <f t="shared" si="20"/>
        <v>1201</v>
      </c>
      <c r="X55" s="25">
        <f t="shared" si="21"/>
        <v>6000</v>
      </c>
      <c r="Y55" s="29">
        <f t="shared" si="22"/>
        <v>17999</v>
      </c>
      <c r="Z55" s="29">
        <f t="shared" si="23"/>
        <v>19899</v>
      </c>
      <c r="AA55" s="2">
        <f t="shared" si="24"/>
        <v>3794</v>
      </c>
      <c r="AB55" s="2">
        <f t="shared" si="25"/>
        <v>2611</v>
      </c>
      <c r="AC55" s="2">
        <f t="shared" si="26"/>
        <v>2020</v>
      </c>
      <c r="AD55" s="2">
        <f t="shared" si="27"/>
        <v>1665</v>
      </c>
      <c r="AE55" s="2">
        <f t="shared" si="28"/>
        <v>1428</v>
      </c>
      <c r="AF55" s="2">
        <f t="shared" si="29"/>
        <v>1133</v>
      </c>
      <c r="AG55" s="25">
        <f t="shared" si="30"/>
        <v>8400</v>
      </c>
      <c r="AH55" s="29">
        <f t="shared" si="31"/>
        <v>15599</v>
      </c>
      <c r="AI55" s="29">
        <f t="shared" si="32"/>
        <v>17499</v>
      </c>
      <c r="AJ55" s="2">
        <f t="shared" si="33"/>
        <v>3336</v>
      </c>
      <c r="AK55" s="2">
        <f t="shared" si="34"/>
        <v>2296</v>
      </c>
      <c r="AL55" s="2">
        <f t="shared" si="35"/>
        <v>1776</v>
      </c>
      <c r="AM55" s="2">
        <f t="shared" si="36"/>
        <v>1464</v>
      </c>
      <c r="AN55" s="2">
        <f t="shared" si="37"/>
        <v>1256</v>
      </c>
      <c r="AO55" s="2">
        <f t="shared" si="38"/>
        <v>996</v>
      </c>
      <c r="AP55" s="25">
        <f t="shared" si="39"/>
        <v>9600</v>
      </c>
      <c r="AQ55" s="29">
        <f t="shared" si="40"/>
        <v>14399</v>
      </c>
      <c r="AR55" s="29">
        <f t="shared" si="41"/>
        <v>16299</v>
      </c>
      <c r="AS55" s="2">
        <f t="shared" si="42"/>
        <v>3108</v>
      </c>
      <c r="AT55" s="2">
        <f t="shared" si="43"/>
        <v>2139</v>
      </c>
      <c r="AU55" s="2">
        <f t="shared" si="44"/>
        <v>1654</v>
      </c>
      <c r="AV55" s="2">
        <f t="shared" si="45"/>
        <v>1364</v>
      </c>
      <c r="AW55" s="2">
        <f t="shared" si="46"/>
        <v>1170</v>
      </c>
      <c r="AX55" s="2">
        <f t="shared" si="47"/>
        <v>928</v>
      </c>
    </row>
    <row r="56" ht="14.25" customHeight="1">
      <c r="A56" s="2" t="str">
        <f t="array" ref="A56">IFERROR(INDEX('Product Price'!A:A,SMALL('Product Price'!$D:$D,54)),"")</f>
        <v>realme 16 Pro+ 5G 12/256 GB</v>
      </c>
      <c r="B56" s="29">
        <f t="array" ref="B56">IFERROR(INDEX('Product Price'!B:B,SMALL('Product Price'!$D:$D,54)),"")</f>
        <v>17499</v>
      </c>
      <c r="C56" s="2">
        <f t="array" ref="C56">IFERROR(INDEX('Product Price'!C:C,SMALL('Product Price'!$D:$D,54)),"")</f>
        <v>45</v>
      </c>
      <c r="D56" s="2">
        <f t="shared" si="1"/>
        <v>1450</v>
      </c>
      <c r="E56" s="29">
        <f t="shared" si="2"/>
        <v>18949</v>
      </c>
      <c r="F56" s="25">
        <f t="shared" si="48"/>
        <v>2625</v>
      </c>
      <c r="G56" s="29">
        <f t="shared" si="4"/>
        <v>14874</v>
      </c>
      <c r="H56" s="29">
        <f t="shared" si="5"/>
        <v>16324</v>
      </c>
      <c r="I56" s="2">
        <f t="shared" si="6"/>
        <v>3112</v>
      </c>
      <c r="J56" s="2">
        <f t="shared" si="7"/>
        <v>2142</v>
      </c>
      <c r="K56" s="2">
        <f t="shared" si="8"/>
        <v>1657</v>
      </c>
      <c r="L56" s="2">
        <f t="shared" si="9"/>
        <v>1366</v>
      </c>
      <c r="M56" s="2">
        <f t="shared" si="10"/>
        <v>1172</v>
      </c>
      <c r="N56" s="2">
        <f t="shared" si="11"/>
        <v>929</v>
      </c>
      <c r="O56" s="25">
        <f t="shared" si="12"/>
        <v>3500</v>
      </c>
      <c r="P56" s="29">
        <f t="shared" si="13"/>
        <v>13999</v>
      </c>
      <c r="Q56" s="29">
        <f t="shared" si="14"/>
        <v>15449</v>
      </c>
      <c r="R56" s="2">
        <f t="shared" si="15"/>
        <v>2946</v>
      </c>
      <c r="S56" s="2">
        <f t="shared" si="16"/>
        <v>2027</v>
      </c>
      <c r="T56" s="2">
        <f t="shared" si="17"/>
        <v>1568</v>
      </c>
      <c r="U56" s="2">
        <f t="shared" si="18"/>
        <v>1293</v>
      </c>
      <c r="V56" s="2">
        <f t="shared" si="19"/>
        <v>1109</v>
      </c>
      <c r="W56" s="2">
        <f t="shared" si="20"/>
        <v>879</v>
      </c>
      <c r="X56" s="25">
        <f t="shared" si="21"/>
        <v>4375</v>
      </c>
      <c r="Y56" s="29">
        <f t="shared" si="22"/>
        <v>13124</v>
      </c>
      <c r="Z56" s="29">
        <f t="shared" si="23"/>
        <v>14574</v>
      </c>
      <c r="AA56" s="2">
        <f t="shared" si="24"/>
        <v>2779</v>
      </c>
      <c r="AB56" s="2">
        <f t="shared" si="25"/>
        <v>1913</v>
      </c>
      <c r="AC56" s="2">
        <f t="shared" si="26"/>
        <v>1479</v>
      </c>
      <c r="AD56" s="2">
        <f t="shared" si="27"/>
        <v>1219</v>
      </c>
      <c r="AE56" s="2">
        <f t="shared" si="28"/>
        <v>1046</v>
      </c>
      <c r="AF56" s="2">
        <f t="shared" si="29"/>
        <v>830</v>
      </c>
      <c r="AG56" s="25">
        <f t="shared" si="30"/>
        <v>6125</v>
      </c>
      <c r="AH56" s="29">
        <f t="shared" si="31"/>
        <v>11374</v>
      </c>
      <c r="AI56" s="29">
        <f t="shared" si="32"/>
        <v>12824</v>
      </c>
      <c r="AJ56" s="2">
        <f t="shared" si="33"/>
        <v>2445</v>
      </c>
      <c r="AK56" s="2">
        <f t="shared" si="34"/>
        <v>1683</v>
      </c>
      <c r="AL56" s="2">
        <f t="shared" si="35"/>
        <v>1302</v>
      </c>
      <c r="AM56" s="2">
        <f t="shared" si="36"/>
        <v>1073</v>
      </c>
      <c r="AN56" s="2">
        <f t="shared" si="37"/>
        <v>921</v>
      </c>
      <c r="AO56" s="2">
        <f t="shared" si="38"/>
        <v>730</v>
      </c>
      <c r="AP56" s="25">
        <f t="shared" si="39"/>
        <v>7000</v>
      </c>
      <c r="AQ56" s="29">
        <f t="shared" si="40"/>
        <v>10499</v>
      </c>
      <c r="AR56" s="29">
        <f t="shared" si="41"/>
        <v>11949</v>
      </c>
      <c r="AS56" s="2">
        <f t="shared" si="42"/>
        <v>2278</v>
      </c>
      <c r="AT56" s="2">
        <f t="shared" si="43"/>
        <v>1568</v>
      </c>
      <c r="AU56" s="2">
        <f t="shared" si="44"/>
        <v>1213</v>
      </c>
      <c r="AV56" s="2">
        <f t="shared" si="45"/>
        <v>1000</v>
      </c>
      <c r="AW56" s="2">
        <f t="shared" si="46"/>
        <v>858</v>
      </c>
      <c r="AX56" s="2">
        <f t="shared" si="47"/>
        <v>680</v>
      </c>
    </row>
    <row r="57" ht="14.25" customHeight="1">
      <c r="A57" s="2" t="str">
        <f t="array" ref="A57">IFERROR(INDEX('Product Price'!A:A,SMALL('Product Price'!$D:$D,55)),"")</f>
        <v>realme 16 Pro 5G 12/512 GB</v>
      </c>
      <c r="B57" s="29">
        <f t="array" ref="B57">IFERROR(INDEX('Product Price'!B:B,SMALL('Product Price'!$D:$D,55)),"")</f>
        <v>18999</v>
      </c>
      <c r="C57" s="2">
        <f t="array" ref="C57">IFERROR(INDEX('Product Price'!C:C,SMALL('Product Price'!$D:$D,55)),"")</f>
        <v>46</v>
      </c>
      <c r="D57" s="2">
        <f t="shared" si="1"/>
        <v>1450</v>
      </c>
      <c r="E57" s="29">
        <f t="shared" si="2"/>
        <v>20449</v>
      </c>
      <c r="F57" s="25">
        <f t="shared" si="48"/>
        <v>2850</v>
      </c>
      <c r="G57" s="29">
        <f t="shared" si="4"/>
        <v>16149</v>
      </c>
      <c r="H57" s="29">
        <f t="shared" si="5"/>
        <v>17599</v>
      </c>
      <c r="I57" s="2">
        <f t="shared" si="6"/>
        <v>3356</v>
      </c>
      <c r="J57" s="2">
        <f t="shared" si="7"/>
        <v>2309</v>
      </c>
      <c r="K57" s="2">
        <f t="shared" si="8"/>
        <v>1786</v>
      </c>
      <c r="L57" s="2">
        <f t="shared" si="9"/>
        <v>1472</v>
      </c>
      <c r="M57" s="2">
        <f t="shared" si="10"/>
        <v>1263</v>
      </c>
      <c r="N57" s="2">
        <f t="shared" si="11"/>
        <v>1002</v>
      </c>
      <c r="O57" s="25">
        <f t="shared" si="12"/>
        <v>3800</v>
      </c>
      <c r="P57" s="29">
        <f t="shared" si="13"/>
        <v>15199</v>
      </c>
      <c r="Q57" s="29">
        <f t="shared" si="14"/>
        <v>16649</v>
      </c>
      <c r="R57" s="2">
        <f t="shared" si="15"/>
        <v>3174</v>
      </c>
      <c r="S57" s="2">
        <f t="shared" si="16"/>
        <v>2185</v>
      </c>
      <c r="T57" s="2">
        <f t="shared" si="17"/>
        <v>1690</v>
      </c>
      <c r="U57" s="2">
        <f t="shared" si="18"/>
        <v>1393</v>
      </c>
      <c r="V57" s="2">
        <f t="shared" si="19"/>
        <v>1195</v>
      </c>
      <c r="W57" s="2">
        <f t="shared" si="20"/>
        <v>948</v>
      </c>
      <c r="X57" s="25">
        <f t="shared" si="21"/>
        <v>4750</v>
      </c>
      <c r="Y57" s="29">
        <f t="shared" si="22"/>
        <v>14249</v>
      </c>
      <c r="Z57" s="29">
        <f t="shared" si="23"/>
        <v>15699</v>
      </c>
      <c r="AA57" s="2">
        <f t="shared" si="24"/>
        <v>2993</v>
      </c>
      <c r="AB57" s="2">
        <f t="shared" si="25"/>
        <v>2060</v>
      </c>
      <c r="AC57" s="2">
        <f t="shared" si="26"/>
        <v>1594</v>
      </c>
      <c r="AD57" s="2">
        <f t="shared" si="27"/>
        <v>1314</v>
      </c>
      <c r="AE57" s="2">
        <f t="shared" si="28"/>
        <v>1127</v>
      </c>
      <c r="AF57" s="2">
        <f t="shared" si="29"/>
        <v>894</v>
      </c>
      <c r="AG57" s="25">
        <f t="shared" si="30"/>
        <v>6650</v>
      </c>
      <c r="AH57" s="29">
        <f t="shared" si="31"/>
        <v>12349</v>
      </c>
      <c r="AI57" s="29">
        <f t="shared" si="32"/>
        <v>13799</v>
      </c>
      <c r="AJ57" s="2">
        <f t="shared" si="33"/>
        <v>2631</v>
      </c>
      <c r="AK57" s="2">
        <f t="shared" si="34"/>
        <v>1811</v>
      </c>
      <c r="AL57" s="2">
        <f t="shared" si="35"/>
        <v>1401</v>
      </c>
      <c r="AM57" s="2">
        <f t="shared" si="36"/>
        <v>1155</v>
      </c>
      <c r="AN57" s="2">
        <f t="shared" si="37"/>
        <v>991</v>
      </c>
      <c r="AO57" s="2">
        <f t="shared" si="38"/>
        <v>786</v>
      </c>
      <c r="AP57" s="25">
        <f t="shared" si="39"/>
        <v>7600</v>
      </c>
      <c r="AQ57" s="29">
        <f t="shared" si="40"/>
        <v>11399</v>
      </c>
      <c r="AR57" s="29">
        <f t="shared" si="41"/>
        <v>12849</v>
      </c>
      <c r="AS57" s="2">
        <f t="shared" si="42"/>
        <v>2450</v>
      </c>
      <c r="AT57" s="2">
        <f t="shared" si="43"/>
        <v>1686</v>
      </c>
      <c r="AU57" s="2">
        <f t="shared" si="44"/>
        <v>1304</v>
      </c>
      <c r="AV57" s="2">
        <f t="shared" si="45"/>
        <v>1075</v>
      </c>
      <c r="AW57" s="2">
        <f t="shared" si="46"/>
        <v>922</v>
      </c>
      <c r="AX57" s="2">
        <f t="shared" si="47"/>
        <v>731</v>
      </c>
    </row>
    <row r="58" ht="14.25" customHeight="1">
      <c r="A58" s="2" t="str">
        <f t="array" ref="A58">IFERROR(INDEX('Product Price'!A:A,SMALL('Product Price'!$D:$D,56)),"")</f>
        <v>realme 16 Pro 5G 12/256 GB</v>
      </c>
      <c r="B58" s="29">
        <f t="array" ref="B58">IFERROR(INDEX('Product Price'!B:B,SMALL('Product Price'!$D:$D,56)),"")</f>
        <v>16999</v>
      </c>
      <c r="C58" s="2">
        <f t="array" ref="C58">IFERROR(INDEX('Product Price'!C:C,SMALL('Product Price'!$D:$D,56)),"")</f>
        <v>47</v>
      </c>
      <c r="D58" s="2">
        <f t="shared" si="1"/>
        <v>1450</v>
      </c>
      <c r="E58" s="29">
        <f t="shared" si="2"/>
        <v>18449</v>
      </c>
      <c r="F58" s="25">
        <f t="shared" si="48"/>
        <v>2550</v>
      </c>
      <c r="G58" s="29">
        <f t="shared" si="4"/>
        <v>14449</v>
      </c>
      <c r="H58" s="29">
        <f t="shared" si="5"/>
        <v>15899</v>
      </c>
      <c r="I58" s="2">
        <f t="shared" si="6"/>
        <v>3031</v>
      </c>
      <c r="J58" s="2">
        <f t="shared" si="7"/>
        <v>2086</v>
      </c>
      <c r="K58" s="2">
        <f t="shared" si="8"/>
        <v>1614</v>
      </c>
      <c r="L58" s="2">
        <f t="shared" si="9"/>
        <v>1330</v>
      </c>
      <c r="M58" s="2">
        <f t="shared" si="10"/>
        <v>1141</v>
      </c>
      <c r="N58" s="2">
        <f t="shared" si="11"/>
        <v>905</v>
      </c>
      <c r="O58" s="25">
        <f t="shared" si="12"/>
        <v>3400</v>
      </c>
      <c r="P58" s="29">
        <f t="shared" si="13"/>
        <v>13599</v>
      </c>
      <c r="Q58" s="29">
        <f t="shared" si="14"/>
        <v>15049</v>
      </c>
      <c r="R58" s="2">
        <f t="shared" si="15"/>
        <v>2869</v>
      </c>
      <c r="S58" s="2">
        <f t="shared" si="16"/>
        <v>1975</v>
      </c>
      <c r="T58" s="2">
        <f t="shared" si="17"/>
        <v>1528</v>
      </c>
      <c r="U58" s="2">
        <f t="shared" si="18"/>
        <v>1259</v>
      </c>
      <c r="V58" s="2">
        <f t="shared" si="19"/>
        <v>1080</v>
      </c>
      <c r="W58" s="2">
        <f t="shared" si="20"/>
        <v>857</v>
      </c>
      <c r="X58" s="25">
        <f t="shared" si="21"/>
        <v>4250</v>
      </c>
      <c r="Y58" s="29">
        <f t="shared" si="22"/>
        <v>12749</v>
      </c>
      <c r="Z58" s="29">
        <f t="shared" si="23"/>
        <v>14199</v>
      </c>
      <c r="AA58" s="2">
        <f t="shared" si="24"/>
        <v>2707</v>
      </c>
      <c r="AB58" s="2">
        <f t="shared" si="25"/>
        <v>1863</v>
      </c>
      <c r="AC58" s="2">
        <f t="shared" si="26"/>
        <v>1441</v>
      </c>
      <c r="AD58" s="2">
        <f t="shared" si="27"/>
        <v>1188</v>
      </c>
      <c r="AE58" s="2">
        <f t="shared" si="28"/>
        <v>1019</v>
      </c>
      <c r="AF58" s="2">
        <f t="shared" si="29"/>
        <v>808</v>
      </c>
      <c r="AG58" s="25">
        <f t="shared" si="30"/>
        <v>5950</v>
      </c>
      <c r="AH58" s="29">
        <f t="shared" si="31"/>
        <v>11049</v>
      </c>
      <c r="AI58" s="29">
        <f t="shared" si="32"/>
        <v>12499</v>
      </c>
      <c r="AJ58" s="2">
        <f t="shared" si="33"/>
        <v>2383</v>
      </c>
      <c r="AK58" s="2">
        <f t="shared" si="34"/>
        <v>1640</v>
      </c>
      <c r="AL58" s="2">
        <f t="shared" si="35"/>
        <v>1269</v>
      </c>
      <c r="AM58" s="2">
        <f t="shared" si="36"/>
        <v>1046</v>
      </c>
      <c r="AN58" s="2">
        <f t="shared" si="37"/>
        <v>897</v>
      </c>
      <c r="AO58" s="2">
        <f t="shared" si="38"/>
        <v>712</v>
      </c>
      <c r="AP58" s="25">
        <f t="shared" si="39"/>
        <v>6800</v>
      </c>
      <c r="AQ58" s="29">
        <f t="shared" si="40"/>
        <v>10199</v>
      </c>
      <c r="AR58" s="29">
        <f t="shared" si="41"/>
        <v>11649</v>
      </c>
      <c r="AS58" s="2">
        <f t="shared" si="42"/>
        <v>2221</v>
      </c>
      <c r="AT58" s="2">
        <f t="shared" si="43"/>
        <v>1529</v>
      </c>
      <c r="AU58" s="2">
        <f t="shared" si="44"/>
        <v>1183</v>
      </c>
      <c r="AV58" s="2">
        <f t="shared" si="45"/>
        <v>975</v>
      </c>
      <c r="AW58" s="2">
        <f t="shared" si="46"/>
        <v>836</v>
      </c>
      <c r="AX58" s="2">
        <f t="shared" si="47"/>
        <v>663</v>
      </c>
    </row>
    <row r="59" ht="14.25" customHeight="1">
      <c r="A59" s="2" t="str">
        <f t="array" ref="A59">IFERROR(INDEX('Product Price'!A:A,SMALL('Product Price'!$D:$D,57)),"")</f>
        <v>realme 16 5G 8/256 GB</v>
      </c>
      <c r="B59" s="29">
        <f t="array" ref="B59">IFERROR(INDEX('Product Price'!B:B,SMALL('Product Price'!$D:$D,57)),"")</f>
        <v>13999</v>
      </c>
      <c r="C59" s="2">
        <f t="array" ref="C59">IFERROR(INDEX('Product Price'!C:C,SMALL('Product Price'!$D:$D,57)),"")</f>
        <v>48</v>
      </c>
      <c r="D59" s="2">
        <f t="shared" si="1"/>
        <v>1450</v>
      </c>
      <c r="E59" s="29">
        <f t="shared" si="2"/>
        <v>15449</v>
      </c>
      <c r="F59" s="25">
        <f t="shared" si="48"/>
        <v>2100</v>
      </c>
      <c r="G59" s="29">
        <f t="shared" si="4"/>
        <v>11899</v>
      </c>
      <c r="H59" s="29">
        <f t="shared" si="5"/>
        <v>13349</v>
      </c>
      <c r="I59" s="2">
        <f t="shared" si="6"/>
        <v>2545</v>
      </c>
      <c r="J59" s="2">
        <f t="shared" si="7"/>
        <v>1752</v>
      </c>
      <c r="K59" s="2">
        <f t="shared" si="8"/>
        <v>1355</v>
      </c>
      <c r="L59" s="2">
        <f t="shared" si="9"/>
        <v>1117</v>
      </c>
      <c r="M59" s="2">
        <f t="shared" si="10"/>
        <v>958</v>
      </c>
      <c r="N59" s="2">
        <f t="shared" si="11"/>
        <v>760</v>
      </c>
      <c r="O59" s="25">
        <f t="shared" si="12"/>
        <v>2800</v>
      </c>
      <c r="P59" s="29">
        <f t="shared" si="13"/>
        <v>11199</v>
      </c>
      <c r="Q59" s="29">
        <f t="shared" si="14"/>
        <v>12649</v>
      </c>
      <c r="R59" s="2">
        <f t="shared" si="15"/>
        <v>2412</v>
      </c>
      <c r="S59" s="2">
        <f t="shared" si="16"/>
        <v>1660</v>
      </c>
      <c r="T59" s="2">
        <f t="shared" si="17"/>
        <v>1284</v>
      </c>
      <c r="U59" s="2">
        <f t="shared" si="18"/>
        <v>1058</v>
      </c>
      <c r="V59" s="2">
        <f t="shared" si="19"/>
        <v>908</v>
      </c>
      <c r="W59" s="2">
        <f t="shared" si="20"/>
        <v>720</v>
      </c>
      <c r="X59" s="25">
        <f t="shared" si="21"/>
        <v>3500</v>
      </c>
      <c r="Y59" s="29">
        <f t="shared" si="22"/>
        <v>10499</v>
      </c>
      <c r="Z59" s="29">
        <f t="shared" si="23"/>
        <v>11949</v>
      </c>
      <c r="AA59" s="2">
        <f t="shared" si="24"/>
        <v>2278</v>
      </c>
      <c r="AB59" s="2">
        <f t="shared" si="25"/>
        <v>1568</v>
      </c>
      <c r="AC59" s="2">
        <f t="shared" si="26"/>
        <v>1213</v>
      </c>
      <c r="AD59" s="2">
        <f t="shared" si="27"/>
        <v>1000</v>
      </c>
      <c r="AE59" s="2">
        <f t="shared" si="28"/>
        <v>858</v>
      </c>
      <c r="AF59" s="2">
        <f t="shared" si="29"/>
        <v>680</v>
      </c>
      <c r="AG59" s="25">
        <f t="shared" si="30"/>
        <v>4900</v>
      </c>
      <c r="AH59" s="29">
        <f t="shared" si="31"/>
        <v>9099</v>
      </c>
      <c r="AI59" s="29">
        <f t="shared" si="32"/>
        <v>10549</v>
      </c>
      <c r="AJ59" s="2">
        <f t="shared" si="33"/>
        <v>2012</v>
      </c>
      <c r="AK59" s="2">
        <f t="shared" si="34"/>
        <v>1384</v>
      </c>
      <c r="AL59" s="2">
        <f t="shared" si="35"/>
        <v>1071</v>
      </c>
      <c r="AM59" s="2">
        <f t="shared" si="36"/>
        <v>883</v>
      </c>
      <c r="AN59" s="2">
        <f t="shared" si="37"/>
        <v>757</v>
      </c>
      <c r="AO59" s="2">
        <f t="shared" si="38"/>
        <v>601</v>
      </c>
      <c r="AP59" s="25">
        <f t="shared" si="39"/>
        <v>5600</v>
      </c>
      <c r="AQ59" s="29">
        <f t="shared" si="40"/>
        <v>8399</v>
      </c>
      <c r="AR59" s="29">
        <f t="shared" si="41"/>
        <v>9849</v>
      </c>
      <c r="AS59" s="2">
        <f t="shared" si="42"/>
        <v>1878</v>
      </c>
      <c r="AT59" s="2">
        <f t="shared" si="43"/>
        <v>1293</v>
      </c>
      <c r="AU59" s="2">
        <f t="shared" si="44"/>
        <v>1000</v>
      </c>
      <c r="AV59" s="2">
        <f t="shared" si="45"/>
        <v>824</v>
      </c>
      <c r="AW59" s="2">
        <f t="shared" si="46"/>
        <v>707</v>
      </c>
      <c r="AX59" s="2">
        <f t="shared" si="47"/>
        <v>561</v>
      </c>
    </row>
    <row r="60" ht="14.25" customHeight="1">
      <c r="A60" s="2" t="str">
        <f t="array" ref="A60">IFERROR(INDEX('Product Price'!A:A,SMALL('Product Price'!$D:$D,58)),"")</f>
        <v>realme C85 5G 8/256 GB</v>
      </c>
      <c r="B60" s="29">
        <f t="array" ref="B60">IFERROR(INDEX('Product Price'!B:B,SMALL('Product Price'!$D:$D,58)),"")</f>
        <v>9999</v>
      </c>
      <c r="C60" s="2">
        <f t="array" ref="C60">IFERROR(INDEX('Product Price'!C:C,SMALL('Product Price'!$D:$D,58)),"")</f>
        <v>49</v>
      </c>
      <c r="D60" s="2">
        <f t="shared" si="1"/>
        <v>795</v>
      </c>
      <c r="E60" s="29">
        <f t="shared" si="2"/>
        <v>10794</v>
      </c>
      <c r="F60" s="25">
        <f t="shared" si="48"/>
        <v>1500</v>
      </c>
      <c r="G60" s="29">
        <f t="shared" si="4"/>
        <v>8499</v>
      </c>
      <c r="H60" s="29">
        <f t="shared" si="5"/>
        <v>9294</v>
      </c>
      <c r="I60" s="2">
        <f t="shared" si="6"/>
        <v>1772</v>
      </c>
      <c r="J60" s="2">
        <f t="shared" si="7"/>
        <v>1220</v>
      </c>
      <c r="K60" s="2">
        <f t="shared" si="8"/>
        <v>944</v>
      </c>
      <c r="L60" s="2">
        <f t="shared" si="9"/>
        <v>778</v>
      </c>
      <c r="M60" s="2">
        <f t="shared" si="10"/>
        <v>667</v>
      </c>
      <c r="N60" s="2">
        <f t="shared" si="11"/>
        <v>529</v>
      </c>
      <c r="O60" s="25">
        <f t="shared" si="12"/>
        <v>2000</v>
      </c>
      <c r="P60" s="29">
        <f t="shared" si="13"/>
        <v>7999</v>
      </c>
      <c r="Q60" s="29">
        <f t="shared" si="14"/>
        <v>8794</v>
      </c>
      <c r="R60" s="2">
        <f t="shared" si="15"/>
        <v>1677</v>
      </c>
      <c r="S60" s="2">
        <f t="shared" si="16"/>
        <v>1154</v>
      </c>
      <c r="T60" s="2">
        <f t="shared" si="17"/>
        <v>893</v>
      </c>
      <c r="U60" s="2">
        <f t="shared" si="18"/>
        <v>736</v>
      </c>
      <c r="V60" s="2">
        <f t="shared" si="19"/>
        <v>631</v>
      </c>
      <c r="W60" s="2">
        <f t="shared" si="20"/>
        <v>501</v>
      </c>
      <c r="X60" s="25">
        <f t="shared" si="21"/>
        <v>2500</v>
      </c>
      <c r="Y60" s="29">
        <f t="shared" si="22"/>
        <v>7499</v>
      </c>
      <c r="Z60" s="29">
        <f t="shared" si="23"/>
        <v>8294</v>
      </c>
      <c r="AA60" s="2">
        <f t="shared" si="24"/>
        <v>1582</v>
      </c>
      <c r="AB60" s="2">
        <f t="shared" si="25"/>
        <v>1089</v>
      </c>
      <c r="AC60" s="2">
        <f t="shared" si="26"/>
        <v>842</v>
      </c>
      <c r="AD60" s="2">
        <f t="shared" si="27"/>
        <v>694</v>
      </c>
      <c r="AE60" s="2">
        <f t="shared" si="28"/>
        <v>596</v>
      </c>
      <c r="AF60" s="2">
        <f t="shared" si="29"/>
        <v>472</v>
      </c>
      <c r="AG60" s="25">
        <f t="shared" si="30"/>
        <v>3500</v>
      </c>
      <c r="AH60" s="29">
        <f t="shared" si="31"/>
        <v>6499</v>
      </c>
      <c r="AI60" s="29">
        <f t="shared" si="32"/>
        <v>7294</v>
      </c>
      <c r="AJ60" s="2">
        <f t="shared" si="33"/>
        <v>1391</v>
      </c>
      <c r="AK60" s="2">
        <f t="shared" si="34"/>
        <v>957</v>
      </c>
      <c r="AL60" s="2">
        <f t="shared" si="35"/>
        <v>741</v>
      </c>
      <c r="AM60" s="2">
        <f t="shared" si="36"/>
        <v>611</v>
      </c>
      <c r="AN60" s="2">
        <f t="shared" si="37"/>
        <v>524</v>
      </c>
      <c r="AO60" s="2">
        <f t="shared" si="38"/>
        <v>415</v>
      </c>
      <c r="AP60" s="25">
        <f t="shared" si="39"/>
        <v>4000</v>
      </c>
      <c r="AQ60" s="29">
        <f t="shared" si="40"/>
        <v>5999</v>
      </c>
      <c r="AR60" s="29">
        <f t="shared" si="41"/>
        <v>6794</v>
      </c>
      <c r="AS60" s="2">
        <f t="shared" si="42"/>
        <v>1296</v>
      </c>
      <c r="AT60" s="2">
        <f t="shared" si="43"/>
        <v>892</v>
      </c>
      <c r="AU60" s="2">
        <f t="shared" si="44"/>
        <v>690</v>
      </c>
      <c r="AV60" s="2">
        <f t="shared" si="45"/>
        <v>569</v>
      </c>
      <c r="AW60" s="2">
        <f t="shared" si="46"/>
        <v>488</v>
      </c>
      <c r="AX60" s="2" t="str">
        <f t="shared" si="47"/>
        <v>-</v>
      </c>
    </row>
    <row r="61" ht="14.25" customHeight="1">
      <c r="A61" s="2" t="str">
        <f t="array" ref="A61">IFERROR(INDEX('Product Price'!A:A,SMALL('Product Price'!$D:$D,59)),"")</f>
        <v>realme C85 5G 8/128 GB</v>
      </c>
      <c r="B61" s="29">
        <f t="array" ref="B61">IFERROR(INDEX('Product Price'!B:B,SMALL('Product Price'!$D:$D,59)),"")</f>
        <v>8999</v>
      </c>
      <c r="C61" s="2">
        <f t="array" ref="C61">IFERROR(INDEX('Product Price'!C:C,SMALL('Product Price'!$D:$D,59)),"")</f>
        <v>50</v>
      </c>
      <c r="D61" s="2">
        <f t="shared" si="1"/>
        <v>795</v>
      </c>
      <c r="E61" s="29">
        <f t="shared" si="2"/>
        <v>9794</v>
      </c>
      <c r="F61" s="25">
        <f t="shared" si="48"/>
        <v>1350</v>
      </c>
      <c r="G61" s="29">
        <f t="shared" si="4"/>
        <v>7649</v>
      </c>
      <c r="H61" s="29">
        <f t="shared" si="5"/>
        <v>8444</v>
      </c>
      <c r="I61" s="2">
        <f t="shared" si="6"/>
        <v>1610</v>
      </c>
      <c r="J61" s="2">
        <f t="shared" si="7"/>
        <v>1108</v>
      </c>
      <c r="K61" s="2">
        <f t="shared" si="8"/>
        <v>857</v>
      </c>
      <c r="L61" s="2">
        <f t="shared" si="9"/>
        <v>707</v>
      </c>
      <c r="M61" s="2">
        <f t="shared" si="10"/>
        <v>606</v>
      </c>
      <c r="N61" s="2">
        <f t="shared" si="11"/>
        <v>481</v>
      </c>
      <c r="O61" s="25">
        <f t="shared" si="12"/>
        <v>1800</v>
      </c>
      <c r="P61" s="29">
        <f t="shared" si="13"/>
        <v>7199</v>
      </c>
      <c r="Q61" s="29">
        <f t="shared" si="14"/>
        <v>7994</v>
      </c>
      <c r="R61" s="2">
        <f t="shared" si="15"/>
        <v>1524</v>
      </c>
      <c r="S61" s="2">
        <f t="shared" si="16"/>
        <v>1049</v>
      </c>
      <c r="T61" s="2">
        <f t="shared" si="17"/>
        <v>812</v>
      </c>
      <c r="U61" s="2">
        <f t="shared" si="18"/>
        <v>669</v>
      </c>
      <c r="V61" s="2">
        <f t="shared" si="19"/>
        <v>574</v>
      </c>
      <c r="W61" s="2">
        <f t="shared" si="20"/>
        <v>455</v>
      </c>
      <c r="X61" s="25">
        <f t="shared" si="21"/>
        <v>2250</v>
      </c>
      <c r="Y61" s="29">
        <f t="shared" si="22"/>
        <v>6749</v>
      </c>
      <c r="Z61" s="29">
        <f t="shared" si="23"/>
        <v>7544</v>
      </c>
      <c r="AA61" s="2">
        <f t="shared" si="24"/>
        <v>1439</v>
      </c>
      <c r="AB61" s="2">
        <f t="shared" si="25"/>
        <v>990</v>
      </c>
      <c r="AC61" s="2">
        <f t="shared" si="26"/>
        <v>766</v>
      </c>
      <c r="AD61" s="2">
        <f t="shared" si="27"/>
        <v>631</v>
      </c>
      <c r="AE61" s="2">
        <f t="shared" si="28"/>
        <v>542</v>
      </c>
      <c r="AF61" s="2">
        <f t="shared" si="29"/>
        <v>430</v>
      </c>
      <c r="AG61" s="25">
        <f t="shared" si="30"/>
        <v>3150</v>
      </c>
      <c r="AH61" s="29">
        <f t="shared" si="31"/>
        <v>5849</v>
      </c>
      <c r="AI61" s="29">
        <f t="shared" si="32"/>
        <v>6644</v>
      </c>
      <c r="AJ61" s="2">
        <f t="shared" si="33"/>
        <v>1267</v>
      </c>
      <c r="AK61" s="2">
        <f t="shared" si="34"/>
        <v>872</v>
      </c>
      <c r="AL61" s="2">
        <f t="shared" si="35"/>
        <v>675</v>
      </c>
      <c r="AM61" s="2">
        <f t="shared" si="36"/>
        <v>556</v>
      </c>
      <c r="AN61" s="2">
        <f t="shared" si="37"/>
        <v>477</v>
      </c>
      <c r="AO61" s="2" t="str">
        <f t="shared" si="38"/>
        <v>-</v>
      </c>
      <c r="AP61" s="25">
        <f t="shared" si="39"/>
        <v>3600</v>
      </c>
      <c r="AQ61" s="29">
        <f t="shared" si="40"/>
        <v>5399</v>
      </c>
      <c r="AR61" s="29">
        <f t="shared" si="41"/>
        <v>6194</v>
      </c>
      <c r="AS61" s="2">
        <f t="shared" si="42"/>
        <v>1181</v>
      </c>
      <c r="AT61" s="2">
        <f t="shared" si="43"/>
        <v>813</v>
      </c>
      <c r="AU61" s="2">
        <f t="shared" si="44"/>
        <v>629</v>
      </c>
      <c r="AV61" s="2">
        <f t="shared" si="45"/>
        <v>519</v>
      </c>
      <c r="AW61" s="2">
        <f t="shared" si="46"/>
        <v>445</v>
      </c>
      <c r="AX61" s="2" t="str">
        <f t="shared" si="47"/>
        <v>-</v>
      </c>
    </row>
    <row r="62" ht="14.25" customHeight="1">
      <c r="A62" s="2" t="str">
        <f t="array" ref="A62">IFERROR(INDEX('Product Price'!A:A,SMALL('Product Price'!$D:$D,60)),"")</f>
        <v>realme C85 4G 8/128 GB</v>
      </c>
      <c r="B62" s="29">
        <f t="array" ref="B62">IFERROR(INDEX('Product Price'!B:B,SMALL('Product Price'!$D:$D,60)),"")</f>
        <v>5999</v>
      </c>
      <c r="C62" s="2">
        <f t="array" ref="C62">IFERROR(INDEX('Product Price'!C:C,SMALL('Product Price'!$D:$D,60)),"")</f>
        <v>51</v>
      </c>
      <c r="D62" s="2">
        <f t="shared" si="1"/>
        <v>795</v>
      </c>
      <c r="E62" s="29">
        <f t="shared" si="2"/>
        <v>6794</v>
      </c>
      <c r="F62" s="25">
        <f t="shared" si="48"/>
        <v>900</v>
      </c>
      <c r="G62" s="29">
        <f t="shared" si="4"/>
        <v>5099</v>
      </c>
      <c r="H62" s="29">
        <f t="shared" si="5"/>
        <v>5894</v>
      </c>
      <c r="I62" s="2">
        <f t="shared" si="6"/>
        <v>1124</v>
      </c>
      <c r="J62" s="2">
        <f t="shared" si="7"/>
        <v>774</v>
      </c>
      <c r="K62" s="2">
        <f t="shared" si="8"/>
        <v>599</v>
      </c>
      <c r="L62" s="2">
        <f t="shared" si="9"/>
        <v>493</v>
      </c>
      <c r="M62" s="2">
        <f t="shared" si="10"/>
        <v>423</v>
      </c>
      <c r="N62" s="2" t="str">
        <f t="shared" si="11"/>
        <v>-</v>
      </c>
      <c r="O62" s="25">
        <f t="shared" si="12"/>
        <v>1200</v>
      </c>
      <c r="P62" s="29">
        <f t="shared" si="13"/>
        <v>4799</v>
      </c>
      <c r="Q62" s="29">
        <f t="shared" si="14"/>
        <v>5594</v>
      </c>
      <c r="R62" s="2">
        <f t="shared" si="15"/>
        <v>1067</v>
      </c>
      <c r="S62" s="2">
        <f t="shared" si="16"/>
        <v>734</v>
      </c>
      <c r="T62" s="2">
        <f t="shared" si="17"/>
        <v>568</v>
      </c>
      <c r="U62" s="2">
        <f t="shared" si="18"/>
        <v>468</v>
      </c>
      <c r="V62" s="2">
        <f t="shared" si="19"/>
        <v>402</v>
      </c>
      <c r="W62" s="2" t="str">
        <f t="shared" si="20"/>
        <v>-</v>
      </c>
      <c r="X62" s="25">
        <f t="shared" si="21"/>
        <v>1500</v>
      </c>
      <c r="Y62" s="29">
        <f t="shared" si="22"/>
        <v>4499</v>
      </c>
      <c r="Z62" s="29">
        <f t="shared" si="23"/>
        <v>5294</v>
      </c>
      <c r="AA62" s="2">
        <f t="shared" si="24"/>
        <v>1010</v>
      </c>
      <c r="AB62" s="2">
        <f t="shared" si="25"/>
        <v>695</v>
      </c>
      <c r="AC62" s="2">
        <f t="shared" si="26"/>
        <v>538</v>
      </c>
      <c r="AD62" s="2">
        <f t="shared" si="27"/>
        <v>443</v>
      </c>
      <c r="AE62" s="2" t="str">
        <f t="shared" si="28"/>
        <v>-</v>
      </c>
      <c r="AF62" s="2" t="str">
        <f t="shared" si="29"/>
        <v>-</v>
      </c>
      <c r="AG62" s="25">
        <f t="shared" si="30"/>
        <v>2100</v>
      </c>
      <c r="AH62" s="29">
        <f t="shared" si="31"/>
        <v>3899</v>
      </c>
      <c r="AI62" s="29">
        <f t="shared" si="32"/>
        <v>4694</v>
      </c>
      <c r="AJ62" s="2">
        <f t="shared" si="33"/>
        <v>895</v>
      </c>
      <c r="AK62" s="2">
        <f t="shared" si="34"/>
        <v>616</v>
      </c>
      <c r="AL62" s="2">
        <f t="shared" si="35"/>
        <v>477</v>
      </c>
      <c r="AM62" s="2" t="str">
        <f t="shared" si="36"/>
        <v>-</v>
      </c>
      <c r="AN62" s="2" t="str">
        <f t="shared" si="37"/>
        <v>-</v>
      </c>
      <c r="AO62" s="2" t="str">
        <f t="shared" si="38"/>
        <v>-</v>
      </c>
      <c r="AP62" s="25">
        <f t="shared" si="39"/>
        <v>2400</v>
      </c>
      <c r="AQ62" s="29">
        <f t="shared" si="40"/>
        <v>3599</v>
      </c>
      <c r="AR62" s="29">
        <f t="shared" si="41"/>
        <v>4394</v>
      </c>
      <c r="AS62" s="2">
        <f t="shared" si="42"/>
        <v>838</v>
      </c>
      <c r="AT62" s="2">
        <f t="shared" si="43"/>
        <v>577</v>
      </c>
      <c r="AU62" s="2">
        <f t="shared" si="44"/>
        <v>446</v>
      </c>
      <c r="AV62" s="2" t="str">
        <f t="shared" si="45"/>
        <v>-</v>
      </c>
      <c r="AW62" s="2" t="str">
        <f t="shared" si="46"/>
        <v>-</v>
      </c>
      <c r="AX62" s="2" t="str">
        <f t="shared" si="47"/>
        <v>-</v>
      </c>
    </row>
    <row r="63" ht="14.25" customHeight="1">
      <c r="A63" s="2" t="str">
        <f t="array" ref="A63">IFERROR(INDEX('Product Price'!A:A,SMALL('Product Price'!$D:$D,61)),"")</f>
        <v>realme C100 5G 6/128 GB</v>
      </c>
      <c r="B63" s="2">
        <f t="array" ref="B63">IFERROR(INDEX('Product Price'!B:B,SMALL('Product Price'!$D:$D,61)),"")</f>
        <v>8499</v>
      </c>
      <c r="C63" s="2">
        <f t="array" ref="C63">IFERROR(INDEX('Product Price'!C:C,SMALL('Product Price'!$D:$D,61)),"")</f>
        <v>52</v>
      </c>
      <c r="D63" s="2">
        <f t="shared" si="1"/>
        <v>795</v>
      </c>
      <c r="E63" s="2">
        <f t="shared" si="2"/>
        <v>9294</v>
      </c>
      <c r="F63" s="2">
        <f t="shared" si="48"/>
        <v>1275</v>
      </c>
      <c r="G63" s="2">
        <f t="shared" si="4"/>
        <v>7224</v>
      </c>
      <c r="H63" s="2">
        <f t="shared" si="5"/>
        <v>8019</v>
      </c>
      <c r="I63" s="2">
        <f t="shared" si="6"/>
        <v>1529</v>
      </c>
      <c r="J63" s="2">
        <f t="shared" si="7"/>
        <v>1053</v>
      </c>
      <c r="K63" s="2">
        <f t="shared" si="8"/>
        <v>814</v>
      </c>
      <c r="L63" s="2">
        <f t="shared" si="9"/>
        <v>671</v>
      </c>
      <c r="M63" s="2">
        <f t="shared" si="10"/>
        <v>576</v>
      </c>
      <c r="N63" s="2">
        <f t="shared" si="11"/>
        <v>457</v>
      </c>
      <c r="O63" s="2">
        <f t="shared" si="12"/>
        <v>1700</v>
      </c>
      <c r="P63" s="2">
        <f t="shared" si="13"/>
        <v>6799</v>
      </c>
      <c r="Q63" s="2">
        <f t="shared" si="14"/>
        <v>7594</v>
      </c>
      <c r="R63" s="2">
        <f t="shared" si="15"/>
        <v>1448</v>
      </c>
      <c r="S63" s="2">
        <f t="shared" si="16"/>
        <v>997</v>
      </c>
      <c r="T63" s="2">
        <f t="shared" si="17"/>
        <v>771</v>
      </c>
      <c r="U63" s="2">
        <f t="shared" si="18"/>
        <v>636</v>
      </c>
      <c r="V63" s="2">
        <f t="shared" si="19"/>
        <v>545</v>
      </c>
      <c r="W63" s="2">
        <f t="shared" si="20"/>
        <v>433</v>
      </c>
      <c r="X63" s="2">
        <f t="shared" si="21"/>
        <v>2125</v>
      </c>
      <c r="Y63" s="2">
        <f t="shared" si="22"/>
        <v>6374</v>
      </c>
      <c r="Z63" s="2">
        <f t="shared" si="23"/>
        <v>7169</v>
      </c>
      <c r="AA63" s="2">
        <f t="shared" si="24"/>
        <v>1367</v>
      </c>
      <c r="AB63" s="2">
        <f t="shared" si="25"/>
        <v>941</v>
      </c>
      <c r="AC63" s="2">
        <f t="shared" si="26"/>
        <v>728</v>
      </c>
      <c r="AD63" s="2">
        <f t="shared" si="27"/>
        <v>600</v>
      </c>
      <c r="AE63" s="2">
        <f t="shared" si="28"/>
        <v>515</v>
      </c>
      <c r="AF63" s="2">
        <f t="shared" si="29"/>
        <v>408</v>
      </c>
      <c r="AG63" s="2">
        <f t="shared" si="30"/>
        <v>2975</v>
      </c>
      <c r="AH63" s="2">
        <f t="shared" si="31"/>
        <v>5524</v>
      </c>
      <c r="AI63" s="2">
        <f t="shared" si="32"/>
        <v>6319</v>
      </c>
      <c r="AJ63" s="2">
        <f t="shared" si="33"/>
        <v>1205</v>
      </c>
      <c r="AK63" s="2">
        <f t="shared" si="34"/>
        <v>830</v>
      </c>
      <c r="AL63" s="2">
        <f t="shared" si="35"/>
        <v>642</v>
      </c>
      <c r="AM63" s="2">
        <f t="shared" si="36"/>
        <v>529</v>
      </c>
      <c r="AN63" s="2">
        <f t="shared" si="37"/>
        <v>454</v>
      </c>
      <c r="AO63" s="2" t="str">
        <f t="shared" si="38"/>
        <v>-</v>
      </c>
      <c r="AP63" s="2">
        <f t="shared" si="39"/>
        <v>3400</v>
      </c>
      <c r="AQ63" s="2">
        <f t="shared" si="40"/>
        <v>5099</v>
      </c>
      <c r="AR63" s="2">
        <f t="shared" si="41"/>
        <v>5894</v>
      </c>
      <c r="AS63" s="2">
        <f t="shared" si="42"/>
        <v>1124</v>
      </c>
      <c r="AT63" s="2">
        <f t="shared" si="43"/>
        <v>774</v>
      </c>
      <c r="AU63" s="2">
        <f t="shared" si="44"/>
        <v>599</v>
      </c>
      <c r="AV63" s="2">
        <f t="shared" si="45"/>
        <v>493</v>
      </c>
      <c r="AW63" s="2">
        <f t="shared" si="46"/>
        <v>423</v>
      </c>
      <c r="AX63" s="2" t="str">
        <f t="shared" si="47"/>
        <v>-</v>
      </c>
    </row>
    <row r="64" ht="14.25" customHeight="1">
      <c r="A64" s="2" t="str">
        <f t="array" ref="A64">IFERROR(INDEX('Product Price'!A:A,SMALL('Product Price'!$D:$D,62)),"")</f>
        <v>realme C100 5G 4/128 GB</v>
      </c>
      <c r="B64" s="2">
        <f t="array" ref="B64">IFERROR(INDEX('Product Price'!B:B,SMALL('Product Price'!$D:$D,62)),"")</f>
        <v>7999</v>
      </c>
      <c r="C64" s="2">
        <f t="array" ref="C64">IFERROR(INDEX('Product Price'!C:C,SMALL('Product Price'!$D:$D,62)),"")</f>
        <v>53</v>
      </c>
      <c r="D64" s="2">
        <f t="shared" si="1"/>
        <v>795</v>
      </c>
      <c r="E64" s="2">
        <f t="shared" si="2"/>
        <v>8794</v>
      </c>
      <c r="F64" s="2">
        <f t="shared" si="48"/>
        <v>1200</v>
      </c>
      <c r="G64" s="2">
        <f t="shared" si="4"/>
        <v>6799</v>
      </c>
      <c r="H64" s="2">
        <f t="shared" si="5"/>
        <v>7594</v>
      </c>
      <c r="I64" s="2">
        <f t="shared" si="6"/>
        <v>1448</v>
      </c>
      <c r="J64" s="2">
        <f t="shared" si="7"/>
        <v>997</v>
      </c>
      <c r="K64" s="2">
        <f t="shared" si="8"/>
        <v>771</v>
      </c>
      <c r="L64" s="2">
        <f t="shared" si="9"/>
        <v>636</v>
      </c>
      <c r="M64" s="2">
        <f t="shared" si="10"/>
        <v>545</v>
      </c>
      <c r="N64" s="2">
        <f t="shared" si="11"/>
        <v>433</v>
      </c>
      <c r="O64" s="2">
        <f t="shared" si="12"/>
        <v>1600</v>
      </c>
      <c r="P64" s="2">
        <f t="shared" si="13"/>
        <v>6399</v>
      </c>
      <c r="Q64" s="2">
        <f t="shared" si="14"/>
        <v>7194</v>
      </c>
      <c r="R64" s="2">
        <f t="shared" si="15"/>
        <v>1372</v>
      </c>
      <c r="S64" s="2">
        <f t="shared" si="16"/>
        <v>944</v>
      </c>
      <c r="T64" s="2">
        <f t="shared" si="17"/>
        <v>730</v>
      </c>
      <c r="U64" s="2">
        <f t="shared" si="18"/>
        <v>602</v>
      </c>
      <c r="V64" s="2">
        <f t="shared" si="19"/>
        <v>517</v>
      </c>
      <c r="W64" s="2">
        <f t="shared" si="20"/>
        <v>410</v>
      </c>
      <c r="X64" s="2">
        <f t="shared" si="21"/>
        <v>2000</v>
      </c>
      <c r="Y64" s="2">
        <f t="shared" si="22"/>
        <v>5999</v>
      </c>
      <c r="Z64" s="2">
        <f t="shared" si="23"/>
        <v>6794</v>
      </c>
      <c r="AA64" s="2">
        <f t="shared" si="24"/>
        <v>1296</v>
      </c>
      <c r="AB64" s="2">
        <f t="shared" si="25"/>
        <v>892</v>
      </c>
      <c r="AC64" s="2">
        <f t="shared" si="26"/>
        <v>690</v>
      </c>
      <c r="AD64" s="2">
        <f t="shared" si="27"/>
        <v>569</v>
      </c>
      <c r="AE64" s="2">
        <f t="shared" si="28"/>
        <v>488</v>
      </c>
      <c r="AF64" s="2" t="str">
        <f t="shared" si="29"/>
        <v>-</v>
      </c>
      <c r="AG64" s="2">
        <f t="shared" si="30"/>
        <v>2800</v>
      </c>
      <c r="AH64" s="2">
        <f t="shared" si="31"/>
        <v>5199</v>
      </c>
      <c r="AI64" s="2">
        <f t="shared" si="32"/>
        <v>5994</v>
      </c>
      <c r="AJ64" s="2">
        <f t="shared" si="33"/>
        <v>1143</v>
      </c>
      <c r="AK64" s="2">
        <f t="shared" si="34"/>
        <v>787</v>
      </c>
      <c r="AL64" s="2">
        <f t="shared" si="35"/>
        <v>609</v>
      </c>
      <c r="AM64" s="2">
        <f t="shared" si="36"/>
        <v>502</v>
      </c>
      <c r="AN64" s="2">
        <f t="shared" si="37"/>
        <v>431</v>
      </c>
      <c r="AO64" s="2" t="str">
        <f t="shared" si="38"/>
        <v>-</v>
      </c>
      <c r="AP64" s="2">
        <f t="shared" si="39"/>
        <v>3200</v>
      </c>
      <c r="AQ64" s="2">
        <f t="shared" si="40"/>
        <v>4799</v>
      </c>
      <c r="AR64" s="2">
        <f t="shared" si="41"/>
        <v>5594</v>
      </c>
      <c r="AS64" s="2">
        <f t="shared" si="42"/>
        <v>1067</v>
      </c>
      <c r="AT64" s="2">
        <f t="shared" si="43"/>
        <v>734</v>
      </c>
      <c r="AU64" s="2">
        <f t="shared" si="44"/>
        <v>568</v>
      </c>
      <c r="AV64" s="2">
        <f t="shared" si="45"/>
        <v>468</v>
      </c>
      <c r="AW64" s="2">
        <f t="shared" si="46"/>
        <v>402</v>
      </c>
      <c r="AX64" s="2" t="str">
        <f t="shared" si="47"/>
        <v>-</v>
      </c>
    </row>
    <row r="65" ht="14.25" customHeight="1">
      <c r="A65" s="2" t="str">
        <f t="array" ref="A65">IFERROR(INDEX('Product Price'!A:A,SMALL('Product Price'!$D:$D,63)),"")</f>
        <v>realme C100X 4G 4/256 GB</v>
      </c>
      <c r="B65" s="2">
        <f t="array" ref="B65">IFERROR(INDEX('Product Price'!B:B,SMALL('Product Price'!$D:$D,63)),"")</f>
        <v>6999</v>
      </c>
      <c r="C65" s="2">
        <f t="array" ref="C65">IFERROR(INDEX('Product Price'!C:C,SMALL('Product Price'!$D:$D,63)),"")</f>
        <v>54</v>
      </c>
      <c r="D65" s="2">
        <f t="shared" si="1"/>
        <v>795</v>
      </c>
      <c r="E65" s="2">
        <f t="shared" si="2"/>
        <v>7794</v>
      </c>
      <c r="F65" s="2">
        <f t="shared" si="48"/>
        <v>1050</v>
      </c>
      <c r="G65" s="2">
        <f t="shared" si="4"/>
        <v>5949</v>
      </c>
      <c r="H65" s="2">
        <f t="shared" si="5"/>
        <v>6744</v>
      </c>
      <c r="I65" s="2">
        <f t="shared" si="6"/>
        <v>1286</v>
      </c>
      <c r="J65" s="2">
        <f t="shared" si="7"/>
        <v>885</v>
      </c>
      <c r="K65" s="2">
        <f t="shared" si="8"/>
        <v>685</v>
      </c>
      <c r="L65" s="2">
        <f t="shared" si="9"/>
        <v>565</v>
      </c>
      <c r="M65" s="2">
        <f t="shared" si="10"/>
        <v>484</v>
      </c>
      <c r="N65" s="2" t="str">
        <f t="shared" si="11"/>
        <v>-</v>
      </c>
      <c r="O65" s="2">
        <f t="shared" si="12"/>
        <v>1400</v>
      </c>
      <c r="P65" s="2">
        <f t="shared" si="13"/>
        <v>5599</v>
      </c>
      <c r="Q65" s="2">
        <f t="shared" si="14"/>
        <v>6394</v>
      </c>
      <c r="R65" s="2">
        <f t="shared" si="15"/>
        <v>1219</v>
      </c>
      <c r="S65" s="2">
        <f t="shared" si="16"/>
        <v>839</v>
      </c>
      <c r="T65" s="2">
        <f t="shared" si="17"/>
        <v>649</v>
      </c>
      <c r="U65" s="2">
        <f t="shared" si="18"/>
        <v>535</v>
      </c>
      <c r="V65" s="2">
        <f t="shared" si="19"/>
        <v>459</v>
      </c>
      <c r="W65" s="2" t="str">
        <f t="shared" si="20"/>
        <v>-</v>
      </c>
      <c r="X65" s="2">
        <f t="shared" si="21"/>
        <v>1750</v>
      </c>
      <c r="Y65" s="2">
        <f t="shared" si="22"/>
        <v>5249</v>
      </c>
      <c r="Z65" s="2">
        <f t="shared" si="23"/>
        <v>6044</v>
      </c>
      <c r="AA65" s="2">
        <f t="shared" si="24"/>
        <v>1153</v>
      </c>
      <c r="AB65" s="2">
        <f t="shared" si="25"/>
        <v>793</v>
      </c>
      <c r="AC65" s="2">
        <f t="shared" si="26"/>
        <v>614</v>
      </c>
      <c r="AD65" s="2">
        <f t="shared" si="27"/>
        <v>506</v>
      </c>
      <c r="AE65" s="2">
        <f t="shared" si="28"/>
        <v>434</v>
      </c>
      <c r="AF65" s="2" t="str">
        <f t="shared" si="29"/>
        <v>-</v>
      </c>
      <c r="AG65" s="2">
        <f t="shared" si="30"/>
        <v>2450</v>
      </c>
      <c r="AH65" s="2">
        <f t="shared" si="31"/>
        <v>4549</v>
      </c>
      <c r="AI65" s="2">
        <f t="shared" si="32"/>
        <v>5344</v>
      </c>
      <c r="AJ65" s="2">
        <f t="shared" si="33"/>
        <v>1019</v>
      </c>
      <c r="AK65" s="2">
        <f t="shared" si="34"/>
        <v>702</v>
      </c>
      <c r="AL65" s="2">
        <f t="shared" si="35"/>
        <v>543</v>
      </c>
      <c r="AM65" s="2">
        <f t="shared" si="36"/>
        <v>447</v>
      </c>
      <c r="AN65" s="2" t="str">
        <f t="shared" si="37"/>
        <v>-</v>
      </c>
      <c r="AO65" s="2" t="str">
        <f t="shared" si="38"/>
        <v>-</v>
      </c>
      <c r="AP65" s="2">
        <f t="shared" si="39"/>
        <v>2800</v>
      </c>
      <c r="AQ65" s="2">
        <f t="shared" si="40"/>
        <v>4199</v>
      </c>
      <c r="AR65" s="2">
        <f t="shared" si="41"/>
        <v>4994</v>
      </c>
      <c r="AS65" s="2">
        <f t="shared" si="42"/>
        <v>953</v>
      </c>
      <c r="AT65" s="2">
        <f t="shared" si="43"/>
        <v>656</v>
      </c>
      <c r="AU65" s="2">
        <f t="shared" si="44"/>
        <v>507</v>
      </c>
      <c r="AV65" s="2">
        <f t="shared" si="45"/>
        <v>418</v>
      </c>
      <c r="AW65" s="2" t="str">
        <f t="shared" si="46"/>
        <v>-</v>
      </c>
      <c r="AX65" s="2" t="str">
        <f t="shared" si="47"/>
        <v>-</v>
      </c>
    </row>
    <row r="66" ht="14.25" customHeight="1">
      <c r="A66" s="2" t="str">
        <f t="array" ref="A66">IFERROR(INDEX('Product Price'!A:A,SMALL('Product Price'!$D:$D,64)),"")</f>
        <v>realme C100i 4G 4/128 GB</v>
      </c>
      <c r="B66" s="2">
        <f t="array" ref="B66">IFERROR(INDEX('Product Price'!B:B,SMALL('Product Price'!$D:$D,64)),"")</f>
        <v>6499</v>
      </c>
      <c r="C66" s="2">
        <f t="array" ref="C66">IFERROR(INDEX('Product Price'!C:C,SMALL('Product Price'!$D:$D,64)),"")</f>
        <v>56</v>
      </c>
      <c r="D66" s="2">
        <f t="shared" si="1"/>
        <v>795</v>
      </c>
      <c r="E66" s="2">
        <f t="shared" si="2"/>
        <v>7294</v>
      </c>
      <c r="F66" s="2">
        <f t="shared" si="48"/>
        <v>975</v>
      </c>
      <c r="G66" s="2">
        <f t="shared" si="4"/>
        <v>5524</v>
      </c>
      <c r="H66" s="2">
        <f t="shared" si="5"/>
        <v>6319</v>
      </c>
      <c r="I66" s="2">
        <f t="shared" si="6"/>
        <v>1205</v>
      </c>
      <c r="J66" s="2">
        <f t="shared" si="7"/>
        <v>830</v>
      </c>
      <c r="K66" s="2">
        <f t="shared" si="8"/>
        <v>642</v>
      </c>
      <c r="L66" s="2">
        <f t="shared" si="9"/>
        <v>529</v>
      </c>
      <c r="M66" s="2">
        <f t="shared" si="10"/>
        <v>454</v>
      </c>
      <c r="N66" s="2" t="str">
        <f t="shared" si="11"/>
        <v>-</v>
      </c>
      <c r="O66" s="2">
        <f t="shared" si="12"/>
        <v>1300</v>
      </c>
      <c r="P66" s="2">
        <f t="shared" si="13"/>
        <v>5199</v>
      </c>
      <c r="Q66" s="2">
        <f t="shared" si="14"/>
        <v>5994</v>
      </c>
      <c r="R66" s="2">
        <f t="shared" si="15"/>
        <v>1143</v>
      </c>
      <c r="S66" s="2">
        <f t="shared" si="16"/>
        <v>787</v>
      </c>
      <c r="T66" s="2">
        <f t="shared" si="17"/>
        <v>609</v>
      </c>
      <c r="U66" s="2">
        <f t="shared" si="18"/>
        <v>502</v>
      </c>
      <c r="V66" s="2">
        <f t="shared" si="19"/>
        <v>431</v>
      </c>
      <c r="W66" s="2" t="str">
        <f t="shared" si="20"/>
        <v>-</v>
      </c>
      <c r="X66" s="2">
        <f t="shared" si="21"/>
        <v>1625</v>
      </c>
      <c r="Y66" s="2">
        <f t="shared" si="22"/>
        <v>4874</v>
      </c>
      <c r="Z66" s="2">
        <f t="shared" si="23"/>
        <v>5669</v>
      </c>
      <c r="AA66" s="2">
        <f t="shared" si="24"/>
        <v>1081</v>
      </c>
      <c r="AB66" s="2">
        <f t="shared" si="25"/>
        <v>744</v>
      </c>
      <c r="AC66" s="2">
        <f t="shared" si="26"/>
        <v>576</v>
      </c>
      <c r="AD66" s="2">
        <f t="shared" si="27"/>
        <v>475</v>
      </c>
      <c r="AE66" s="2">
        <f t="shared" si="28"/>
        <v>407</v>
      </c>
      <c r="AF66" s="2" t="str">
        <f t="shared" si="29"/>
        <v>-</v>
      </c>
      <c r="AG66" s="2">
        <f t="shared" si="30"/>
        <v>2275</v>
      </c>
      <c r="AH66" s="2">
        <f t="shared" si="31"/>
        <v>4224</v>
      </c>
      <c r="AI66" s="2">
        <f t="shared" si="32"/>
        <v>5019</v>
      </c>
      <c r="AJ66" s="2">
        <f t="shared" si="33"/>
        <v>957</v>
      </c>
      <c r="AK66" s="2">
        <f t="shared" si="34"/>
        <v>659</v>
      </c>
      <c r="AL66" s="2">
        <f t="shared" si="35"/>
        <v>510</v>
      </c>
      <c r="AM66" s="2">
        <f t="shared" si="36"/>
        <v>420</v>
      </c>
      <c r="AN66" s="2" t="str">
        <f t="shared" si="37"/>
        <v>-</v>
      </c>
      <c r="AO66" s="2" t="str">
        <f t="shared" si="38"/>
        <v>-</v>
      </c>
      <c r="AP66" s="2">
        <f t="shared" si="39"/>
        <v>2600</v>
      </c>
      <c r="AQ66" s="2">
        <f t="shared" si="40"/>
        <v>3899</v>
      </c>
      <c r="AR66" s="2">
        <f t="shared" si="41"/>
        <v>4694</v>
      </c>
      <c r="AS66" s="2">
        <f t="shared" si="42"/>
        <v>895</v>
      </c>
      <c r="AT66" s="2">
        <f t="shared" si="43"/>
        <v>616</v>
      </c>
      <c r="AU66" s="2">
        <f t="shared" si="44"/>
        <v>477</v>
      </c>
      <c r="AV66" s="2" t="str">
        <f t="shared" si="45"/>
        <v>-</v>
      </c>
      <c r="AW66" s="2" t="str">
        <f t="shared" si="46"/>
        <v>-</v>
      </c>
      <c r="AX66" s="2" t="str">
        <f t="shared" si="47"/>
        <v>-</v>
      </c>
    </row>
    <row r="67" ht="14.25" customHeight="1">
      <c r="A67" s="2" t="str">
        <f t="array" ref="A67">IFERROR(INDEX('Product Price'!A:A,SMALL('Product Price'!$D:$D,65)),"")</f>
        <v>realme Note 80 4/64 GB</v>
      </c>
      <c r="B67" s="2">
        <f t="array" ref="B67">IFERROR(INDEX('Product Price'!B:B,SMALL('Product Price'!$D:$D,65)),"")</f>
        <v>4999</v>
      </c>
      <c r="C67" s="2">
        <f t="array" ref="C67">IFERROR(INDEX('Product Price'!C:C,SMALL('Product Price'!$D:$D,65)),"")</f>
        <v>249</v>
      </c>
      <c r="D67" s="2">
        <f t="shared" si="1"/>
        <v>795</v>
      </c>
      <c r="E67" s="2">
        <f t="shared" si="2"/>
        <v>5794</v>
      </c>
      <c r="F67" s="2">
        <f t="shared" si="48"/>
        <v>750</v>
      </c>
      <c r="G67" s="2">
        <f t="shared" si="4"/>
        <v>4249</v>
      </c>
      <c r="H67" s="2">
        <f t="shared" si="5"/>
        <v>5044</v>
      </c>
      <c r="I67" s="2">
        <f t="shared" si="6"/>
        <v>962</v>
      </c>
      <c r="J67" s="2">
        <f t="shared" si="7"/>
        <v>662</v>
      </c>
      <c r="K67" s="2">
        <f t="shared" si="8"/>
        <v>512</v>
      </c>
      <c r="L67" s="2">
        <f t="shared" si="9"/>
        <v>422</v>
      </c>
      <c r="M67" s="2" t="str">
        <f t="shared" si="10"/>
        <v>-</v>
      </c>
      <c r="N67" s="2" t="str">
        <f t="shared" si="11"/>
        <v>-</v>
      </c>
      <c r="O67" s="2">
        <f t="shared" si="12"/>
        <v>1000</v>
      </c>
      <c r="P67" s="2">
        <f t="shared" si="13"/>
        <v>3999</v>
      </c>
      <c r="Q67" s="2">
        <f t="shared" si="14"/>
        <v>4794</v>
      </c>
      <c r="R67" s="2">
        <f t="shared" si="15"/>
        <v>914</v>
      </c>
      <c r="S67" s="2">
        <f t="shared" si="16"/>
        <v>629</v>
      </c>
      <c r="T67" s="2">
        <f t="shared" si="17"/>
        <v>487</v>
      </c>
      <c r="U67" s="2">
        <f t="shared" si="18"/>
        <v>401</v>
      </c>
      <c r="V67" s="2" t="str">
        <f t="shared" si="19"/>
        <v>-</v>
      </c>
      <c r="W67" s="2" t="str">
        <f t="shared" si="20"/>
        <v>-</v>
      </c>
      <c r="X67" s="2">
        <f t="shared" si="21"/>
        <v>1250</v>
      </c>
      <c r="Y67" s="2">
        <f t="shared" si="22"/>
        <v>3749</v>
      </c>
      <c r="Z67" s="2">
        <f t="shared" si="23"/>
        <v>4544</v>
      </c>
      <c r="AA67" s="2">
        <f t="shared" si="24"/>
        <v>867</v>
      </c>
      <c r="AB67" s="2">
        <f t="shared" si="25"/>
        <v>597</v>
      </c>
      <c r="AC67" s="2">
        <f t="shared" si="26"/>
        <v>462</v>
      </c>
      <c r="AD67" s="2" t="str">
        <f t="shared" si="27"/>
        <v>-</v>
      </c>
      <c r="AE67" s="2" t="str">
        <f t="shared" si="28"/>
        <v>-</v>
      </c>
      <c r="AF67" s="2" t="str">
        <f t="shared" si="29"/>
        <v>-</v>
      </c>
      <c r="AG67" s="2">
        <f t="shared" si="30"/>
        <v>1750</v>
      </c>
      <c r="AH67" s="2">
        <f t="shared" si="31"/>
        <v>3249</v>
      </c>
      <c r="AI67" s="2">
        <f t="shared" si="32"/>
        <v>4044</v>
      </c>
      <c r="AJ67" s="2">
        <f t="shared" si="33"/>
        <v>771</v>
      </c>
      <c r="AK67" s="2">
        <f t="shared" si="34"/>
        <v>531</v>
      </c>
      <c r="AL67" s="2">
        <f t="shared" si="35"/>
        <v>411</v>
      </c>
      <c r="AM67" s="2" t="str">
        <f t="shared" si="36"/>
        <v>-</v>
      </c>
      <c r="AN67" s="2" t="str">
        <f t="shared" si="37"/>
        <v>-</v>
      </c>
      <c r="AO67" s="2" t="str">
        <f t="shared" si="38"/>
        <v>-</v>
      </c>
      <c r="AP67" s="2">
        <f t="shared" si="39"/>
        <v>2000</v>
      </c>
      <c r="AQ67" s="2">
        <f t="shared" si="40"/>
        <v>2999</v>
      </c>
      <c r="AR67" s="2">
        <f t="shared" si="41"/>
        <v>3794</v>
      </c>
      <c r="AS67" s="2">
        <f t="shared" si="42"/>
        <v>724</v>
      </c>
      <c r="AT67" s="2">
        <f t="shared" si="43"/>
        <v>498</v>
      </c>
      <c r="AU67" s="2" t="str">
        <f t="shared" si="44"/>
        <v>-</v>
      </c>
      <c r="AV67" s="2" t="str">
        <f t="shared" si="45"/>
        <v>-</v>
      </c>
      <c r="AW67" s="2" t="str">
        <f t="shared" si="46"/>
        <v>-</v>
      </c>
      <c r="AX67" s="2" t="str">
        <f t="shared" si="47"/>
        <v>-</v>
      </c>
    </row>
    <row r="68" ht="14.25" customHeight="1">
      <c r="A68" s="2" t="str">
        <f t="array" ref="A68">IFERROR(INDEX('Product Price'!A:A,SMALL('Product Price'!$D:$D,66)),"")</f>
        <v>realme PAD3 5G 8/256 GB</v>
      </c>
      <c r="B68" s="2">
        <f t="array" ref="B68">IFERROR(INDEX('Product Price'!B:B,SMALL('Product Price'!$D:$D,66)),"")</f>
        <v>14999</v>
      </c>
      <c r="C68" s="2">
        <f t="array" ref="C68">IFERROR(INDEX('Product Price'!C:C,SMALL('Product Price'!$D:$D,66)),"")</f>
        <v>55</v>
      </c>
      <c r="D68" s="2">
        <f t="shared" si="1"/>
        <v>1450</v>
      </c>
      <c r="E68" s="2">
        <f t="shared" si="2"/>
        <v>16449</v>
      </c>
      <c r="F68" s="2">
        <f t="shared" si="48"/>
        <v>2250</v>
      </c>
      <c r="G68" s="2">
        <f t="shared" si="4"/>
        <v>12749</v>
      </c>
      <c r="H68" s="2">
        <f t="shared" si="5"/>
        <v>14199</v>
      </c>
      <c r="I68" s="2">
        <f t="shared" si="6"/>
        <v>2707</v>
      </c>
      <c r="J68" s="2">
        <f t="shared" si="7"/>
        <v>1863</v>
      </c>
      <c r="K68" s="2">
        <f t="shared" si="8"/>
        <v>1441</v>
      </c>
      <c r="L68" s="2">
        <f t="shared" si="9"/>
        <v>1188</v>
      </c>
      <c r="M68" s="2">
        <f t="shared" si="10"/>
        <v>1019</v>
      </c>
      <c r="N68" s="2">
        <f t="shared" si="11"/>
        <v>808</v>
      </c>
      <c r="O68" s="2">
        <f t="shared" si="12"/>
        <v>3000</v>
      </c>
      <c r="P68" s="2">
        <f t="shared" si="13"/>
        <v>11999</v>
      </c>
      <c r="Q68" s="2">
        <f t="shared" si="14"/>
        <v>13449</v>
      </c>
      <c r="R68" s="2">
        <f t="shared" si="15"/>
        <v>2564</v>
      </c>
      <c r="S68" s="2">
        <f t="shared" si="16"/>
        <v>1765</v>
      </c>
      <c r="T68" s="2">
        <f t="shared" si="17"/>
        <v>1365</v>
      </c>
      <c r="U68" s="2">
        <f t="shared" si="18"/>
        <v>1125</v>
      </c>
      <c r="V68" s="2">
        <f t="shared" si="19"/>
        <v>965</v>
      </c>
      <c r="W68" s="2">
        <f t="shared" si="20"/>
        <v>766</v>
      </c>
      <c r="X68" s="2">
        <f t="shared" si="21"/>
        <v>3750</v>
      </c>
      <c r="Y68" s="2">
        <f t="shared" si="22"/>
        <v>11249</v>
      </c>
      <c r="Z68" s="2">
        <f t="shared" si="23"/>
        <v>12699</v>
      </c>
      <c r="AA68" s="2">
        <f t="shared" si="24"/>
        <v>2421</v>
      </c>
      <c r="AB68" s="2">
        <f t="shared" si="25"/>
        <v>1667</v>
      </c>
      <c r="AC68" s="2">
        <f t="shared" si="26"/>
        <v>1289</v>
      </c>
      <c r="AD68" s="2">
        <f t="shared" si="27"/>
        <v>1063</v>
      </c>
      <c r="AE68" s="2">
        <f t="shared" si="28"/>
        <v>912</v>
      </c>
      <c r="AF68" s="2">
        <f t="shared" si="29"/>
        <v>723</v>
      </c>
      <c r="AG68" s="2">
        <f t="shared" si="30"/>
        <v>5250</v>
      </c>
      <c r="AH68" s="2">
        <f t="shared" si="31"/>
        <v>9749</v>
      </c>
      <c r="AI68" s="2">
        <f t="shared" si="32"/>
        <v>11199</v>
      </c>
      <c r="AJ68" s="2">
        <f t="shared" si="33"/>
        <v>2135</v>
      </c>
      <c r="AK68" s="2">
        <f t="shared" si="34"/>
        <v>1470</v>
      </c>
      <c r="AL68" s="2">
        <f t="shared" si="35"/>
        <v>1137</v>
      </c>
      <c r="AM68" s="2">
        <f t="shared" si="36"/>
        <v>937</v>
      </c>
      <c r="AN68" s="2">
        <f t="shared" si="37"/>
        <v>804</v>
      </c>
      <c r="AO68" s="2">
        <f t="shared" si="38"/>
        <v>638</v>
      </c>
      <c r="AP68" s="2">
        <f t="shared" si="39"/>
        <v>6000</v>
      </c>
      <c r="AQ68" s="2">
        <f t="shared" si="40"/>
        <v>8999</v>
      </c>
      <c r="AR68" s="2">
        <f t="shared" si="41"/>
        <v>10449</v>
      </c>
      <c r="AS68" s="2">
        <f t="shared" si="42"/>
        <v>1992</v>
      </c>
      <c r="AT68" s="2">
        <f t="shared" si="43"/>
        <v>1371</v>
      </c>
      <c r="AU68" s="2">
        <f t="shared" si="44"/>
        <v>1061</v>
      </c>
      <c r="AV68" s="2">
        <f t="shared" si="45"/>
        <v>874</v>
      </c>
      <c r="AW68" s="2">
        <f t="shared" si="46"/>
        <v>750</v>
      </c>
      <c r="AX68" s="2">
        <f t="shared" si="47"/>
        <v>595</v>
      </c>
    </row>
    <row r="69" ht="14.25" customHeight="1">
      <c r="A69" s="2" t="str">
        <f t="array" ref="A69">IFERROR(INDEX('Product Price'!A:A,SMALL('Product Price'!$D:$D,67)),"")</f>
        <v>SAMSUNG Galaxy A07 5G 6/128 GB</v>
      </c>
      <c r="B69" s="2">
        <f t="array" ref="B69">IFERROR(INDEX('Product Price'!B:B,SMALL('Product Price'!$D:$D,67)),"")</f>
        <v>5999</v>
      </c>
      <c r="C69" s="2">
        <f t="array" ref="C69">IFERROR(INDEX('Product Price'!C:C,SMALL('Product Price'!$D:$D,67)),"")</f>
        <v>57</v>
      </c>
      <c r="D69" s="2">
        <f t="shared" si="1"/>
        <v>795</v>
      </c>
      <c r="E69" s="2">
        <f t="shared" si="2"/>
        <v>6794</v>
      </c>
      <c r="F69" s="2">
        <f t="shared" si="48"/>
        <v>900</v>
      </c>
      <c r="G69" s="2">
        <f t="shared" si="4"/>
        <v>5099</v>
      </c>
      <c r="H69" s="2">
        <f t="shared" si="5"/>
        <v>5894</v>
      </c>
      <c r="I69" s="2">
        <f t="shared" si="6"/>
        <v>1124</v>
      </c>
      <c r="J69" s="2">
        <f t="shared" si="7"/>
        <v>774</v>
      </c>
      <c r="K69" s="2">
        <f t="shared" si="8"/>
        <v>599</v>
      </c>
      <c r="L69" s="2">
        <f t="shared" si="9"/>
        <v>493</v>
      </c>
      <c r="M69" s="2">
        <f t="shared" si="10"/>
        <v>423</v>
      </c>
      <c r="N69" s="2" t="str">
        <f t="shared" si="11"/>
        <v>-</v>
      </c>
      <c r="O69" s="2">
        <f t="shared" si="12"/>
        <v>1200</v>
      </c>
      <c r="P69" s="2">
        <f t="shared" si="13"/>
        <v>4799</v>
      </c>
      <c r="Q69" s="2">
        <f t="shared" si="14"/>
        <v>5594</v>
      </c>
      <c r="R69" s="2">
        <f t="shared" si="15"/>
        <v>1067</v>
      </c>
      <c r="S69" s="2">
        <f t="shared" si="16"/>
        <v>734</v>
      </c>
      <c r="T69" s="2">
        <f t="shared" si="17"/>
        <v>568</v>
      </c>
      <c r="U69" s="2">
        <f t="shared" si="18"/>
        <v>468</v>
      </c>
      <c r="V69" s="2">
        <f t="shared" si="19"/>
        <v>402</v>
      </c>
      <c r="W69" s="2" t="str">
        <f t="shared" si="20"/>
        <v>-</v>
      </c>
      <c r="X69" s="2">
        <f t="shared" si="21"/>
        <v>1500</v>
      </c>
      <c r="Y69" s="2">
        <f t="shared" si="22"/>
        <v>4499</v>
      </c>
      <c r="Z69" s="2">
        <f t="shared" si="23"/>
        <v>5294</v>
      </c>
      <c r="AA69" s="2">
        <f t="shared" si="24"/>
        <v>1010</v>
      </c>
      <c r="AB69" s="2">
        <f t="shared" si="25"/>
        <v>695</v>
      </c>
      <c r="AC69" s="2">
        <f t="shared" si="26"/>
        <v>538</v>
      </c>
      <c r="AD69" s="2">
        <f t="shared" si="27"/>
        <v>443</v>
      </c>
      <c r="AE69" s="2" t="str">
        <f t="shared" si="28"/>
        <v>-</v>
      </c>
      <c r="AF69" s="2" t="str">
        <f t="shared" si="29"/>
        <v>-</v>
      </c>
      <c r="AG69" s="2">
        <f t="shared" si="30"/>
        <v>2100</v>
      </c>
      <c r="AH69" s="2">
        <f t="shared" si="31"/>
        <v>3899</v>
      </c>
      <c r="AI69" s="2">
        <f t="shared" si="32"/>
        <v>4694</v>
      </c>
      <c r="AJ69" s="2">
        <f t="shared" si="33"/>
        <v>895</v>
      </c>
      <c r="AK69" s="2">
        <f t="shared" si="34"/>
        <v>616</v>
      </c>
      <c r="AL69" s="2">
        <f t="shared" si="35"/>
        <v>477</v>
      </c>
      <c r="AM69" s="2" t="str">
        <f t="shared" si="36"/>
        <v>-</v>
      </c>
      <c r="AN69" s="2" t="str">
        <f t="shared" si="37"/>
        <v>-</v>
      </c>
      <c r="AO69" s="2" t="str">
        <f t="shared" si="38"/>
        <v>-</v>
      </c>
      <c r="AP69" s="2">
        <f t="shared" si="39"/>
        <v>2400</v>
      </c>
      <c r="AQ69" s="2">
        <f t="shared" si="40"/>
        <v>3599</v>
      </c>
      <c r="AR69" s="2">
        <f t="shared" si="41"/>
        <v>4394</v>
      </c>
      <c r="AS69" s="2">
        <f t="shared" si="42"/>
        <v>838</v>
      </c>
      <c r="AT69" s="2">
        <f t="shared" si="43"/>
        <v>577</v>
      </c>
      <c r="AU69" s="2">
        <f t="shared" si="44"/>
        <v>446</v>
      </c>
      <c r="AV69" s="2" t="str">
        <f t="shared" si="45"/>
        <v>-</v>
      </c>
      <c r="AW69" s="2" t="str">
        <f t="shared" si="46"/>
        <v>-</v>
      </c>
      <c r="AX69" s="2" t="str">
        <f t="shared" si="47"/>
        <v>-</v>
      </c>
    </row>
    <row r="70" ht="14.25" customHeight="1">
      <c r="A70" s="2" t="str">
        <f t="array" ref="A70">IFERROR(INDEX('Product Price'!A:A,SMALL('Product Price'!$D:$D,68)),"")</f>
        <v>SAMSUNG Galaxy A17 LTE 8/128 GB</v>
      </c>
      <c r="B70" s="2">
        <f t="array" ref="B70">IFERROR(INDEX('Product Price'!B:B,SMALL('Product Price'!$D:$D,68)),"")</f>
        <v>6999</v>
      </c>
      <c r="C70" s="2">
        <f t="array" ref="C70">IFERROR(INDEX('Product Price'!C:C,SMALL('Product Price'!$D:$D,68)),"")</f>
        <v>58</v>
      </c>
      <c r="D70" s="2">
        <f t="shared" si="1"/>
        <v>795</v>
      </c>
      <c r="E70" s="2">
        <f t="shared" si="2"/>
        <v>7794</v>
      </c>
      <c r="F70" s="2">
        <f t="shared" si="48"/>
        <v>1050</v>
      </c>
      <c r="G70" s="2">
        <f t="shared" si="4"/>
        <v>5949</v>
      </c>
      <c r="H70" s="2">
        <f t="shared" si="5"/>
        <v>6744</v>
      </c>
      <c r="I70" s="2">
        <f t="shared" si="6"/>
        <v>1286</v>
      </c>
      <c r="J70" s="2">
        <f t="shared" si="7"/>
        <v>885</v>
      </c>
      <c r="K70" s="2">
        <f t="shared" si="8"/>
        <v>685</v>
      </c>
      <c r="L70" s="2">
        <f t="shared" si="9"/>
        <v>565</v>
      </c>
      <c r="M70" s="2">
        <f t="shared" si="10"/>
        <v>484</v>
      </c>
      <c r="N70" s="2" t="str">
        <f t="shared" si="11"/>
        <v>-</v>
      </c>
      <c r="O70" s="2">
        <f t="shared" si="12"/>
        <v>1400</v>
      </c>
      <c r="P70" s="2">
        <f t="shared" si="13"/>
        <v>5599</v>
      </c>
      <c r="Q70" s="2">
        <f t="shared" si="14"/>
        <v>6394</v>
      </c>
      <c r="R70" s="2">
        <f t="shared" si="15"/>
        <v>1219</v>
      </c>
      <c r="S70" s="2">
        <f t="shared" si="16"/>
        <v>839</v>
      </c>
      <c r="T70" s="2">
        <f t="shared" si="17"/>
        <v>649</v>
      </c>
      <c r="U70" s="2">
        <f t="shared" si="18"/>
        <v>535</v>
      </c>
      <c r="V70" s="2">
        <f t="shared" si="19"/>
        <v>459</v>
      </c>
      <c r="W70" s="2" t="str">
        <f t="shared" si="20"/>
        <v>-</v>
      </c>
      <c r="X70" s="2">
        <f t="shared" si="21"/>
        <v>1750</v>
      </c>
      <c r="Y70" s="2">
        <f t="shared" si="22"/>
        <v>5249</v>
      </c>
      <c r="Z70" s="2">
        <f t="shared" si="23"/>
        <v>6044</v>
      </c>
      <c r="AA70" s="2">
        <f t="shared" si="24"/>
        <v>1153</v>
      </c>
      <c r="AB70" s="2">
        <f t="shared" si="25"/>
        <v>793</v>
      </c>
      <c r="AC70" s="2">
        <f t="shared" si="26"/>
        <v>614</v>
      </c>
      <c r="AD70" s="2">
        <f t="shared" si="27"/>
        <v>506</v>
      </c>
      <c r="AE70" s="2">
        <f t="shared" si="28"/>
        <v>434</v>
      </c>
      <c r="AF70" s="2" t="str">
        <f t="shared" si="29"/>
        <v>-</v>
      </c>
      <c r="AG70" s="2">
        <f t="shared" si="30"/>
        <v>2450</v>
      </c>
      <c r="AH70" s="2">
        <f t="shared" si="31"/>
        <v>4549</v>
      </c>
      <c r="AI70" s="2">
        <f t="shared" si="32"/>
        <v>5344</v>
      </c>
      <c r="AJ70" s="2">
        <f t="shared" si="33"/>
        <v>1019</v>
      </c>
      <c r="AK70" s="2">
        <f t="shared" si="34"/>
        <v>702</v>
      </c>
      <c r="AL70" s="2">
        <f t="shared" si="35"/>
        <v>543</v>
      </c>
      <c r="AM70" s="2">
        <f t="shared" si="36"/>
        <v>447</v>
      </c>
      <c r="AN70" s="2" t="str">
        <f t="shared" si="37"/>
        <v>-</v>
      </c>
      <c r="AO70" s="2" t="str">
        <f t="shared" si="38"/>
        <v>-</v>
      </c>
      <c r="AP70" s="2">
        <f t="shared" si="39"/>
        <v>2800</v>
      </c>
      <c r="AQ70" s="2">
        <f t="shared" si="40"/>
        <v>4199</v>
      </c>
      <c r="AR70" s="2">
        <f t="shared" si="41"/>
        <v>4994</v>
      </c>
      <c r="AS70" s="2">
        <f t="shared" si="42"/>
        <v>953</v>
      </c>
      <c r="AT70" s="2">
        <f t="shared" si="43"/>
        <v>656</v>
      </c>
      <c r="AU70" s="2">
        <f t="shared" si="44"/>
        <v>507</v>
      </c>
      <c r="AV70" s="2">
        <f t="shared" si="45"/>
        <v>418</v>
      </c>
      <c r="AW70" s="2" t="str">
        <f t="shared" si="46"/>
        <v>-</v>
      </c>
      <c r="AX70" s="2" t="str">
        <f t="shared" si="47"/>
        <v>-</v>
      </c>
    </row>
    <row r="71" ht="14.25" customHeight="1">
      <c r="A71" s="2" t="str">
        <f t="array" ref="A71">IFERROR(INDEX('Product Price'!A:A,SMALL('Product Price'!$D:$D,69)),"")</f>
        <v>SAMSUNG Galaxy A17 5G 8/128 GB</v>
      </c>
      <c r="B71" s="2">
        <f t="array" ref="B71">IFERROR(INDEX('Product Price'!B:B,SMALL('Product Price'!$D:$D,69)),"")</f>
        <v>7999</v>
      </c>
      <c r="C71" s="2">
        <f t="array" ref="C71">IFERROR(INDEX('Product Price'!C:C,SMALL('Product Price'!$D:$D,69)),"")</f>
        <v>59</v>
      </c>
      <c r="D71" s="2">
        <f t="shared" si="1"/>
        <v>795</v>
      </c>
      <c r="E71" s="2">
        <f t="shared" si="2"/>
        <v>8794</v>
      </c>
      <c r="F71" s="2">
        <f t="shared" si="48"/>
        <v>1200</v>
      </c>
      <c r="G71" s="2">
        <f t="shared" si="4"/>
        <v>6799</v>
      </c>
      <c r="H71" s="2">
        <f t="shared" si="5"/>
        <v>7594</v>
      </c>
      <c r="I71" s="2">
        <f t="shared" si="6"/>
        <v>1448</v>
      </c>
      <c r="J71" s="2">
        <f t="shared" si="7"/>
        <v>997</v>
      </c>
      <c r="K71" s="2">
        <f t="shared" si="8"/>
        <v>771</v>
      </c>
      <c r="L71" s="2">
        <f t="shared" si="9"/>
        <v>636</v>
      </c>
      <c r="M71" s="2">
        <f t="shared" si="10"/>
        <v>545</v>
      </c>
      <c r="N71" s="2">
        <f t="shared" si="11"/>
        <v>433</v>
      </c>
      <c r="O71" s="2">
        <f t="shared" si="12"/>
        <v>1600</v>
      </c>
      <c r="P71" s="2">
        <f t="shared" si="13"/>
        <v>6399</v>
      </c>
      <c r="Q71" s="2">
        <f t="shared" si="14"/>
        <v>7194</v>
      </c>
      <c r="R71" s="2">
        <f t="shared" si="15"/>
        <v>1372</v>
      </c>
      <c r="S71" s="2">
        <f t="shared" si="16"/>
        <v>944</v>
      </c>
      <c r="T71" s="2">
        <f t="shared" si="17"/>
        <v>730</v>
      </c>
      <c r="U71" s="2">
        <f t="shared" si="18"/>
        <v>602</v>
      </c>
      <c r="V71" s="2">
        <f t="shared" si="19"/>
        <v>517</v>
      </c>
      <c r="W71" s="2">
        <f t="shared" si="20"/>
        <v>410</v>
      </c>
      <c r="X71" s="2">
        <f t="shared" si="21"/>
        <v>2000</v>
      </c>
      <c r="Y71" s="2">
        <f t="shared" si="22"/>
        <v>5999</v>
      </c>
      <c r="Z71" s="2">
        <f t="shared" si="23"/>
        <v>6794</v>
      </c>
      <c r="AA71" s="2">
        <f t="shared" si="24"/>
        <v>1296</v>
      </c>
      <c r="AB71" s="2">
        <f t="shared" si="25"/>
        <v>892</v>
      </c>
      <c r="AC71" s="2">
        <f t="shared" si="26"/>
        <v>690</v>
      </c>
      <c r="AD71" s="2">
        <f t="shared" si="27"/>
        <v>569</v>
      </c>
      <c r="AE71" s="2">
        <f t="shared" si="28"/>
        <v>488</v>
      </c>
      <c r="AF71" s="2" t="str">
        <f t="shared" si="29"/>
        <v>-</v>
      </c>
      <c r="AG71" s="2">
        <f t="shared" si="30"/>
        <v>2800</v>
      </c>
      <c r="AH71" s="2">
        <f t="shared" si="31"/>
        <v>5199</v>
      </c>
      <c r="AI71" s="2">
        <f t="shared" si="32"/>
        <v>5994</v>
      </c>
      <c r="AJ71" s="2">
        <f t="shared" si="33"/>
        <v>1143</v>
      </c>
      <c r="AK71" s="2">
        <f t="shared" si="34"/>
        <v>787</v>
      </c>
      <c r="AL71" s="2">
        <f t="shared" si="35"/>
        <v>609</v>
      </c>
      <c r="AM71" s="2">
        <f t="shared" si="36"/>
        <v>502</v>
      </c>
      <c r="AN71" s="2">
        <f t="shared" si="37"/>
        <v>431</v>
      </c>
      <c r="AO71" s="2" t="str">
        <f t="shared" si="38"/>
        <v>-</v>
      </c>
      <c r="AP71" s="2">
        <f t="shared" si="39"/>
        <v>3200</v>
      </c>
      <c r="AQ71" s="2">
        <f t="shared" si="40"/>
        <v>4799</v>
      </c>
      <c r="AR71" s="2">
        <f t="shared" si="41"/>
        <v>5594</v>
      </c>
      <c r="AS71" s="2">
        <f t="shared" si="42"/>
        <v>1067</v>
      </c>
      <c r="AT71" s="2">
        <f t="shared" si="43"/>
        <v>734</v>
      </c>
      <c r="AU71" s="2">
        <f t="shared" si="44"/>
        <v>568</v>
      </c>
      <c r="AV71" s="2">
        <f t="shared" si="45"/>
        <v>468</v>
      </c>
      <c r="AW71" s="2">
        <f t="shared" si="46"/>
        <v>402</v>
      </c>
      <c r="AX71" s="2" t="str">
        <f t="shared" si="47"/>
        <v>-</v>
      </c>
    </row>
    <row r="72" ht="14.25" customHeight="1">
      <c r="A72" s="2" t="str">
        <f t="array" ref="A72">IFERROR(INDEX('Product Price'!A:A,SMALL('Product Price'!$D:$D,70)),"")</f>
        <v>SAMSUNG Galaxy A17 5G 8/256 GB</v>
      </c>
      <c r="B72" s="2">
        <f t="array" ref="B72">IFERROR(INDEX('Product Price'!B:B,SMALL('Product Price'!$D:$D,70)),"")</f>
        <v>9299</v>
      </c>
      <c r="C72" s="2">
        <f t="array" ref="C72">IFERROR(INDEX('Product Price'!C:C,SMALL('Product Price'!$D:$D,70)),"")</f>
        <v>60</v>
      </c>
      <c r="D72" s="2">
        <f t="shared" si="1"/>
        <v>795</v>
      </c>
      <c r="E72" s="2">
        <f t="shared" si="2"/>
        <v>10094</v>
      </c>
      <c r="F72" s="2">
        <f t="shared" si="48"/>
        <v>1395</v>
      </c>
      <c r="G72" s="2">
        <f t="shared" si="4"/>
        <v>7904</v>
      </c>
      <c r="H72" s="2">
        <f t="shared" si="5"/>
        <v>8699</v>
      </c>
      <c r="I72" s="2">
        <f t="shared" si="6"/>
        <v>1659</v>
      </c>
      <c r="J72" s="2">
        <f t="shared" si="7"/>
        <v>1142</v>
      </c>
      <c r="K72" s="2">
        <f t="shared" si="8"/>
        <v>883</v>
      </c>
      <c r="L72" s="2">
        <f t="shared" si="9"/>
        <v>728</v>
      </c>
      <c r="M72" s="2">
        <f t="shared" si="10"/>
        <v>625</v>
      </c>
      <c r="N72" s="2">
        <f t="shared" si="11"/>
        <v>495</v>
      </c>
      <c r="O72" s="2">
        <f t="shared" si="12"/>
        <v>1860</v>
      </c>
      <c r="P72" s="2">
        <f t="shared" si="13"/>
        <v>7439</v>
      </c>
      <c r="Q72" s="2">
        <f t="shared" si="14"/>
        <v>8234</v>
      </c>
      <c r="R72" s="2">
        <f t="shared" si="15"/>
        <v>1570</v>
      </c>
      <c r="S72" s="2">
        <f t="shared" si="16"/>
        <v>1081</v>
      </c>
      <c r="T72" s="2">
        <f t="shared" si="17"/>
        <v>836</v>
      </c>
      <c r="U72" s="2">
        <f t="shared" si="18"/>
        <v>689</v>
      </c>
      <c r="V72" s="2">
        <f t="shared" si="19"/>
        <v>591</v>
      </c>
      <c r="W72" s="2">
        <f t="shared" si="20"/>
        <v>469</v>
      </c>
      <c r="X72" s="2">
        <f t="shared" si="21"/>
        <v>2325</v>
      </c>
      <c r="Y72" s="2">
        <f t="shared" si="22"/>
        <v>6974</v>
      </c>
      <c r="Z72" s="2">
        <f t="shared" si="23"/>
        <v>7769</v>
      </c>
      <c r="AA72" s="2">
        <f t="shared" si="24"/>
        <v>1482</v>
      </c>
      <c r="AB72" s="2">
        <f t="shared" si="25"/>
        <v>1020</v>
      </c>
      <c r="AC72" s="2">
        <f t="shared" si="26"/>
        <v>789</v>
      </c>
      <c r="AD72" s="2">
        <f t="shared" si="27"/>
        <v>650</v>
      </c>
      <c r="AE72" s="2">
        <f t="shared" si="28"/>
        <v>558</v>
      </c>
      <c r="AF72" s="2">
        <f t="shared" si="29"/>
        <v>442</v>
      </c>
      <c r="AG72" s="2">
        <f t="shared" si="30"/>
        <v>3255</v>
      </c>
      <c r="AH72" s="2">
        <f t="shared" si="31"/>
        <v>6044</v>
      </c>
      <c r="AI72" s="2">
        <f t="shared" si="32"/>
        <v>6839</v>
      </c>
      <c r="AJ72" s="2">
        <f t="shared" si="33"/>
        <v>1304</v>
      </c>
      <c r="AK72" s="2">
        <f t="shared" si="34"/>
        <v>898</v>
      </c>
      <c r="AL72" s="2">
        <f t="shared" si="35"/>
        <v>694</v>
      </c>
      <c r="AM72" s="2">
        <f t="shared" si="36"/>
        <v>573</v>
      </c>
      <c r="AN72" s="2">
        <f t="shared" si="37"/>
        <v>491</v>
      </c>
      <c r="AO72" s="2" t="str">
        <f t="shared" si="38"/>
        <v>-</v>
      </c>
      <c r="AP72" s="2">
        <f t="shared" si="39"/>
        <v>3720</v>
      </c>
      <c r="AQ72" s="2">
        <f t="shared" si="40"/>
        <v>5579</v>
      </c>
      <c r="AR72" s="2">
        <f t="shared" si="41"/>
        <v>6374</v>
      </c>
      <c r="AS72" s="2">
        <f t="shared" si="42"/>
        <v>1216</v>
      </c>
      <c r="AT72" s="2">
        <f t="shared" si="43"/>
        <v>837</v>
      </c>
      <c r="AU72" s="2">
        <f t="shared" si="44"/>
        <v>647</v>
      </c>
      <c r="AV72" s="2">
        <f t="shared" si="45"/>
        <v>534</v>
      </c>
      <c r="AW72" s="2">
        <f t="shared" si="46"/>
        <v>458</v>
      </c>
      <c r="AX72" s="2" t="str">
        <f t="shared" si="47"/>
        <v>-</v>
      </c>
    </row>
    <row r="73" ht="14.25" customHeight="1">
      <c r="A73" s="2" t="str">
        <f t="array" ref="A73">IFERROR(INDEX('Product Price'!A:A,SMALL('Product Price'!$D:$D,71)),"")</f>
        <v>SAMSUNG Galaxy A26 5G 8/256 GB</v>
      </c>
      <c r="B73" s="2">
        <f t="array" ref="B73">IFERROR(INDEX('Product Price'!B:B,SMALL('Product Price'!$D:$D,71)),"")</f>
        <v>10999</v>
      </c>
      <c r="C73" s="2">
        <f t="array" ref="C73">IFERROR(INDEX('Product Price'!C:C,SMALL('Product Price'!$D:$D,71)),"")</f>
        <v>61</v>
      </c>
      <c r="D73" s="2">
        <f t="shared" si="1"/>
        <v>1450</v>
      </c>
      <c r="E73" s="2">
        <f t="shared" si="2"/>
        <v>12449</v>
      </c>
      <c r="F73" s="2">
        <f t="shared" si="48"/>
        <v>1650</v>
      </c>
      <c r="G73" s="2">
        <f t="shared" si="4"/>
        <v>9349</v>
      </c>
      <c r="H73" s="2">
        <f t="shared" si="5"/>
        <v>10799</v>
      </c>
      <c r="I73" s="2">
        <f t="shared" si="6"/>
        <v>2059</v>
      </c>
      <c r="J73" s="2">
        <f t="shared" si="7"/>
        <v>1417</v>
      </c>
      <c r="K73" s="2">
        <f t="shared" si="8"/>
        <v>1096</v>
      </c>
      <c r="L73" s="2">
        <f t="shared" si="9"/>
        <v>904</v>
      </c>
      <c r="M73" s="2">
        <f t="shared" si="10"/>
        <v>775</v>
      </c>
      <c r="N73" s="2">
        <f t="shared" si="11"/>
        <v>615</v>
      </c>
      <c r="O73" s="2">
        <f t="shared" si="12"/>
        <v>2200</v>
      </c>
      <c r="P73" s="2">
        <f t="shared" si="13"/>
        <v>8799</v>
      </c>
      <c r="Q73" s="2">
        <f t="shared" si="14"/>
        <v>10249</v>
      </c>
      <c r="R73" s="2">
        <f t="shared" si="15"/>
        <v>1954</v>
      </c>
      <c r="S73" s="2">
        <f t="shared" si="16"/>
        <v>1345</v>
      </c>
      <c r="T73" s="2">
        <f t="shared" si="17"/>
        <v>1040</v>
      </c>
      <c r="U73" s="2">
        <f t="shared" si="18"/>
        <v>858</v>
      </c>
      <c r="V73" s="2">
        <f t="shared" si="19"/>
        <v>736</v>
      </c>
      <c r="W73" s="2">
        <f t="shared" si="20"/>
        <v>584</v>
      </c>
      <c r="X73" s="2">
        <f t="shared" si="21"/>
        <v>2750</v>
      </c>
      <c r="Y73" s="2">
        <f t="shared" si="22"/>
        <v>8249</v>
      </c>
      <c r="Z73" s="2">
        <f t="shared" si="23"/>
        <v>9699</v>
      </c>
      <c r="AA73" s="2">
        <f t="shared" si="24"/>
        <v>1850</v>
      </c>
      <c r="AB73" s="2">
        <f t="shared" si="25"/>
        <v>1273</v>
      </c>
      <c r="AC73" s="2">
        <f t="shared" si="26"/>
        <v>985</v>
      </c>
      <c r="AD73" s="2">
        <f t="shared" si="27"/>
        <v>812</v>
      </c>
      <c r="AE73" s="2">
        <f t="shared" si="28"/>
        <v>696</v>
      </c>
      <c r="AF73" s="2">
        <f t="shared" si="29"/>
        <v>552</v>
      </c>
      <c r="AG73" s="2">
        <f t="shared" si="30"/>
        <v>3850</v>
      </c>
      <c r="AH73" s="2">
        <f t="shared" si="31"/>
        <v>7149</v>
      </c>
      <c r="AI73" s="2">
        <f t="shared" si="32"/>
        <v>8599</v>
      </c>
      <c r="AJ73" s="2">
        <f t="shared" si="33"/>
        <v>1640</v>
      </c>
      <c r="AK73" s="2">
        <f t="shared" si="34"/>
        <v>1129</v>
      </c>
      <c r="AL73" s="2">
        <f t="shared" si="35"/>
        <v>873</v>
      </c>
      <c r="AM73" s="2">
        <f t="shared" si="36"/>
        <v>720</v>
      </c>
      <c r="AN73" s="2">
        <f t="shared" si="37"/>
        <v>617</v>
      </c>
      <c r="AO73" s="2">
        <f t="shared" si="38"/>
        <v>490</v>
      </c>
      <c r="AP73" s="2">
        <f t="shared" si="39"/>
        <v>4400</v>
      </c>
      <c r="AQ73" s="2">
        <f t="shared" si="40"/>
        <v>6599</v>
      </c>
      <c r="AR73" s="2">
        <f t="shared" si="41"/>
        <v>8049</v>
      </c>
      <c r="AS73" s="2">
        <f t="shared" si="42"/>
        <v>1535</v>
      </c>
      <c r="AT73" s="2">
        <f t="shared" si="43"/>
        <v>1056</v>
      </c>
      <c r="AU73" s="2">
        <f t="shared" si="44"/>
        <v>817</v>
      </c>
      <c r="AV73" s="2">
        <f t="shared" si="45"/>
        <v>674</v>
      </c>
      <c r="AW73" s="2">
        <f t="shared" si="46"/>
        <v>578</v>
      </c>
      <c r="AX73" s="2">
        <f t="shared" si="47"/>
        <v>458</v>
      </c>
    </row>
    <row r="74" ht="14.25" customHeight="1">
      <c r="A74" s="2" t="str">
        <f t="array" ref="A74">IFERROR(INDEX('Product Price'!A:A,SMALL('Product Price'!$D:$D,72)),"")</f>
        <v>SAMSUNG Galaxy A57 5G 12/512 GB</v>
      </c>
      <c r="B74" s="2">
        <f t="array" ref="B74">IFERROR(INDEX('Product Price'!B:B,SMALL('Product Price'!$D:$D,72)),"")</f>
        <v>20999</v>
      </c>
      <c r="C74" s="2">
        <f t="array" ref="C74">IFERROR(INDEX('Product Price'!C:C,SMALL('Product Price'!$D:$D,72)),"")</f>
        <v>62</v>
      </c>
      <c r="D74" s="2">
        <f t="shared" si="1"/>
        <v>1900</v>
      </c>
      <c r="E74" s="2">
        <f t="shared" si="2"/>
        <v>22899</v>
      </c>
      <c r="F74" s="2">
        <f t="shared" si="48"/>
        <v>3150</v>
      </c>
      <c r="G74" s="2">
        <f t="shared" si="4"/>
        <v>17849</v>
      </c>
      <c r="H74" s="2">
        <f t="shared" si="5"/>
        <v>19749</v>
      </c>
      <c r="I74" s="2">
        <f t="shared" si="6"/>
        <v>3765</v>
      </c>
      <c r="J74" s="2">
        <f t="shared" si="7"/>
        <v>2591</v>
      </c>
      <c r="K74" s="2">
        <f t="shared" si="8"/>
        <v>2004</v>
      </c>
      <c r="L74" s="2">
        <f t="shared" si="9"/>
        <v>1652</v>
      </c>
      <c r="M74" s="2">
        <f t="shared" si="10"/>
        <v>1417</v>
      </c>
      <c r="N74" s="2">
        <f t="shared" si="11"/>
        <v>1124</v>
      </c>
      <c r="O74" s="2">
        <f t="shared" si="12"/>
        <v>4200</v>
      </c>
      <c r="P74" s="2">
        <f t="shared" si="13"/>
        <v>16799</v>
      </c>
      <c r="Q74" s="2">
        <f t="shared" si="14"/>
        <v>18699</v>
      </c>
      <c r="R74" s="2">
        <f t="shared" si="15"/>
        <v>3565</v>
      </c>
      <c r="S74" s="2">
        <f t="shared" si="16"/>
        <v>2454</v>
      </c>
      <c r="T74" s="2">
        <f t="shared" si="17"/>
        <v>1898</v>
      </c>
      <c r="U74" s="2">
        <f t="shared" si="18"/>
        <v>1564</v>
      </c>
      <c r="V74" s="2">
        <f t="shared" si="19"/>
        <v>1342</v>
      </c>
      <c r="W74" s="2">
        <f t="shared" si="20"/>
        <v>1064</v>
      </c>
      <c r="X74" s="2">
        <f t="shared" si="21"/>
        <v>5250</v>
      </c>
      <c r="Y74" s="2">
        <f t="shared" si="22"/>
        <v>15749</v>
      </c>
      <c r="Z74" s="2">
        <f t="shared" si="23"/>
        <v>17649</v>
      </c>
      <c r="AA74" s="2">
        <f t="shared" si="24"/>
        <v>3365</v>
      </c>
      <c r="AB74" s="2">
        <f t="shared" si="25"/>
        <v>2316</v>
      </c>
      <c r="AC74" s="2">
        <f t="shared" si="26"/>
        <v>1791</v>
      </c>
      <c r="AD74" s="2">
        <f t="shared" si="27"/>
        <v>1477</v>
      </c>
      <c r="AE74" s="2">
        <f t="shared" si="28"/>
        <v>1267</v>
      </c>
      <c r="AF74" s="2">
        <f t="shared" si="29"/>
        <v>1005</v>
      </c>
      <c r="AG74" s="2">
        <f t="shared" si="30"/>
        <v>7350</v>
      </c>
      <c r="AH74" s="2">
        <f t="shared" si="31"/>
        <v>13649</v>
      </c>
      <c r="AI74" s="2">
        <f t="shared" si="32"/>
        <v>15549</v>
      </c>
      <c r="AJ74" s="2">
        <f t="shared" si="33"/>
        <v>2965</v>
      </c>
      <c r="AK74" s="2">
        <f t="shared" si="34"/>
        <v>2040</v>
      </c>
      <c r="AL74" s="2">
        <f t="shared" si="35"/>
        <v>1578</v>
      </c>
      <c r="AM74" s="2">
        <f t="shared" si="36"/>
        <v>1301</v>
      </c>
      <c r="AN74" s="2">
        <f t="shared" si="37"/>
        <v>1116</v>
      </c>
      <c r="AO74" s="2">
        <f t="shared" si="38"/>
        <v>885</v>
      </c>
      <c r="AP74" s="2">
        <f t="shared" si="39"/>
        <v>8400</v>
      </c>
      <c r="AQ74" s="2">
        <f t="shared" si="40"/>
        <v>12599</v>
      </c>
      <c r="AR74" s="2">
        <f t="shared" si="41"/>
        <v>14499</v>
      </c>
      <c r="AS74" s="2">
        <f t="shared" si="42"/>
        <v>2765</v>
      </c>
      <c r="AT74" s="2">
        <f t="shared" si="43"/>
        <v>1903</v>
      </c>
      <c r="AU74" s="2">
        <f t="shared" si="44"/>
        <v>1472</v>
      </c>
      <c r="AV74" s="2">
        <f t="shared" si="45"/>
        <v>1213</v>
      </c>
      <c r="AW74" s="2">
        <f t="shared" si="46"/>
        <v>1041</v>
      </c>
      <c r="AX74" s="2">
        <f t="shared" si="47"/>
        <v>825</v>
      </c>
    </row>
    <row r="75" ht="14.25" customHeight="1">
      <c r="A75" s="2" t="str">
        <f t="array" ref="A75">IFERROR(INDEX('Product Price'!A:A,SMALL('Product Price'!$D:$D,73)),"")</f>
        <v>SAMSUNG Galaxy A57 5G 12/256 GB</v>
      </c>
      <c r="B75" s="2">
        <f t="array" ref="B75">IFERROR(INDEX('Product Price'!B:B,SMALL('Product Price'!$D:$D,73)),"")</f>
        <v>17999</v>
      </c>
      <c r="C75" s="2">
        <f t="array" ref="C75">IFERROR(INDEX('Product Price'!C:C,SMALL('Product Price'!$D:$D,73)),"")</f>
        <v>63</v>
      </c>
      <c r="D75" s="2">
        <f t="shared" si="1"/>
        <v>1450</v>
      </c>
      <c r="E75" s="2">
        <f t="shared" si="2"/>
        <v>19449</v>
      </c>
      <c r="F75" s="2">
        <f t="shared" si="48"/>
        <v>2700</v>
      </c>
      <c r="G75" s="2">
        <f t="shared" si="4"/>
        <v>15299</v>
      </c>
      <c r="H75" s="2">
        <f t="shared" si="5"/>
        <v>16749</v>
      </c>
      <c r="I75" s="2">
        <f t="shared" si="6"/>
        <v>3194</v>
      </c>
      <c r="J75" s="2">
        <f t="shared" si="7"/>
        <v>2198</v>
      </c>
      <c r="K75" s="2">
        <f t="shared" si="8"/>
        <v>1700</v>
      </c>
      <c r="L75" s="2">
        <f t="shared" si="9"/>
        <v>1401</v>
      </c>
      <c r="M75" s="2">
        <f t="shared" si="10"/>
        <v>1202</v>
      </c>
      <c r="N75" s="2">
        <f t="shared" si="11"/>
        <v>953</v>
      </c>
      <c r="O75" s="2">
        <f t="shared" si="12"/>
        <v>3600</v>
      </c>
      <c r="P75" s="2">
        <f t="shared" si="13"/>
        <v>14399</v>
      </c>
      <c r="Q75" s="2">
        <f t="shared" si="14"/>
        <v>15849</v>
      </c>
      <c r="R75" s="2">
        <f t="shared" si="15"/>
        <v>3022</v>
      </c>
      <c r="S75" s="2">
        <f t="shared" si="16"/>
        <v>2080</v>
      </c>
      <c r="T75" s="2">
        <f t="shared" si="17"/>
        <v>1609</v>
      </c>
      <c r="U75" s="2">
        <f t="shared" si="18"/>
        <v>1326</v>
      </c>
      <c r="V75" s="2">
        <f t="shared" si="19"/>
        <v>1138</v>
      </c>
      <c r="W75" s="2">
        <f t="shared" si="20"/>
        <v>902</v>
      </c>
      <c r="X75" s="2">
        <f t="shared" si="21"/>
        <v>4500</v>
      </c>
      <c r="Y75" s="2">
        <f t="shared" si="22"/>
        <v>13499</v>
      </c>
      <c r="Z75" s="2">
        <f t="shared" si="23"/>
        <v>14949</v>
      </c>
      <c r="AA75" s="2">
        <f t="shared" si="24"/>
        <v>2850</v>
      </c>
      <c r="AB75" s="2">
        <f t="shared" si="25"/>
        <v>1962</v>
      </c>
      <c r="AC75" s="2">
        <f t="shared" si="26"/>
        <v>1517</v>
      </c>
      <c r="AD75" s="2">
        <f t="shared" si="27"/>
        <v>1251</v>
      </c>
      <c r="AE75" s="2">
        <f t="shared" si="28"/>
        <v>1073</v>
      </c>
      <c r="AF75" s="2">
        <f t="shared" si="29"/>
        <v>851</v>
      </c>
      <c r="AG75" s="2">
        <f t="shared" si="30"/>
        <v>6300</v>
      </c>
      <c r="AH75" s="2">
        <f t="shared" si="31"/>
        <v>11699</v>
      </c>
      <c r="AI75" s="2">
        <f t="shared" si="32"/>
        <v>13149</v>
      </c>
      <c r="AJ75" s="2">
        <f t="shared" si="33"/>
        <v>2507</v>
      </c>
      <c r="AK75" s="2">
        <f t="shared" si="34"/>
        <v>1726</v>
      </c>
      <c r="AL75" s="2">
        <f t="shared" si="35"/>
        <v>1335</v>
      </c>
      <c r="AM75" s="2">
        <f t="shared" si="36"/>
        <v>1100</v>
      </c>
      <c r="AN75" s="2">
        <f t="shared" si="37"/>
        <v>944</v>
      </c>
      <c r="AO75" s="2">
        <f t="shared" si="38"/>
        <v>749</v>
      </c>
      <c r="AP75" s="2">
        <f t="shared" si="39"/>
        <v>7200</v>
      </c>
      <c r="AQ75" s="2">
        <f t="shared" si="40"/>
        <v>10799</v>
      </c>
      <c r="AR75" s="2">
        <f t="shared" si="41"/>
        <v>12249</v>
      </c>
      <c r="AS75" s="2">
        <f t="shared" si="42"/>
        <v>2336</v>
      </c>
      <c r="AT75" s="2">
        <f t="shared" si="43"/>
        <v>1607</v>
      </c>
      <c r="AU75" s="2">
        <f t="shared" si="44"/>
        <v>1243</v>
      </c>
      <c r="AV75" s="2">
        <f t="shared" si="45"/>
        <v>1025</v>
      </c>
      <c r="AW75" s="2">
        <f t="shared" si="46"/>
        <v>879</v>
      </c>
      <c r="AX75" s="2">
        <f t="shared" si="47"/>
        <v>697</v>
      </c>
    </row>
    <row r="76" ht="14.25" customHeight="1">
      <c r="A76" s="2" t="str">
        <f t="array" ref="A76">IFERROR(INDEX('Product Price'!A:A,SMALL('Product Price'!$D:$D,74)),"")</f>
        <v>SAMSUNG Galaxy A57 5G 8/256 GB</v>
      </c>
      <c r="B76" s="2">
        <f t="array" ref="B76">IFERROR(INDEX('Product Price'!B:B,SMALL('Product Price'!$D:$D,74)),"")</f>
        <v>16999</v>
      </c>
      <c r="C76" s="2">
        <f t="array" ref="C76">IFERROR(INDEX('Product Price'!C:C,SMALL('Product Price'!$D:$D,74)),"")</f>
        <v>64</v>
      </c>
      <c r="D76" s="2">
        <f t="shared" si="1"/>
        <v>1450</v>
      </c>
      <c r="E76" s="2">
        <f t="shared" si="2"/>
        <v>18449</v>
      </c>
      <c r="F76" s="2">
        <f t="shared" si="48"/>
        <v>2550</v>
      </c>
      <c r="G76" s="2">
        <f t="shared" si="4"/>
        <v>14449</v>
      </c>
      <c r="H76" s="2">
        <f t="shared" si="5"/>
        <v>15899</v>
      </c>
      <c r="I76" s="2">
        <f t="shared" si="6"/>
        <v>3031</v>
      </c>
      <c r="J76" s="2">
        <f t="shared" si="7"/>
        <v>2086</v>
      </c>
      <c r="K76" s="2">
        <f t="shared" si="8"/>
        <v>1614</v>
      </c>
      <c r="L76" s="2">
        <f t="shared" si="9"/>
        <v>1330</v>
      </c>
      <c r="M76" s="2">
        <f t="shared" si="10"/>
        <v>1141</v>
      </c>
      <c r="N76" s="2">
        <f t="shared" si="11"/>
        <v>905</v>
      </c>
      <c r="O76" s="2">
        <f t="shared" si="12"/>
        <v>3400</v>
      </c>
      <c r="P76" s="2">
        <f t="shared" si="13"/>
        <v>13599</v>
      </c>
      <c r="Q76" s="2">
        <f t="shared" si="14"/>
        <v>15049</v>
      </c>
      <c r="R76" s="2">
        <f t="shared" si="15"/>
        <v>2869</v>
      </c>
      <c r="S76" s="2">
        <f t="shared" si="16"/>
        <v>1975</v>
      </c>
      <c r="T76" s="2">
        <f t="shared" si="17"/>
        <v>1528</v>
      </c>
      <c r="U76" s="2">
        <f t="shared" si="18"/>
        <v>1259</v>
      </c>
      <c r="V76" s="2">
        <f t="shared" si="19"/>
        <v>1080</v>
      </c>
      <c r="W76" s="2">
        <f t="shared" si="20"/>
        <v>857</v>
      </c>
      <c r="X76" s="2">
        <f t="shared" si="21"/>
        <v>4250</v>
      </c>
      <c r="Y76" s="2">
        <f t="shared" si="22"/>
        <v>12749</v>
      </c>
      <c r="Z76" s="2">
        <f t="shared" si="23"/>
        <v>14199</v>
      </c>
      <c r="AA76" s="2">
        <f t="shared" si="24"/>
        <v>2707</v>
      </c>
      <c r="AB76" s="2">
        <f t="shared" si="25"/>
        <v>1863</v>
      </c>
      <c r="AC76" s="2">
        <f t="shared" si="26"/>
        <v>1441</v>
      </c>
      <c r="AD76" s="2">
        <f t="shared" si="27"/>
        <v>1188</v>
      </c>
      <c r="AE76" s="2">
        <f t="shared" si="28"/>
        <v>1019</v>
      </c>
      <c r="AF76" s="2">
        <f t="shared" si="29"/>
        <v>808</v>
      </c>
      <c r="AG76" s="2">
        <f t="shared" si="30"/>
        <v>5950</v>
      </c>
      <c r="AH76" s="2">
        <f t="shared" si="31"/>
        <v>11049</v>
      </c>
      <c r="AI76" s="2">
        <f t="shared" si="32"/>
        <v>12499</v>
      </c>
      <c r="AJ76" s="2">
        <f t="shared" si="33"/>
        <v>2383</v>
      </c>
      <c r="AK76" s="2">
        <f t="shared" si="34"/>
        <v>1640</v>
      </c>
      <c r="AL76" s="2">
        <f t="shared" si="35"/>
        <v>1269</v>
      </c>
      <c r="AM76" s="2">
        <f t="shared" si="36"/>
        <v>1046</v>
      </c>
      <c r="AN76" s="2">
        <f t="shared" si="37"/>
        <v>897</v>
      </c>
      <c r="AO76" s="2">
        <f t="shared" si="38"/>
        <v>712</v>
      </c>
      <c r="AP76" s="2">
        <f t="shared" si="39"/>
        <v>6800</v>
      </c>
      <c r="AQ76" s="2">
        <f t="shared" si="40"/>
        <v>10199</v>
      </c>
      <c r="AR76" s="2">
        <f t="shared" si="41"/>
        <v>11649</v>
      </c>
      <c r="AS76" s="2">
        <f t="shared" si="42"/>
        <v>2221</v>
      </c>
      <c r="AT76" s="2">
        <f t="shared" si="43"/>
        <v>1529</v>
      </c>
      <c r="AU76" s="2">
        <f t="shared" si="44"/>
        <v>1183</v>
      </c>
      <c r="AV76" s="2">
        <f t="shared" si="45"/>
        <v>975</v>
      </c>
      <c r="AW76" s="2">
        <f t="shared" si="46"/>
        <v>836</v>
      </c>
      <c r="AX76" s="2">
        <f t="shared" si="47"/>
        <v>663</v>
      </c>
    </row>
    <row r="77" ht="14.25" customHeight="1">
      <c r="A77" s="2" t="str">
        <f t="array" ref="A77">IFERROR(INDEX('Product Price'!A:A,SMALL('Product Price'!$D:$D,75)),"")</f>
        <v>SAMSUNG Galaxy A37 5G 8/256 GB</v>
      </c>
      <c r="B77" s="2">
        <f t="array" ref="B77">IFERROR(INDEX('Product Price'!B:B,SMALL('Product Price'!$D:$D,75)),"")</f>
        <v>13999</v>
      </c>
      <c r="C77" s="2">
        <f t="array" ref="C77">IFERROR(INDEX('Product Price'!C:C,SMALL('Product Price'!$D:$D,75)),"")</f>
        <v>65</v>
      </c>
      <c r="D77" s="2">
        <f t="shared" si="1"/>
        <v>1450</v>
      </c>
      <c r="E77" s="2">
        <f t="shared" si="2"/>
        <v>15449</v>
      </c>
      <c r="F77" s="2">
        <f t="shared" si="48"/>
        <v>2100</v>
      </c>
      <c r="G77" s="2">
        <f t="shared" si="4"/>
        <v>11899</v>
      </c>
      <c r="H77" s="2">
        <f t="shared" si="5"/>
        <v>13349</v>
      </c>
      <c r="I77" s="2">
        <f t="shared" si="6"/>
        <v>2545</v>
      </c>
      <c r="J77" s="2">
        <f t="shared" si="7"/>
        <v>1752</v>
      </c>
      <c r="K77" s="2">
        <f t="shared" si="8"/>
        <v>1355</v>
      </c>
      <c r="L77" s="2">
        <f t="shared" si="9"/>
        <v>1117</v>
      </c>
      <c r="M77" s="2">
        <f t="shared" si="10"/>
        <v>958</v>
      </c>
      <c r="N77" s="2">
        <f t="shared" si="11"/>
        <v>760</v>
      </c>
      <c r="O77" s="2">
        <f t="shared" si="12"/>
        <v>2800</v>
      </c>
      <c r="P77" s="2">
        <f t="shared" si="13"/>
        <v>11199</v>
      </c>
      <c r="Q77" s="2">
        <f t="shared" si="14"/>
        <v>12649</v>
      </c>
      <c r="R77" s="2">
        <f t="shared" si="15"/>
        <v>2412</v>
      </c>
      <c r="S77" s="2">
        <f t="shared" si="16"/>
        <v>1660</v>
      </c>
      <c r="T77" s="2">
        <f t="shared" si="17"/>
        <v>1284</v>
      </c>
      <c r="U77" s="2">
        <f t="shared" si="18"/>
        <v>1058</v>
      </c>
      <c r="V77" s="2">
        <f t="shared" si="19"/>
        <v>908</v>
      </c>
      <c r="W77" s="2">
        <f t="shared" si="20"/>
        <v>720</v>
      </c>
      <c r="X77" s="2">
        <f t="shared" si="21"/>
        <v>3500</v>
      </c>
      <c r="Y77" s="2">
        <f t="shared" si="22"/>
        <v>10499</v>
      </c>
      <c r="Z77" s="2">
        <f t="shared" si="23"/>
        <v>11949</v>
      </c>
      <c r="AA77" s="2">
        <f t="shared" si="24"/>
        <v>2278</v>
      </c>
      <c r="AB77" s="2">
        <f t="shared" si="25"/>
        <v>1568</v>
      </c>
      <c r="AC77" s="2">
        <f t="shared" si="26"/>
        <v>1213</v>
      </c>
      <c r="AD77" s="2">
        <f t="shared" si="27"/>
        <v>1000</v>
      </c>
      <c r="AE77" s="2">
        <f t="shared" si="28"/>
        <v>858</v>
      </c>
      <c r="AF77" s="2">
        <f t="shared" si="29"/>
        <v>680</v>
      </c>
      <c r="AG77" s="2">
        <f t="shared" si="30"/>
        <v>4900</v>
      </c>
      <c r="AH77" s="2">
        <f t="shared" si="31"/>
        <v>9099</v>
      </c>
      <c r="AI77" s="2">
        <f t="shared" si="32"/>
        <v>10549</v>
      </c>
      <c r="AJ77" s="2">
        <f t="shared" si="33"/>
        <v>2012</v>
      </c>
      <c r="AK77" s="2">
        <f t="shared" si="34"/>
        <v>1384</v>
      </c>
      <c r="AL77" s="2">
        <f t="shared" si="35"/>
        <v>1071</v>
      </c>
      <c r="AM77" s="2">
        <f t="shared" si="36"/>
        <v>883</v>
      </c>
      <c r="AN77" s="2">
        <f t="shared" si="37"/>
        <v>757</v>
      </c>
      <c r="AO77" s="2">
        <f t="shared" si="38"/>
        <v>601</v>
      </c>
      <c r="AP77" s="2">
        <f t="shared" si="39"/>
        <v>5600</v>
      </c>
      <c r="AQ77" s="2">
        <f t="shared" si="40"/>
        <v>8399</v>
      </c>
      <c r="AR77" s="2">
        <f t="shared" si="41"/>
        <v>9849</v>
      </c>
      <c r="AS77" s="2">
        <f t="shared" si="42"/>
        <v>1878</v>
      </c>
      <c r="AT77" s="2">
        <f t="shared" si="43"/>
        <v>1293</v>
      </c>
      <c r="AU77" s="2">
        <f t="shared" si="44"/>
        <v>1000</v>
      </c>
      <c r="AV77" s="2">
        <f t="shared" si="45"/>
        <v>824</v>
      </c>
      <c r="AW77" s="2">
        <f t="shared" si="46"/>
        <v>707</v>
      </c>
      <c r="AX77" s="2">
        <f t="shared" si="47"/>
        <v>561</v>
      </c>
    </row>
    <row r="78" ht="14.25" customHeight="1">
      <c r="A78" s="2" t="str">
        <f t="array" ref="A78">IFERROR(INDEX('Product Price'!A:A,SMALL('Product Price'!$D:$D,76)),"")</f>
        <v>SAMSUNG Galaxy A36 5G 8/128 GB</v>
      </c>
      <c r="B78" s="2">
        <f t="array" ref="B78">IFERROR(INDEX('Product Price'!B:B,SMALL('Product Price'!$D:$D,76)),"")</f>
        <v>11999</v>
      </c>
      <c r="C78" s="2">
        <f t="array" ref="C78">IFERROR(INDEX('Product Price'!C:C,SMALL('Product Price'!$D:$D,76)),"")</f>
        <v>66</v>
      </c>
      <c r="D78" s="2">
        <f t="shared" si="1"/>
        <v>1450</v>
      </c>
      <c r="E78" s="2">
        <f t="shared" si="2"/>
        <v>13449</v>
      </c>
      <c r="F78" s="2">
        <f t="shared" si="48"/>
        <v>1800</v>
      </c>
      <c r="G78" s="2">
        <f t="shared" si="4"/>
        <v>10199</v>
      </c>
      <c r="H78" s="2">
        <f t="shared" si="5"/>
        <v>11649</v>
      </c>
      <c r="I78" s="2">
        <f t="shared" si="6"/>
        <v>2221</v>
      </c>
      <c r="J78" s="2">
        <f t="shared" si="7"/>
        <v>1529</v>
      </c>
      <c r="K78" s="2">
        <f t="shared" si="8"/>
        <v>1183</v>
      </c>
      <c r="L78" s="2">
        <f t="shared" si="9"/>
        <v>975</v>
      </c>
      <c r="M78" s="2">
        <f t="shared" si="10"/>
        <v>836</v>
      </c>
      <c r="N78" s="2">
        <f t="shared" si="11"/>
        <v>663</v>
      </c>
      <c r="O78" s="2">
        <f t="shared" si="12"/>
        <v>2400</v>
      </c>
      <c r="P78" s="2">
        <f t="shared" si="13"/>
        <v>9599</v>
      </c>
      <c r="Q78" s="2">
        <f t="shared" si="14"/>
        <v>11049</v>
      </c>
      <c r="R78" s="2">
        <f t="shared" si="15"/>
        <v>2107</v>
      </c>
      <c r="S78" s="2">
        <f t="shared" si="16"/>
        <v>1450</v>
      </c>
      <c r="T78" s="2">
        <f t="shared" si="17"/>
        <v>1122</v>
      </c>
      <c r="U78" s="2">
        <f t="shared" si="18"/>
        <v>925</v>
      </c>
      <c r="V78" s="2">
        <f t="shared" si="19"/>
        <v>793</v>
      </c>
      <c r="W78" s="2">
        <f t="shared" si="20"/>
        <v>629</v>
      </c>
      <c r="X78" s="2">
        <f t="shared" si="21"/>
        <v>3000</v>
      </c>
      <c r="Y78" s="2">
        <f t="shared" si="22"/>
        <v>8999</v>
      </c>
      <c r="Z78" s="2">
        <f t="shared" si="23"/>
        <v>10449</v>
      </c>
      <c r="AA78" s="2">
        <f t="shared" si="24"/>
        <v>1992</v>
      </c>
      <c r="AB78" s="2">
        <f t="shared" si="25"/>
        <v>1371</v>
      </c>
      <c r="AC78" s="2">
        <f t="shared" si="26"/>
        <v>1061</v>
      </c>
      <c r="AD78" s="2">
        <f t="shared" si="27"/>
        <v>874</v>
      </c>
      <c r="AE78" s="2">
        <f t="shared" si="28"/>
        <v>750</v>
      </c>
      <c r="AF78" s="2">
        <f t="shared" si="29"/>
        <v>595</v>
      </c>
      <c r="AG78" s="2">
        <f t="shared" si="30"/>
        <v>4200</v>
      </c>
      <c r="AH78" s="2">
        <f t="shared" si="31"/>
        <v>7799</v>
      </c>
      <c r="AI78" s="2">
        <f t="shared" si="32"/>
        <v>9249</v>
      </c>
      <c r="AJ78" s="2">
        <f t="shared" si="33"/>
        <v>1764</v>
      </c>
      <c r="AK78" s="2">
        <f t="shared" si="34"/>
        <v>1214</v>
      </c>
      <c r="AL78" s="2">
        <f t="shared" si="35"/>
        <v>939</v>
      </c>
      <c r="AM78" s="2">
        <f t="shared" si="36"/>
        <v>774</v>
      </c>
      <c r="AN78" s="2">
        <f t="shared" si="37"/>
        <v>664</v>
      </c>
      <c r="AO78" s="2">
        <f t="shared" si="38"/>
        <v>527</v>
      </c>
      <c r="AP78" s="2">
        <f t="shared" si="39"/>
        <v>4800</v>
      </c>
      <c r="AQ78" s="2">
        <f t="shared" si="40"/>
        <v>7199</v>
      </c>
      <c r="AR78" s="2">
        <f t="shared" si="41"/>
        <v>8649</v>
      </c>
      <c r="AS78" s="2">
        <f t="shared" si="42"/>
        <v>1649</v>
      </c>
      <c r="AT78" s="2">
        <f t="shared" si="43"/>
        <v>1135</v>
      </c>
      <c r="AU78" s="2">
        <f t="shared" si="44"/>
        <v>878</v>
      </c>
      <c r="AV78" s="2">
        <f t="shared" si="45"/>
        <v>724</v>
      </c>
      <c r="AW78" s="2">
        <f t="shared" si="46"/>
        <v>621</v>
      </c>
      <c r="AX78" s="2">
        <f t="shared" si="47"/>
        <v>493</v>
      </c>
    </row>
    <row r="79" ht="14.25" customHeight="1">
      <c r="A79" s="2" t="str">
        <f t="array" ref="A79">IFERROR(INDEX('Product Price'!A:A,SMALL('Product Price'!$D:$D,77)),"")</f>
        <v>SAMSUNG Galaxy A56 5G 8/128 GB</v>
      </c>
      <c r="B79" s="2">
        <f t="array" ref="B79">IFERROR(INDEX('Product Price'!B:B,SMALL('Product Price'!$D:$D,77)),"")</f>
        <v>13999</v>
      </c>
      <c r="C79" s="2">
        <f t="array" ref="C79">IFERROR(INDEX('Product Price'!C:C,SMALL('Product Price'!$D:$D,77)),"")</f>
        <v>67</v>
      </c>
      <c r="D79" s="2">
        <f t="shared" si="1"/>
        <v>1450</v>
      </c>
      <c r="E79" s="2">
        <f t="shared" si="2"/>
        <v>15449</v>
      </c>
      <c r="F79" s="2">
        <f t="shared" si="48"/>
        <v>2100</v>
      </c>
      <c r="G79" s="2">
        <f t="shared" si="4"/>
        <v>11899</v>
      </c>
      <c r="H79" s="2">
        <f t="shared" si="5"/>
        <v>13349</v>
      </c>
      <c r="I79" s="2">
        <f t="shared" si="6"/>
        <v>2545</v>
      </c>
      <c r="J79" s="2">
        <f t="shared" si="7"/>
        <v>1752</v>
      </c>
      <c r="K79" s="2">
        <f t="shared" si="8"/>
        <v>1355</v>
      </c>
      <c r="L79" s="2">
        <f t="shared" si="9"/>
        <v>1117</v>
      </c>
      <c r="M79" s="2">
        <f t="shared" si="10"/>
        <v>958</v>
      </c>
      <c r="N79" s="2">
        <f t="shared" si="11"/>
        <v>760</v>
      </c>
      <c r="O79" s="2">
        <f t="shared" si="12"/>
        <v>2800</v>
      </c>
      <c r="P79" s="2">
        <f t="shared" si="13"/>
        <v>11199</v>
      </c>
      <c r="Q79" s="2">
        <f t="shared" si="14"/>
        <v>12649</v>
      </c>
      <c r="R79" s="2">
        <f t="shared" si="15"/>
        <v>2412</v>
      </c>
      <c r="S79" s="2">
        <f t="shared" si="16"/>
        <v>1660</v>
      </c>
      <c r="T79" s="2">
        <f t="shared" si="17"/>
        <v>1284</v>
      </c>
      <c r="U79" s="2">
        <f t="shared" si="18"/>
        <v>1058</v>
      </c>
      <c r="V79" s="2">
        <f t="shared" si="19"/>
        <v>908</v>
      </c>
      <c r="W79" s="2">
        <f t="shared" si="20"/>
        <v>720</v>
      </c>
      <c r="X79" s="2">
        <f t="shared" si="21"/>
        <v>3500</v>
      </c>
      <c r="Y79" s="2">
        <f t="shared" si="22"/>
        <v>10499</v>
      </c>
      <c r="Z79" s="2">
        <f t="shared" si="23"/>
        <v>11949</v>
      </c>
      <c r="AA79" s="2">
        <f t="shared" si="24"/>
        <v>2278</v>
      </c>
      <c r="AB79" s="2">
        <f t="shared" si="25"/>
        <v>1568</v>
      </c>
      <c r="AC79" s="2">
        <f t="shared" si="26"/>
        <v>1213</v>
      </c>
      <c r="AD79" s="2">
        <f t="shared" si="27"/>
        <v>1000</v>
      </c>
      <c r="AE79" s="2">
        <f t="shared" si="28"/>
        <v>858</v>
      </c>
      <c r="AF79" s="2">
        <f t="shared" si="29"/>
        <v>680</v>
      </c>
      <c r="AG79" s="2">
        <f t="shared" si="30"/>
        <v>4900</v>
      </c>
      <c r="AH79" s="2">
        <f t="shared" si="31"/>
        <v>9099</v>
      </c>
      <c r="AI79" s="2">
        <f t="shared" si="32"/>
        <v>10549</v>
      </c>
      <c r="AJ79" s="2">
        <f t="shared" si="33"/>
        <v>2012</v>
      </c>
      <c r="AK79" s="2">
        <f t="shared" si="34"/>
        <v>1384</v>
      </c>
      <c r="AL79" s="2">
        <f t="shared" si="35"/>
        <v>1071</v>
      </c>
      <c r="AM79" s="2">
        <f t="shared" si="36"/>
        <v>883</v>
      </c>
      <c r="AN79" s="2">
        <f t="shared" si="37"/>
        <v>757</v>
      </c>
      <c r="AO79" s="2">
        <f t="shared" si="38"/>
        <v>601</v>
      </c>
      <c r="AP79" s="2">
        <f t="shared" si="39"/>
        <v>5600</v>
      </c>
      <c r="AQ79" s="2">
        <f t="shared" si="40"/>
        <v>8399</v>
      </c>
      <c r="AR79" s="2">
        <f t="shared" si="41"/>
        <v>9849</v>
      </c>
      <c r="AS79" s="2">
        <f t="shared" si="42"/>
        <v>1878</v>
      </c>
      <c r="AT79" s="2">
        <f t="shared" si="43"/>
        <v>1293</v>
      </c>
      <c r="AU79" s="2">
        <f t="shared" si="44"/>
        <v>1000</v>
      </c>
      <c r="AV79" s="2">
        <f t="shared" si="45"/>
        <v>824</v>
      </c>
      <c r="AW79" s="2">
        <f t="shared" si="46"/>
        <v>707</v>
      </c>
      <c r="AX79" s="2">
        <f t="shared" si="47"/>
        <v>561</v>
      </c>
    </row>
    <row r="80" ht="14.25" customHeight="1">
      <c r="A80" s="2" t="str">
        <f t="array" ref="A80">IFERROR(INDEX('Product Price'!A:A,SMALL('Product Price'!$D:$D,78)),"")</f>
        <v>SAMSUNG Galaxy A56 5G 12/256 GB</v>
      </c>
      <c r="B80" s="2">
        <f t="array" ref="B80">IFERROR(INDEX('Product Price'!B:B,SMALL('Product Price'!$D:$D,78)),"")</f>
        <v>15999</v>
      </c>
      <c r="C80" s="2">
        <f t="array" ref="C80">IFERROR(INDEX('Product Price'!C:C,SMALL('Product Price'!$D:$D,78)),"")</f>
        <v>68</v>
      </c>
      <c r="D80" s="2">
        <f t="shared" si="1"/>
        <v>1450</v>
      </c>
      <c r="E80" s="2">
        <f t="shared" si="2"/>
        <v>17449</v>
      </c>
      <c r="F80" s="2">
        <f t="shared" si="48"/>
        <v>2400</v>
      </c>
      <c r="G80" s="2">
        <f t="shared" si="4"/>
        <v>13599</v>
      </c>
      <c r="H80" s="2">
        <f t="shared" si="5"/>
        <v>15049</v>
      </c>
      <c r="I80" s="2">
        <f t="shared" si="6"/>
        <v>2869</v>
      </c>
      <c r="J80" s="2">
        <f t="shared" si="7"/>
        <v>1975</v>
      </c>
      <c r="K80" s="2">
        <f t="shared" si="8"/>
        <v>1528</v>
      </c>
      <c r="L80" s="2">
        <f t="shared" si="9"/>
        <v>1259</v>
      </c>
      <c r="M80" s="2">
        <f t="shared" si="10"/>
        <v>1080</v>
      </c>
      <c r="N80" s="2">
        <f t="shared" si="11"/>
        <v>857</v>
      </c>
      <c r="O80" s="2">
        <f t="shared" si="12"/>
        <v>3200</v>
      </c>
      <c r="P80" s="2">
        <f t="shared" si="13"/>
        <v>12799</v>
      </c>
      <c r="Q80" s="2">
        <f t="shared" si="14"/>
        <v>14249</v>
      </c>
      <c r="R80" s="2">
        <f t="shared" si="15"/>
        <v>2717</v>
      </c>
      <c r="S80" s="2">
        <f t="shared" si="16"/>
        <v>1870</v>
      </c>
      <c r="T80" s="2">
        <f t="shared" si="17"/>
        <v>1446</v>
      </c>
      <c r="U80" s="2">
        <f t="shared" si="18"/>
        <v>1192</v>
      </c>
      <c r="V80" s="2">
        <f t="shared" si="19"/>
        <v>1023</v>
      </c>
      <c r="W80" s="2">
        <f t="shared" si="20"/>
        <v>811</v>
      </c>
      <c r="X80" s="2">
        <f t="shared" si="21"/>
        <v>4000</v>
      </c>
      <c r="Y80" s="2">
        <f t="shared" si="22"/>
        <v>11999</v>
      </c>
      <c r="Z80" s="2">
        <f t="shared" si="23"/>
        <v>13449</v>
      </c>
      <c r="AA80" s="2">
        <f t="shared" si="24"/>
        <v>2564</v>
      </c>
      <c r="AB80" s="2">
        <f t="shared" si="25"/>
        <v>1765</v>
      </c>
      <c r="AC80" s="2">
        <f t="shared" si="26"/>
        <v>1365</v>
      </c>
      <c r="AD80" s="2">
        <f t="shared" si="27"/>
        <v>1125</v>
      </c>
      <c r="AE80" s="2">
        <f t="shared" si="28"/>
        <v>965</v>
      </c>
      <c r="AF80" s="2">
        <f t="shared" si="29"/>
        <v>766</v>
      </c>
      <c r="AG80" s="2">
        <f t="shared" si="30"/>
        <v>5600</v>
      </c>
      <c r="AH80" s="2">
        <f t="shared" si="31"/>
        <v>10399</v>
      </c>
      <c r="AI80" s="2">
        <f t="shared" si="32"/>
        <v>11849</v>
      </c>
      <c r="AJ80" s="2">
        <f t="shared" si="33"/>
        <v>2259</v>
      </c>
      <c r="AK80" s="2">
        <f t="shared" si="34"/>
        <v>1555</v>
      </c>
      <c r="AL80" s="2">
        <f t="shared" si="35"/>
        <v>1203</v>
      </c>
      <c r="AM80" s="2">
        <f t="shared" si="36"/>
        <v>992</v>
      </c>
      <c r="AN80" s="2">
        <f t="shared" si="37"/>
        <v>851</v>
      </c>
      <c r="AO80" s="2">
        <f t="shared" si="38"/>
        <v>675</v>
      </c>
      <c r="AP80" s="2">
        <f t="shared" si="39"/>
        <v>6400</v>
      </c>
      <c r="AQ80" s="2">
        <f t="shared" si="40"/>
        <v>9599</v>
      </c>
      <c r="AR80" s="2">
        <f t="shared" si="41"/>
        <v>11049</v>
      </c>
      <c r="AS80" s="2">
        <f t="shared" si="42"/>
        <v>2107</v>
      </c>
      <c r="AT80" s="2">
        <f t="shared" si="43"/>
        <v>1450</v>
      </c>
      <c r="AU80" s="2">
        <f t="shared" si="44"/>
        <v>1122</v>
      </c>
      <c r="AV80" s="2">
        <f t="shared" si="45"/>
        <v>925</v>
      </c>
      <c r="AW80" s="2">
        <f t="shared" si="46"/>
        <v>793</v>
      </c>
      <c r="AX80" s="2">
        <f t="shared" si="47"/>
        <v>629</v>
      </c>
    </row>
    <row r="81" ht="14.25" customHeight="1">
      <c r="A81" s="2" t="str">
        <f t="array" ref="A81">IFERROR(INDEX('Product Price'!A:A,SMALL('Product Price'!$D:$D,79)),"")</f>
        <v>SAMSUNG Galaxy Z Flip6 12/256 GB</v>
      </c>
      <c r="B81" s="2">
        <f t="array" ref="B81">IFERROR(INDEX('Product Price'!B:B,SMALL('Product Price'!$D:$D,79)),"")</f>
        <v>42900</v>
      </c>
      <c r="C81" s="2">
        <f t="array" ref="C81">IFERROR(INDEX('Product Price'!C:C,SMALL('Product Price'!$D:$D,79)),"")</f>
        <v>69</v>
      </c>
      <c r="D81" s="2">
        <f t="shared" si="1"/>
        <v>2475</v>
      </c>
      <c r="E81" s="2">
        <f t="shared" si="2"/>
        <v>45375</v>
      </c>
      <c r="F81" s="2">
        <f t="shared" si="48"/>
        <v>6435</v>
      </c>
      <c r="G81" s="2">
        <f t="shared" si="4"/>
        <v>36465</v>
      </c>
      <c r="H81" s="2">
        <f t="shared" si="5"/>
        <v>38940</v>
      </c>
      <c r="I81" s="2">
        <f t="shared" si="6"/>
        <v>7424</v>
      </c>
      <c r="J81" s="2">
        <f t="shared" si="7"/>
        <v>5109</v>
      </c>
      <c r="K81" s="2">
        <f t="shared" si="8"/>
        <v>3952</v>
      </c>
      <c r="L81" s="2">
        <f t="shared" si="9"/>
        <v>3257</v>
      </c>
      <c r="M81" s="2">
        <f t="shared" si="10"/>
        <v>2794</v>
      </c>
      <c r="N81" s="2">
        <f t="shared" si="11"/>
        <v>2216</v>
      </c>
      <c r="O81" s="2">
        <f t="shared" si="12"/>
        <v>8580</v>
      </c>
      <c r="P81" s="2">
        <f t="shared" si="13"/>
        <v>34320</v>
      </c>
      <c r="Q81" s="2">
        <f t="shared" si="14"/>
        <v>36795</v>
      </c>
      <c r="R81" s="2">
        <f t="shared" si="15"/>
        <v>7015</v>
      </c>
      <c r="S81" s="2">
        <f t="shared" si="16"/>
        <v>4828</v>
      </c>
      <c r="T81" s="2">
        <f t="shared" si="17"/>
        <v>3734</v>
      </c>
      <c r="U81" s="2">
        <f t="shared" si="18"/>
        <v>3078</v>
      </c>
      <c r="V81" s="2">
        <f t="shared" si="19"/>
        <v>2641</v>
      </c>
      <c r="W81" s="2">
        <f t="shared" si="20"/>
        <v>2094</v>
      </c>
      <c r="X81" s="2">
        <f t="shared" si="21"/>
        <v>10725</v>
      </c>
      <c r="Y81" s="2">
        <f t="shared" si="22"/>
        <v>32175</v>
      </c>
      <c r="Z81" s="2">
        <f t="shared" si="23"/>
        <v>34650</v>
      </c>
      <c r="AA81" s="2">
        <f t="shared" si="24"/>
        <v>6606</v>
      </c>
      <c r="AB81" s="2">
        <f t="shared" si="25"/>
        <v>4546</v>
      </c>
      <c r="AC81" s="2">
        <f t="shared" si="26"/>
        <v>3516</v>
      </c>
      <c r="AD81" s="2">
        <f t="shared" si="27"/>
        <v>2899</v>
      </c>
      <c r="AE81" s="2">
        <f t="shared" si="28"/>
        <v>2487</v>
      </c>
      <c r="AF81" s="2">
        <f t="shared" si="29"/>
        <v>1972</v>
      </c>
      <c r="AG81" s="2">
        <f t="shared" si="30"/>
        <v>15015</v>
      </c>
      <c r="AH81" s="2">
        <f t="shared" si="31"/>
        <v>27885</v>
      </c>
      <c r="AI81" s="2">
        <f t="shared" si="32"/>
        <v>30360</v>
      </c>
      <c r="AJ81" s="2">
        <f t="shared" si="33"/>
        <v>5788</v>
      </c>
      <c r="AK81" s="2">
        <f t="shared" si="34"/>
        <v>3984</v>
      </c>
      <c r="AL81" s="2">
        <f t="shared" si="35"/>
        <v>3081</v>
      </c>
      <c r="AM81" s="2">
        <f t="shared" si="36"/>
        <v>2540</v>
      </c>
      <c r="AN81" s="2">
        <f t="shared" si="37"/>
        <v>2179</v>
      </c>
      <c r="AO81" s="2">
        <f t="shared" si="38"/>
        <v>1728</v>
      </c>
      <c r="AP81" s="2">
        <f t="shared" si="39"/>
        <v>17160</v>
      </c>
      <c r="AQ81" s="2">
        <f t="shared" si="40"/>
        <v>25740</v>
      </c>
      <c r="AR81" s="2">
        <f t="shared" si="41"/>
        <v>28215</v>
      </c>
      <c r="AS81" s="2">
        <f t="shared" si="42"/>
        <v>5379</v>
      </c>
      <c r="AT81" s="2">
        <f t="shared" si="43"/>
        <v>3702</v>
      </c>
      <c r="AU81" s="2">
        <f t="shared" si="44"/>
        <v>2864</v>
      </c>
      <c r="AV81" s="2">
        <f t="shared" si="45"/>
        <v>2360</v>
      </c>
      <c r="AW81" s="2">
        <f t="shared" si="46"/>
        <v>2025</v>
      </c>
      <c r="AX81" s="2">
        <f t="shared" si="47"/>
        <v>1606</v>
      </c>
    </row>
    <row r="82" ht="14.25" customHeight="1">
      <c r="A82" s="2" t="str">
        <f t="array" ref="A82">IFERROR(INDEX('Product Price'!A:A,SMALL('Product Price'!$D:$D,80)),"")</f>
        <v>SAMSUNG Galaxy Z Flip6 12/512 GB</v>
      </c>
      <c r="B82" s="2">
        <f t="array" ref="B82">IFERROR(INDEX('Product Price'!B:B,SMALL('Product Price'!$D:$D,80)),"")</f>
        <v>47900</v>
      </c>
      <c r="C82" s="2">
        <f t="array" ref="C82">IFERROR(INDEX('Product Price'!C:C,SMALL('Product Price'!$D:$D,80)),"")</f>
        <v>70</v>
      </c>
      <c r="D82" s="2">
        <f t="shared" si="1"/>
        <v>2475</v>
      </c>
      <c r="E82" s="2">
        <f t="shared" si="2"/>
        <v>50375</v>
      </c>
      <c r="F82" s="2">
        <f t="shared" si="48"/>
        <v>7185</v>
      </c>
      <c r="G82" s="2">
        <f t="shared" si="4"/>
        <v>40715</v>
      </c>
      <c r="H82" s="2">
        <f t="shared" si="5"/>
        <v>43190</v>
      </c>
      <c r="I82" s="2">
        <f t="shared" si="6"/>
        <v>8234</v>
      </c>
      <c r="J82" s="2">
        <f t="shared" si="7"/>
        <v>5667</v>
      </c>
      <c r="K82" s="2">
        <f t="shared" si="8"/>
        <v>4383</v>
      </c>
      <c r="L82" s="2">
        <f t="shared" si="9"/>
        <v>3613</v>
      </c>
      <c r="M82" s="2">
        <f t="shared" si="10"/>
        <v>3099</v>
      </c>
      <c r="N82" s="2">
        <f t="shared" si="11"/>
        <v>2458</v>
      </c>
      <c r="O82" s="2">
        <f t="shared" si="12"/>
        <v>9580</v>
      </c>
      <c r="P82" s="2">
        <f t="shared" si="13"/>
        <v>38320</v>
      </c>
      <c r="Q82" s="2">
        <f t="shared" si="14"/>
        <v>40795</v>
      </c>
      <c r="R82" s="2">
        <f t="shared" si="15"/>
        <v>7778</v>
      </c>
      <c r="S82" s="2">
        <f t="shared" si="16"/>
        <v>5353</v>
      </c>
      <c r="T82" s="2">
        <f t="shared" si="17"/>
        <v>4140</v>
      </c>
      <c r="U82" s="2">
        <f t="shared" si="18"/>
        <v>3413</v>
      </c>
      <c r="V82" s="2">
        <f t="shared" si="19"/>
        <v>2928</v>
      </c>
      <c r="W82" s="2">
        <f t="shared" si="20"/>
        <v>2321</v>
      </c>
      <c r="X82" s="2">
        <f t="shared" si="21"/>
        <v>11975</v>
      </c>
      <c r="Y82" s="2">
        <f t="shared" si="22"/>
        <v>35925</v>
      </c>
      <c r="Z82" s="2">
        <f t="shared" si="23"/>
        <v>38400</v>
      </c>
      <c r="AA82" s="2">
        <f t="shared" si="24"/>
        <v>7321</v>
      </c>
      <c r="AB82" s="2">
        <f t="shared" si="25"/>
        <v>5038</v>
      </c>
      <c r="AC82" s="2">
        <f t="shared" si="26"/>
        <v>3897</v>
      </c>
      <c r="AD82" s="2">
        <f t="shared" si="27"/>
        <v>3212</v>
      </c>
      <c r="AE82" s="2">
        <f t="shared" si="28"/>
        <v>2756</v>
      </c>
      <c r="AF82" s="2">
        <f t="shared" si="29"/>
        <v>2185</v>
      </c>
      <c r="AG82" s="2">
        <f t="shared" si="30"/>
        <v>16765</v>
      </c>
      <c r="AH82" s="2">
        <f t="shared" si="31"/>
        <v>31135</v>
      </c>
      <c r="AI82" s="2">
        <f t="shared" si="32"/>
        <v>33610</v>
      </c>
      <c r="AJ82" s="2">
        <f t="shared" si="33"/>
        <v>6408</v>
      </c>
      <c r="AK82" s="2">
        <f t="shared" si="34"/>
        <v>4410</v>
      </c>
      <c r="AL82" s="2">
        <f t="shared" si="35"/>
        <v>3411</v>
      </c>
      <c r="AM82" s="2">
        <f t="shared" si="36"/>
        <v>2812</v>
      </c>
      <c r="AN82" s="2">
        <f t="shared" si="37"/>
        <v>2412</v>
      </c>
      <c r="AO82" s="2">
        <f t="shared" si="38"/>
        <v>1913</v>
      </c>
      <c r="AP82" s="2">
        <f t="shared" si="39"/>
        <v>19160</v>
      </c>
      <c r="AQ82" s="2">
        <f t="shared" si="40"/>
        <v>28740</v>
      </c>
      <c r="AR82" s="2">
        <f t="shared" si="41"/>
        <v>31215</v>
      </c>
      <c r="AS82" s="2">
        <f t="shared" si="42"/>
        <v>5951</v>
      </c>
      <c r="AT82" s="2">
        <f t="shared" si="43"/>
        <v>4096</v>
      </c>
      <c r="AU82" s="2">
        <f t="shared" si="44"/>
        <v>3168</v>
      </c>
      <c r="AV82" s="2">
        <f t="shared" si="45"/>
        <v>2611</v>
      </c>
      <c r="AW82" s="2">
        <f t="shared" si="46"/>
        <v>2240</v>
      </c>
      <c r="AX82" s="2">
        <f t="shared" si="47"/>
        <v>1776</v>
      </c>
    </row>
    <row r="83" ht="14.25" customHeight="1">
      <c r="A83" s="2" t="str">
        <f t="array" ref="A83">IFERROR(INDEX('Product Price'!A:A,SMALL('Product Price'!$D:$D,81)),"")</f>
        <v>SAMSUNG Galaxy Z Flip7 12/256 GB</v>
      </c>
      <c r="B83" s="2">
        <f t="array" ref="B83">IFERROR(INDEX('Product Price'!B:B,SMALL('Product Price'!$D:$D,81)),"")</f>
        <v>40900</v>
      </c>
      <c r="C83" s="2">
        <f t="array" ref="C83">IFERROR(INDEX('Product Price'!C:C,SMALL('Product Price'!$D:$D,81)),"")</f>
        <v>71</v>
      </c>
      <c r="D83" s="2">
        <f t="shared" si="1"/>
        <v>2475</v>
      </c>
      <c r="E83" s="2">
        <f t="shared" si="2"/>
        <v>43375</v>
      </c>
      <c r="F83" s="2">
        <f t="shared" si="48"/>
        <v>6135</v>
      </c>
      <c r="G83" s="2">
        <f t="shared" si="4"/>
        <v>34765</v>
      </c>
      <c r="H83" s="2">
        <f t="shared" si="5"/>
        <v>37240</v>
      </c>
      <c r="I83" s="2">
        <f t="shared" si="6"/>
        <v>7100</v>
      </c>
      <c r="J83" s="2">
        <f t="shared" si="7"/>
        <v>4886</v>
      </c>
      <c r="K83" s="2">
        <f t="shared" si="8"/>
        <v>3779</v>
      </c>
      <c r="L83" s="2">
        <f t="shared" si="9"/>
        <v>3115</v>
      </c>
      <c r="M83" s="2">
        <f t="shared" si="10"/>
        <v>2672</v>
      </c>
      <c r="N83" s="2">
        <f t="shared" si="11"/>
        <v>2119</v>
      </c>
      <c r="O83" s="2">
        <f t="shared" si="12"/>
        <v>8180</v>
      </c>
      <c r="P83" s="2">
        <f t="shared" si="13"/>
        <v>32720</v>
      </c>
      <c r="Q83" s="2">
        <f t="shared" si="14"/>
        <v>35195</v>
      </c>
      <c r="R83" s="2">
        <f t="shared" si="15"/>
        <v>6710</v>
      </c>
      <c r="S83" s="2">
        <f t="shared" si="16"/>
        <v>4618</v>
      </c>
      <c r="T83" s="2">
        <f t="shared" si="17"/>
        <v>3572</v>
      </c>
      <c r="U83" s="2">
        <f t="shared" si="18"/>
        <v>2944</v>
      </c>
      <c r="V83" s="2">
        <f t="shared" si="19"/>
        <v>2526</v>
      </c>
      <c r="W83" s="2">
        <f t="shared" si="20"/>
        <v>2003</v>
      </c>
      <c r="X83" s="2">
        <f t="shared" si="21"/>
        <v>10225</v>
      </c>
      <c r="Y83" s="2">
        <f t="shared" si="22"/>
        <v>30675</v>
      </c>
      <c r="Z83" s="2">
        <f t="shared" si="23"/>
        <v>33150</v>
      </c>
      <c r="AA83" s="2">
        <f t="shared" si="24"/>
        <v>6320</v>
      </c>
      <c r="AB83" s="2">
        <f t="shared" si="25"/>
        <v>4350</v>
      </c>
      <c r="AC83" s="2">
        <f t="shared" si="26"/>
        <v>3364</v>
      </c>
      <c r="AD83" s="2">
        <f t="shared" si="27"/>
        <v>2773</v>
      </c>
      <c r="AE83" s="2">
        <f t="shared" si="28"/>
        <v>2379</v>
      </c>
      <c r="AF83" s="2">
        <f t="shared" si="29"/>
        <v>1886</v>
      </c>
      <c r="AG83" s="2">
        <f t="shared" si="30"/>
        <v>14315</v>
      </c>
      <c r="AH83" s="2">
        <f t="shared" si="31"/>
        <v>26585</v>
      </c>
      <c r="AI83" s="2">
        <f t="shared" si="32"/>
        <v>29060</v>
      </c>
      <c r="AJ83" s="2">
        <f t="shared" si="33"/>
        <v>5540</v>
      </c>
      <c r="AK83" s="2">
        <f t="shared" si="34"/>
        <v>3813</v>
      </c>
      <c r="AL83" s="2">
        <f t="shared" si="35"/>
        <v>2949</v>
      </c>
      <c r="AM83" s="2">
        <f t="shared" si="36"/>
        <v>2431</v>
      </c>
      <c r="AN83" s="2">
        <f t="shared" si="37"/>
        <v>2086</v>
      </c>
      <c r="AO83" s="2">
        <f t="shared" si="38"/>
        <v>1654</v>
      </c>
      <c r="AP83" s="2">
        <f t="shared" si="39"/>
        <v>16360</v>
      </c>
      <c r="AQ83" s="2">
        <f t="shared" si="40"/>
        <v>24540</v>
      </c>
      <c r="AR83" s="2">
        <f t="shared" si="41"/>
        <v>27015</v>
      </c>
      <c r="AS83" s="2">
        <f t="shared" si="42"/>
        <v>5151</v>
      </c>
      <c r="AT83" s="2">
        <f t="shared" si="43"/>
        <v>3545</v>
      </c>
      <c r="AU83" s="2">
        <f t="shared" si="44"/>
        <v>2742</v>
      </c>
      <c r="AV83" s="2">
        <f t="shared" si="45"/>
        <v>2260</v>
      </c>
      <c r="AW83" s="2">
        <f t="shared" si="46"/>
        <v>1939</v>
      </c>
      <c r="AX83" s="2">
        <f t="shared" si="47"/>
        <v>1537</v>
      </c>
    </row>
    <row r="84" ht="14.25" customHeight="1">
      <c r="A84" s="2" t="str">
        <f t="array" ref="A84">IFERROR(INDEX('Product Price'!A:A,SMALL('Product Price'!$D:$D,82)),"")</f>
        <v>SAMSUNG Galaxy Z Flip7 12/512 GB</v>
      </c>
      <c r="B84" s="2">
        <f t="array" ref="B84">IFERROR(INDEX('Product Price'!B:B,SMALL('Product Price'!$D:$D,82)),"")</f>
        <v>48900</v>
      </c>
      <c r="C84" s="2">
        <f t="array" ref="C84">IFERROR(INDEX('Product Price'!C:C,SMALL('Product Price'!$D:$D,82)),"")</f>
        <v>72</v>
      </c>
      <c r="D84" s="2">
        <f t="shared" si="1"/>
        <v>2475</v>
      </c>
      <c r="E84" s="2">
        <f t="shared" si="2"/>
        <v>51375</v>
      </c>
      <c r="F84" s="2">
        <f t="shared" si="48"/>
        <v>7335</v>
      </c>
      <c r="G84" s="2">
        <f t="shared" si="4"/>
        <v>41565</v>
      </c>
      <c r="H84" s="2">
        <f t="shared" si="5"/>
        <v>44040</v>
      </c>
      <c r="I84" s="2">
        <f t="shared" si="6"/>
        <v>8396</v>
      </c>
      <c r="J84" s="2">
        <f t="shared" si="7"/>
        <v>5778</v>
      </c>
      <c r="K84" s="2">
        <f t="shared" si="8"/>
        <v>4469</v>
      </c>
      <c r="L84" s="2">
        <f t="shared" si="9"/>
        <v>3684</v>
      </c>
      <c r="M84" s="2">
        <f t="shared" si="10"/>
        <v>3160</v>
      </c>
      <c r="N84" s="2">
        <f t="shared" si="11"/>
        <v>2506</v>
      </c>
      <c r="O84" s="2">
        <f t="shared" si="12"/>
        <v>9780</v>
      </c>
      <c r="P84" s="2">
        <f t="shared" si="13"/>
        <v>39120</v>
      </c>
      <c r="Q84" s="2">
        <f t="shared" si="14"/>
        <v>41595</v>
      </c>
      <c r="R84" s="2">
        <f t="shared" si="15"/>
        <v>7930</v>
      </c>
      <c r="S84" s="2">
        <f t="shared" si="16"/>
        <v>5458</v>
      </c>
      <c r="T84" s="2">
        <f t="shared" si="17"/>
        <v>4221</v>
      </c>
      <c r="U84" s="2">
        <f t="shared" si="18"/>
        <v>3479</v>
      </c>
      <c r="V84" s="2">
        <f t="shared" si="19"/>
        <v>2985</v>
      </c>
      <c r="W84" s="2">
        <f t="shared" si="20"/>
        <v>2367</v>
      </c>
      <c r="X84" s="2">
        <f t="shared" si="21"/>
        <v>12225</v>
      </c>
      <c r="Y84" s="2">
        <f t="shared" si="22"/>
        <v>36675</v>
      </c>
      <c r="Z84" s="2">
        <f t="shared" si="23"/>
        <v>39150</v>
      </c>
      <c r="AA84" s="2">
        <f t="shared" si="24"/>
        <v>7464</v>
      </c>
      <c r="AB84" s="2">
        <f t="shared" si="25"/>
        <v>5137</v>
      </c>
      <c r="AC84" s="2">
        <f t="shared" si="26"/>
        <v>3973</v>
      </c>
      <c r="AD84" s="2">
        <f t="shared" si="27"/>
        <v>3275</v>
      </c>
      <c r="AE84" s="2">
        <f t="shared" si="28"/>
        <v>2809</v>
      </c>
      <c r="AF84" s="2">
        <f t="shared" si="29"/>
        <v>2228</v>
      </c>
      <c r="AG84" s="2">
        <f t="shared" si="30"/>
        <v>17115</v>
      </c>
      <c r="AH84" s="2">
        <f t="shared" si="31"/>
        <v>31785</v>
      </c>
      <c r="AI84" s="2">
        <f t="shared" si="32"/>
        <v>34260</v>
      </c>
      <c r="AJ84" s="2">
        <f t="shared" si="33"/>
        <v>6532</v>
      </c>
      <c r="AK84" s="2">
        <f t="shared" si="34"/>
        <v>4495</v>
      </c>
      <c r="AL84" s="2">
        <f t="shared" si="35"/>
        <v>3477</v>
      </c>
      <c r="AM84" s="2">
        <f t="shared" si="36"/>
        <v>2866</v>
      </c>
      <c r="AN84" s="2">
        <f t="shared" si="37"/>
        <v>2459</v>
      </c>
      <c r="AO84" s="2">
        <f t="shared" si="38"/>
        <v>1949</v>
      </c>
      <c r="AP84" s="2">
        <f t="shared" si="39"/>
        <v>19560</v>
      </c>
      <c r="AQ84" s="2">
        <f t="shared" si="40"/>
        <v>29340</v>
      </c>
      <c r="AR84" s="2">
        <f t="shared" si="41"/>
        <v>31815</v>
      </c>
      <c r="AS84" s="2">
        <f t="shared" si="42"/>
        <v>6066</v>
      </c>
      <c r="AT84" s="2">
        <f t="shared" si="43"/>
        <v>4174</v>
      </c>
      <c r="AU84" s="2">
        <f t="shared" si="44"/>
        <v>3229</v>
      </c>
      <c r="AV84" s="2">
        <f t="shared" si="45"/>
        <v>2661</v>
      </c>
      <c r="AW84" s="2">
        <f t="shared" si="46"/>
        <v>2283</v>
      </c>
      <c r="AX84" s="2">
        <f t="shared" si="47"/>
        <v>1810</v>
      </c>
    </row>
    <row r="85" ht="14.25" customHeight="1">
      <c r="A85" s="2" t="str">
        <f t="array" ref="A85">IFERROR(INDEX('Product Price'!A:A,SMALL('Product Price'!$D:$D,83)),"")</f>
        <v>SAMSUNG Galaxy Z Flip7 FE 8/128 GB</v>
      </c>
      <c r="B85" s="2">
        <f t="array" ref="B85">IFERROR(INDEX('Product Price'!B:B,SMALL('Product Price'!$D:$D,83)),"")</f>
        <v>32900</v>
      </c>
      <c r="C85" s="2">
        <f t="array" ref="C85">IFERROR(INDEX('Product Price'!C:C,SMALL('Product Price'!$D:$D,83)),"")</f>
        <v>73</v>
      </c>
      <c r="D85" s="2">
        <f t="shared" si="1"/>
        <v>1900</v>
      </c>
      <c r="E85" s="2">
        <f t="shared" si="2"/>
        <v>34800</v>
      </c>
      <c r="F85" s="2">
        <f t="shared" si="48"/>
        <v>4935</v>
      </c>
      <c r="G85" s="2">
        <f t="shared" si="4"/>
        <v>27965</v>
      </c>
      <c r="H85" s="2">
        <f t="shared" si="5"/>
        <v>29865</v>
      </c>
      <c r="I85" s="2">
        <f t="shared" si="6"/>
        <v>5694</v>
      </c>
      <c r="J85" s="2">
        <f t="shared" si="7"/>
        <v>3919</v>
      </c>
      <c r="K85" s="2">
        <f t="shared" si="8"/>
        <v>3031</v>
      </c>
      <c r="L85" s="2">
        <f t="shared" si="9"/>
        <v>2498</v>
      </c>
      <c r="M85" s="2">
        <f t="shared" si="10"/>
        <v>2143</v>
      </c>
      <c r="N85" s="2">
        <f t="shared" si="11"/>
        <v>1699</v>
      </c>
      <c r="O85" s="2">
        <f t="shared" si="12"/>
        <v>6580</v>
      </c>
      <c r="P85" s="2">
        <f t="shared" si="13"/>
        <v>26320</v>
      </c>
      <c r="Q85" s="2">
        <f t="shared" si="14"/>
        <v>28220</v>
      </c>
      <c r="R85" s="2">
        <f t="shared" si="15"/>
        <v>5380</v>
      </c>
      <c r="S85" s="2">
        <f t="shared" si="16"/>
        <v>3703</v>
      </c>
      <c r="T85" s="2">
        <f t="shared" si="17"/>
        <v>2864</v>
      </c>
      <c r="U85" s="2">
        <f t="shared" si="18"/>
        <v>2361</v>
      </c>
      <c r="V85" s="2">
        <f t="shared" si="19"/>
        <v>2025</v>
      </c>
      <c r="W85" s="2">
        <f t="shared" si="20"/>
        <v>1606</v>
      </c>
      <c r="X85" s="2">
        <f t="shared" si="21"/>
        <v>8225</v>
      </c>
      <c r="Y85" s="2">
        <f t="shared" si="22"/>
        <v>24675</v>
      </c>
      <c r="Z85" s="2">
        <f t="shared" si="23"/>
        <v>26575</v>
      </c>
      <c r="AA85" s="2">
        <f t="shared" si="24"/>
        <v>5067</v>
      </c>
      <c r="AB85" s="2">
        <f t="shared" si="25"/>
        <v>3487</v>
      </c>
      <c r="AC85" s="2">
        <f t="shared" si="26"/>
        <v>2697</v>
      </c>
      <c r="AD85" s="2">
        <f t="shared" si="27"/>
        <v>2223</v>
      </c>
      <c r="AE85" s="2">
        <f t="shared" si="28"/>
        <v>1907</v>
      </c>
      <c r="AF85" s="2">
        <f t="shared" si="29"/>
        <v>1512</v>
      </c>
      <c r="AG85" s="2">
        <f t="shared" si="30"/>
        <v>11515</v>
      </c>
      <c r="AH85" s="2">
        <f t="shared" si="31"/>
        <v>21385</v>
      </c>
      <c r="AI85" s="2">
        <f t="shared" si="32"/>
        <v>23285</v>
      </c>
      <c r="AJ85" s="2">
        <f t="shared" si="33"/>
        <v>4440</v>
      </c>
      <c r="AK85" s="2">
        <f t="shared" si="34"/>
        <v>3055</v>
      </c>
      <c r="AL85" s="2">
        <f t="shared" si="35"/>
        <v>2363</v>
      </c>
      <c r="AM85" s="2">
        <f t="shared" si="36"/>
        <v>1948</v>
      </c>
      <c r="AN85" s="2">
        <f t="shared" si="37"/>
        <v>1671</v>
      </c>
      <c r="AO85" s="2">
        <f t="shared" si="38"/>
        <v>1325</v>
      </c>
      <c r="AP85" s="2">
        <f t="shared" si="39"/>
        <v>13160</v>
      </c>
      <c r="AQ85" s="2">
        <f t="shared" si="40"/>
        <v>19740</v>
      </c>
      <c r="AR85" s="2">
        <f t="shared" si="41"/>
        <v>21640</v>
      </c>
      <c r="AS85" s="2">
        <f t="shared" si="42"/>
        <v>4126</v>
      </c>
      <c r="AT85" s="2">
        <f t="shared" si="43"/>
        <v>2840</v>
      </c>
      <c r="AU85" s="2">
        <f t="shared" si="44"/>
        <v>2196</v>
      </c>
      <c r="AV85" s="2">
        <f t="shared" si="45"/>
        <v>1810</v>
      </c>
      <c r="AW85" s="2">
        <f t="shared" si="46"/>
        <v>1553</v>
      </c>
      <c r="AX85" s="2">
        <f t="shared" si="47"/>
        <v>1232</v>
      </c>
    </row>
    <row r="86" ht="14.25" customHeight="1">
      <c r="A86" s="2" t="str">
        <f t="array" ref="A86">IFERROR(INDEX('Product Price'!A:A,SMALL('Product Price'!$D:$D,84)),"")</f>
        <v>SAMSUNG Galaxy Z Flip7 FE 8/256 GB</v>
      </c>
      <c r="B86" s="2">
        <f t="array" ref="B86">IFERROR(INDEX('Product Price'!B:B,SMALL('Product Price'!$D:$D,84)),"")</f>
        <v>36900</v>
      </c>
      <c r="C86" s="2">
        <f t="array" ref="C86">IFERROR(INDEX('Product Price'!C:C,SMALL('Product Price'!$D:$D,84)),"")</f>
        <v>74</v>
      </c>
      <c r="D86" s="2">
        <f t="shared" si="1"/>
        <v>1900</v>
      </c>
      <c r="E86" s="2">
        <f t="shared" si="2"/>
        <v>38800</v>
      </c>
      <c r="F86" s="2">
        <f t="shared" si="48"/>
        <v>5535</v>
      </c>
      <c r="G86" s="2">
        <f t="shared" si="4"/>
        <v>31365</v>
      </c>
      <c r="H86" s="2">
        <f t="shared" si="5"/>
        <v>33265</v>
      </c>
      <c r="I86" s="2">
        <f t="shared" si="6"/>
        <v>6342</v>
      </c>
      <c r="J86" s="2">
        <f t="shared" si="7"/>
        <v>4365</v>
      </c>
      <c r="K86" s="2">
        <f t="shared" si="8"/>
        <v>3376</v>
      </c>
      <c r="L86" s="2">
        <f t="shared" si="9"/>
        <v>2783</v>
      </c>
      <c r="M86" s="2">
        <f t="shared" si="10"/>
        <v>2387</v>
      </c>
      <c r="N86" s="2">
        <f t="shared" si="11"/>
        <v>1893</v>
      </c>
      <c r="O86" s="2">
        <f t="shared" si="12"/>
        <v>7380</v>
      </c>
      <c r="P86" s="2">
        <f t="shared" si="13"/>
        <v>29520</v>
      </c>
      <c r="Q86" s="2">
        <f t="shared" si="14"/>
        <v>31420</v>
      </c>
      <c r="R86" s="2">
        <f t="shared" si="15"/>
        <v>5990</v>
      </c>
      <c r="S86" s="2">
        <f t="shared" si="16"/>
        <v>4123</v>
      </c>
      <c r="T86" s="2">
        <f t="shared" si="17"/>
        <v>3189</v>
      </c>
      <c r="U86" s="2">
        <f t="shared" si="18"/>
        <v>2628</v>
      </c>
      <c r="V86" s="2">
        <f t="shared" si="19"/>
        <v>2255</v>
      </c>
      <c r="W86" s="2">
        <f t="shared" si="20"/>
        <v>1788</v>
      </c>
      <c r="X86" s="2">
        <f t="shared" si="21"/>
        <v>9225</v>
      </c>
      <c r="Y86" s="2">
        <f t="shared" si="22"/>
        <v>27675</v>
      </c>
      <c r="Z86" s="2">
        <f t="shared" si="23"/>
        <v>29575</v>
      </c>
      <c r="AA86" s="2">
        <f t="shared" si="24"/>
        <v>5639</v>
      </c>
      <c r="AB86" s="2">
        <f t="shared" si="25"/>
        <v>3881</v>
      </c>
      <c r="AC86" s="2">
        <f t="shared" si="26"/>
        <v>3002</v>
      </c>
      <c r="AD86" s="2">
        <f t="shared" si="27"/>
        <v>2474</v>
      </c>
      <c r="AE86" s="2">
        <f t="shared" si="28"/>
        <v>2122</v>
      </c>
      <c r="AF86" s="2">
        <f t="shared" si="29"/>
        <v>1683</v>
      </c>
      <c r="AG86" s="2">
        <f t="shared" si="30"/>
        <v>12915</v>
      </c>
      <c r="AH86" s="2">
        <f t="shared" si="31"/>
        <v>23985</v>
      </c>
      <c r="AI86" s="2">
        <f t="shared" si="32"/>
        <v>25885</v>
      </c>
      <c r="AJ86" s="2">
        <f t="shared" si="33"/>
        <v>4935</v>
      </c>
      <c r="AK86" s="2">
        <f t="shared" si="34"/>
        <v>3396</v>
      </c>
      <c r="AL86" s="2">
        <f t="shared" si="35"/>
        <v>2627</v>
      </c>
      <c r="AM86" s="2">
        <f t="shared" si="36"/>
        <v>2165</v>
      </c>
      <c r="AN86" s="2">
        <f t="shared" si="37"/>
        <v>1858</v>
      </c>
      <c r="AO86" s="2">
        <f t="shared" si="38"/>
        <v>1473</v>
      </c>
      <c r="AP86" s="2">
        <f t="shared" si="39"/>
        <v>14760</v>
      </c>
      <c r="AQ86" s="2">
        <f t="shared" si="40"/>
        <v>22140</v>
      </c>
      <c r="AR86" s="2">
        <f t="shared" si="41"/>
        <v>24040</v>
      </c>
      <c r="AS86" s="2">
        <f t="shared" si="42"/>
        <v>4583</v>
      </c>
      <c r="AT86" s="2">
        <f t="shared" si="43"/>
        <v>3154</v>
      </c>
      <c r="AU86" s="2">
        <f t="shared" si="44"/>
        <v>2440</v>
      </c>
      <c r="AV86" s="2">
        <f t="shared" si="45"/>
        <v>2011</v>
      </c>
      <c r="AW86" s="2">
        <f t="shared" si="46"/>
        <v>1725</v>
      </c>
      <c r="AX86" s="2">
        <f t="shared" si="47"/>
        <v>1368</v>
      </c>
    </row>
    <row r="87" ht="14.25" customHeight="1">
      <c r="A87" s="2" t="str">
        <f t="array" ref="A87">IFERROR(INDEX('Product Price'!A:A,SMALL('Product Price'!$D:$D,85)),"")</f>
        <v>SAMSUNG Galaxy Z Fold6 12/256 GB</v>
      </c>
      <c r="B87" s="2">
        <f t="array" ref="B87">IFERROR(INDEX('Product Price'!B:B,SMALL('Product Price'!$D:$D,85)),"")</f>
        <v>63900</v>
      </c>
      <c r="C87" s="2">
        <f t="array" ref="C87">IFERROR(INDEX('Product Price'!C:C,SMALL('Product Price'!$D:$D,85)),"")</f>
        <v>75</v>
      </c>
      <c r="D87" s="2">
        <f t="shared" si="1"/>
        <v>4025</v>
      </c>
      <c r="E87" s="2">
        <f t="shared" si="2"/>
        <v>67925</v>
      </c>
      <c r="F87" s="2">
        <f t="shared" si="48"/>
        <v>9585</v>
      </c>
      <c r="G87" s="2">
        <f t="shared" si="4"/>
        <v>54315</v>
      </c>
      <c r="H87" s="2">
        <f t="shared" si="5"/>
        <v>58340</v>
      </c>
      <c r="I87" s="2">
        <f t="shared" si="6"/>
        <v>11122</v>
      </c>
      <c r="J87" s="2">
        <f t="shared" si="7"/>
        <v>7654</v>
      </c>
      <c r="K87" s="2">
        <f t="shared" si="8"/>
        <v>5920</v>
      </c>
      <c r="L87" s="2">
        <f t="shared" si="9"/>
        <v>4880</v>
      </c>
      <c r="M87" s="2">
        <f t="shared" si="10"/>
        <v>4186</v>
      </c>
      <c r="N87" s="2">
        <f t="shared" si="11"/>
        <v>3319</v>
      </c>
      <c r="O87" s="2">
        <f t="shared" si="12"/>
        <v>12780</v>
      </c>
      <c r="P87" s="2">
        <f t="shared" si="13"/>
        <v>51120</v>
      </c>
      <c r="Q87" s="2">
        <f t="shared" si="14"/>
        <v>55145</v>
      </c>
      <c r="R87" s="2">
        <f t="shared" si="15"/>
        <v>10513</v>
      </c>
      <c r="S87" s="2">
        <f t="shared" si="16"/>
        <v>7235</v>
      </c>
      <c r="T87" s="2">
        <f t="shared" si="17"/>
        <v>5596</v>
      </c>
      <c r="U87" s="2">
        <f t="shared" si="18"/>
        <v>4613</v>
      </c>
      <c r="V87" s="2">
        <f t="shared" si="19"/>
        <v>3957</v>
      </c>
      <c r="W87" s="2">
        <f t="shared" si="20"/>
        <v>3138</v>
      </c>
      <c r="X87" s="2">
        <f t="shared" si="21"/>
        <v>15975</v>
      </c>
      <c r="Y87" s="2">
        <f t="shared" si="22"/>
        <v>47925</v>
      </c>
      <c r="Z87" s="2">
        <f t="shared" si="23"/>
        <v>51950</v>
      </c>
      <c r="AA87" s="2">
        <f t="shared" si="24"/>
        <v>9904</v>
      </c>
      <c r="AB87" s="2">
        <f t="shared" si="25"/>
        <v>6816</v>
      </c>
      <c r="AC87" s="2">
        <f t="shared" si="26"/>
        <v>5272</v>
      </c>
      <c r="AD87" s="2">
        <f t="shared" si="27"/>
        <v>4346</v>
      </c>
      <c r="AE87" s="2">
        <f t="shared" si="28"/>
        <v>3728</v>
      </c>
      <c r="AF87" s="2">
        <f t="shared" si="29"/>
        <v>2956</v>
      </c>
      <c r="AG87" s="2">
        <f t="shared" si="30"/>
        <v>22365</v>
      </c>
      <c r="AH87" s="2">
        <f t="shared" si="31"/>
        <v>41535</v>
      </c>
      <c r="AI87" s="2">
        <f t="shared" si="32"/>
        <v>45560</v>
      </c>
      <c r="AJ87" s="2">
        <f t="shared" si="33"/>
        <v>8686</v>
      </c>
      <c r="AK87" s="2">
        <f t="shared" si="34"/>
        <v>5978</v>
      </c>
      <c r="AL87" s="2">
        <f t="shared" si="35"/>
        <v>4624</v>
      </c>
      <c r="AM87" s="2">
        <f t="shared" si="36"/>
        <v>3811</v>
      </c>
      <c r="AN87" s="2">
        <f t="shared" si="37"/>
        <v>3269</v>
      </c>
      <c r="AO87" s="2">
        <f t="shared" si="38"/>
        <v>2592</v>
      </c>
      <c r="AP87" s="2">
        <f t="shared" si="39"/>
        <v>25560</v>
      </c>
      <c r="AQ87" s="2">
        <f t="shared" si="40"/>
        <v>38340</v>
      </c>
      <c r="AR87" s="2">
        <f t="shared" si="41"/>
        <v>42365</v>
      </c>
      <c r="AS87" s="2">
        <f t="shared" si="42"/>
        <v>8077</v>
      </c>
      <c r="AT87" s="2">
        <f t="shared" si="43"/>
        <v>5559</v>
      </c>
      <c r="AU87" s="2">
        <f t="shared" si="44"/>
        <v>4299</v>
      </c>
      <c r="AV87" s="2">
        <f t="shared" si="45"/>
        <v>3544</v>
      </c>
      <c r="AW87" s="2">
        <f t="shared" si="46"/>
        <v>3040</v>
      </c>
      <c r="AX87" s="2">
        <f t="shared" si="47"/>
        <v>2411</v>
      </c>
    </row>
    <row r="88" ht="14.25" customHeight="1">
      <c r="A88" s="2" t="str">
        <f t="array" ref="A88">IFERROR(INDEX('Product Price'!A:A,SMALL('Product Price'!$D:$D,86)),"")</f>
        <v>SAMSUNG Galaxy Z Fold6 12/512 GB</v>
      </c>
      <c r="B88" s="2">
        <f t="array" ref="B88">IFERROR(INDEX('Product Price'!B:B,SMALL('Product Price'!$D:$D,86)),"")</f>
        <v>68900</v>
      </c>
      <c r="C88" s="2">
        <f t="array" ref="C88">IFERROR(INDEX('Product Price'!C:C,SMALL('Product Price'!$D:$D,86)),"")</f>
        <v>76</v>
      </c>
      <c r="D88" s="2">
        <f t="shared" si="1"/>
        <v>4025</v>
      </c>
      <c r="E88" s="2">
        <f t="shared" si="2"/>
        <v>72925</v>
      </c>
      <c r="F88" s="2">
        <f t="shared" si="48"/>
        <v>10335</v>
      </c>
      <c r="G88" s="2">
        <f t="shared" si="4"/>
        <v>58565</v>
      </c>
      <c r="H88" s="2">
        <f t="shared" si="5"/>
        <v>62590</v>
      </c>
      <c r="I88" s="2">
        <f t="shared" si="6"/>
        <v>11933</v>
      </c>
      <c r="J88" s="2">
        <f t="shared" si="7"/>
        <v>8212</v>
      </c>
      <c r="K88" s="2">
        <f t="shared" si="8"/>
        <v>6352</v>
      </c>
      <c r="L88" s="2">
        <f t="shared" si="9"/>
        <v>5235</v>
      </c>
      <c r="M88" s="2">
        <f t="shared" si="10"/>
        <v>4491</v>
      </c>
      <c r="N88" s="2">
        <f t="shared" si="11"/>
        <v>3561</v>
      </c>
      <c r="O88" s="2">
        <f t="shared" si="12"/>
        <v>13780</v>
      </c>
      <c r="P88" s="2">
        <f t="shared" si="13"/>
        <v>55120</v>
      </c>
      <c r="Q88" s="2">
        <f t="shared" si="14"/>
        <v>59145</v>
      </c>
      <c r="R88" s="2">
        <f t="shared" si="15"/>
        <v>11276</v>
      </c>
      <c r="S88" s="2">
        <f t="shared" si="16"/>
        <v>7760</v>
      </c>
      <c r="T88" s="2">
        <f t="shared" si="17"/>
        <v>6002</v>
      </c>
      <c r="U88" s="2">
        <f t="shared" si="18"/>
        <v>4947</v>
      </c>
      <c r="V88" s="2">
        <f t="shared" si="19"/>
        <v>4244</v>
      </c>
      <c r="W88" s="2">
        <f t="shared" si="20"/>
        <v>3365</v>
      </c>
      <c r="X88" s="2">
        <f t="shared" si="21"/>
        <v>17225</v>
      </c>
      <c r="Y88" s="2">
        <f t="shared" si="22"/>
        <v>51675</v>
      </c>
      <c r="Z88" s="2">
        <f t="shared" si="23"/>
        <v>55700</v>
      </c>
      <c r="AA88" s="2">
        <f t="shared" si="24"/>
        <v>10619</v>
      </c>
      <c r="AB88" s="2">
        <f t="shared" si="25"/>
        <v>7308</v>
      </c>
      <c r="AC88" s="2">
        <f t="shared" si="26"/>
        <v>5652</v>
      </c>
      <c r="AD88" s="2">
        <f t="shared" si="27"/>
        <v>4659</v>
      </c>
      <c r="AE88" s="2">
        <f t="shared" si="28"/>
        <v>3997</v>
      </c>
      <c r="AF88" s="2">
        <f t="shared" si="29"/>
        <v>3169</v>
      </c>
      <c r="AG88" s="2">
        <f t="shared" si="30"/>
        <v>24115</v>
      </c>
      <c r="AH88" s="2">
        <f t="shared" si="31"/>
        <v>44785</v>
      </c>
      <c r="AI88" s="2">
        <f t="shared" si="32"/>
        <v>48810</v>
      </c>
      <c r="AJ88" s="2">
        <f t="shared" si="33"/>
        <v>9306</v>
      </c>
      <c r="AK88" s="2">
        <f t="shared" si="34"/>
        <v>6404</v>
      </c>
      <c r="AL88" s="2">
        <f t="shared" si="35"/>
        <v>4953</v>
      </c>
      <c r="AM88" s="2">
        <f t="shared" si="36"/>
        <v>4083</v>
      </c>
      <c r="AN88" s="2">
        <f t="shared" si="37"/>
        <v>3503</v>
      </c>
      <c r="AO88" s="2">
        <f t="shared" si="38"/>
        <v>2777</v>
      </c>
      <c r="AP88" s="2">
        <f t="shared" si="39"/>
        <v>27560</v>
      </c>
      <c r="AQ88" s="2">
        <f t="shared" si="40"/>
        <v>41340</v>
      </c>
      <c r="AR88" s="2">
        <f t="shared" si="41"/>
        <v>45365</v>
      </c>
      <c r="AS88" s="2">
        <f t="shared" si="42"/>
        <v>8649</v>
      </c>
      <c r="AT88" s="2">
        <f t="shared" si="43"/>
        <v>5952</v>
      </c>
      <c r="AU88" s="2">
        <f t="shared" si="44"/>
        <v>4604</v>
      </c>
      <c r="AV88" s="2">
        <f t="shared" si="45"/>
        <v>3795</v>
      </c>
      <c r="AW88" s="2">
        <f t="shared" si="46"/>
        <v>3255</v>
      </c>
      <c r="AX88" s="2">
        <f t="shared" si="47"/>
        <v>2581</v>
      </c>
    </row>
    <row r="89" ht="14.25" customHeight="1">
      <c r="A89" s="2" t="str">
        <f t="array" ref="A89">IFERROR(INDEX('Product Price'!A:A,SMALL('Product Price'!$D:$D,87)),"")</f>
        <v>SAMSUNG Galaxy Z Fold6 12/1TB GB</v>
      </c>
      <c r="B89" s="2">
        <f t="array" ref="B89">IFERROR(INDEX('Product Price'!B:B,SMALL('Product Price'!$D:$D,87)),"")</f>
        <v>78900</v>
      </c>
      <c r="C89" s="2">
        <f t="array" ref="C89">IFERROR(INDEX('Product Price'!C:C,SMALL('Product Price'!$D:$D,87)),"")</f>
        <v>77</v>
      </c>
      <c r="D89" s="2">
        <f t="shared" si="1"/>
        <v>4025</v>
      </c>
      <c r="E89" s="2">
        <f t="shared" si="2"/>
        <v>82925</v>
      </c>
      <c r="F89" s="2">
        <f t="shared" si="48"/>
        <v>11835</v>
      </c>
      <c r="G89" s="2">
        <f t="shared" si="4"/>
        <v>67065</v>
      </c>
      <c r="H89" s="2">
        <f t="shared" si="5"/>
        <v>71090</v>
      </c>
      <c r="I89" s="2">
        <f t="shared" si="6"/>
        <v>13553</v>
      </c>
      <c r="J89" s="2">
        <f t="shared" si="7"/>
        <v>9327</v>
      </c>
      <c r="K89" s="2">
        <f t="shared" si="8"/>
        <v>7214</v>
      </c>
      <c r="L89" s="2">
        <f t="shared" si="9"/>
        <v>5946</v>
      </c>
      <c r="M89" s="2">
        <f t="shared" si="10"/>
        <v>5101</v>
      </c>
      <c r="N89" s="2">
        <f t="shared" si="11"/>
        <v>4045</v>
      </c>
      <c r="O89" s="2">
        <f t="shared" si="12"/>
        <v>15780</v>
      </c>
      <c r="P89" s="2">
        <f t="shared" si="13"/>
        <v>63120</v>
      </c>
      <c r="Q89" s="2">
        <f t="shared" si="14"/>
        <v>67145</v>
      </c>
      <c r="R89" s="2">
        <f t="shared" si="15"/>
        <v>12801</v>
      </c>
      <c r="S89" s="2">
        <f t="shared" si="16"/>
        <v>8810</v>
      </c>
      <c r="T89" s="2">
        <f t="shared" si="17"/>
        <v>6814</v>
      </c>
      <c r="U89" s="2">
        <f t="shared" si="18"/>
        <v>5616</v>
      </c>
      <c r="V89" s="2">
        <f t="shared" si="19"/>
        <v>4818</v>
      </c>
      <c r="W89" s="2">
        <f t="shared" si="20"/>
        <v>3820</v>
      </c>
      <c r="X89" s="2">
        <f t="shared" si="21"/>
        <v>19725</v>
      </c>
      <c r="Y89" s="2">
        <f t="shared" si="22"/>
        <v>59175</v>
      </c>
      <c r="Z89" s="2">
        <f t="shared" si="23"/>
        <v>63200</v>
      </c>
      <c r="AA89" s="2">
        <f t="shared" si="24"/>
        <v>12049</v>
      </c>
      <c r="AB89" s="2">
        <f t="shared" si="25"/>
        <v>8292</v>
      </c>
      <c r="AC89" s="2">
        <f t="shared" si="26"/>
        <v>6414</v>
      </c>
      <c r="AD89" s="2">
        <f t="shared" si="27"/>
        <v>5286</v>
      </c>
      <c r="AE89" s="2">
        <f t="shared" si="28"/>
        <v>4535</v>
      </c>
      <c r="AF89" s="2">
        <f t="shared" si="29"/>
        <v>3596</v>
      </c>
      <c r="AG89" s="2">
        <f t="shared" si="30"/>
        <v>27615</v>
      </c>
      <c r="AH89" s="2">
        <f t="shared" si="31"/>
        <v>51285</v>
      </c>
      <c r="AI89" s="2">
        <f t="shared" si="32"/>
        <v>55310</v>
      </c>
      <c r="AJ89" s="2">
        <f t="shared" si="33"/>
        <v>10545</v>
      </c>
      <c r="AK89" s="2">
        <f t="shared" si="34"/>
        <v>7257</v>
      </c>
      <c r="AL89" s="2">
        <f t="shared" si="35"/>
        <v>5613</v>
      </c>
      <c r="AM89" s="2">
        <f t="shared" si="36"/>
        <v>4627</v>
      </c>
      <c r="AN89" s="2">
        <f t="shared" si="37"/>
        <v>3969</v>
      </c>
      <c r="AO89" s="2">
        <f t="shared" si="38"/>
        <v>3147</v>
      </c>
      <c r="AP89" s="2">
        <f t="shared" si="39"/>
        <v>31560</v>
      </c>
      <c r="AQ89" s="2">
        <f t="shared" si="40"/>
        <v>47340</v>
      </c>
      <c r="AR89" s="2">
        <f t="shared" si="41"/>
        <v>51365</v>
      </c>
      <c r="AS89" s="2">
        <f t="shared" si="42"/>
        <v>9793</v>
      </c>
      <c r="AT89" s="2">
        <f t="shared" si="43"/>
        <v>6739</v>
      </c>
      <c r="AU89" s="2">
        <f t="shared" si="44"/>
        <v>5213</v>
      </c>
      <c r="AV89" s="2">
        <f t="shared" si="45"/>
        <v>4297</v>
      </c>
      <c r="AW89" s="2">
        <f t="shared" si="46"/>
        <v>3686</v>
      </c>
      <c r="AX89" s="2">
        <f t="shared" si="47"/>
        <v>2923</v>
      </c>
    </row>
    <row r="90" ht="14.25" customHeight="1">
      <c r="A90" s="2" t="str">
        <f t="array" ref="A90">IFERROR(INDEX('Product Price'!A:A,SMALL('Product Price'!$D:$D,88)),"")</f>
        <v>SAMSUNG Galaxy Z Fold7 12/256 GB</v>
      </c>
      <c r="B90" s="2">
        <f t="array" ref="B90">IFERROR(INDEX('Product Price'!B:B,SMALL('Product Price'!$D:$D,88)),"")</f>
        <v>67900</v>
      </c>
      <c r="C90" s="2">
        <f t="array" ref="C90">IFERROR(INDEX('Product Price'!C:C,SMALL('Product Price'!$D:$D,88)),"")</f>
        <v>78</v>
      </c>
      <c r="D90" s="2">
        <f t="shared" si="1"/>
        <v>4025</v>
      </c>
      <c r="E90" s="2">
        <f t="shared" si="2"/>
        <v>71925</v>
      </c>
      <c r="F90" s="2">
        <f t="shared" si="48"/>
        <v>10185</v>
      </c>
      <c r="G90" s="2">
        <f t="shared" si="4"/>
        <v>57715</v>
      </c>
      <c r="H90" s="2">
        <f t="shared" si="5"/>
        <v>61740</v>
      </c>
      <c r="I90" s="2">
        <f t="shared" si="6"/>
        <v>11771</v>
      </c>
      <c r="J90" s="2">
        <f t="shared" si="7"/>
        <v>8100</v>
      </c>
      <c r="K90" s="2">
        <f t="shared" si="8"/>
        <v>6265</v>
      </c>
      <c r="L90" s="2">
        <f t="shared" si="9"/>
        <v>5164</v>
      </c>
      <c r="M90" s="2">
        <f t="shared" si="10"/>
        <v>4430</v>
      </c>
      <c r="N90" s="2">
        <f t="shared" si="11"/>
        <v>3513</v>
      </c>
      <c r="O90" s="2">
        <f t="shared" si="12"/>
        <v>13580</v>
      </c>
      <c r="P90" s="2">
        <f t="shared" si="13"/>
        <v>54320</v>
      </c>
      <c r="Q90" s="2">
        <f t="shared" si="14"/>
        <v>58345</v>
      </c>
      <c r="R90" s="2">
        <f t="shared" si="15"/>
        <v>11123</v>
      </c>
      <c r="S90" s="2">
        <f t="shared" si="16"/>
        <v>7655</v>
      </c>
      <c r="T90" s="2">
        <f t="shared" si="17"/>
        <v>5921</v>
      </c>
      <c r="U90" s="2">
        <f t="shared" si="18"/>
        <v>4880</v>
      </c>
      <c r="V90" s="2">
        <f t="shared" si="19"/>
        <v>4187</v>
      </c>
      <c r="W90" s="2">
        <f t="shared" si="20"/>
        <v>3320</v>
      </c>
      <c r="X90" s="2">
        <f t="shared" si="21"/>
        <v>16975</v>
      </c>
      <c r="Y90" s="2">
        <f t="shared" si="22"/>
        <v>50925</v>
      </c>
      <c r="Z90" s="2">
        <f t="shared" si="23"/>
        <v>54950</v>
      </c>
      <c r="AA90" s="2">
        <f t="shared" si="24"/>
        <v>10476</v>
      </c>
      <c r="AB90" s="2">
        <f t="shared" si="25"/>
        <v>7210</v>
      </c>
      <c r="AC90" s="2">
        <f t="shared" si="26"/>
        <v>5576</v>
      </c>
      <c r="AD90" s="2">
        <f t="shared" si="27"/>
        <v>4596</v>
      </c>
      <c r="AE90" s="2">
        <f t="shared" si="28"/>
        <v>3943</v>
      </c>
      <c r="AF90" s="2">
        <f t="shared" si="29"/>
        <v>3127</v>
      </c>
      <c r="AG90" s="2">
        <f t="shared" si="30"/>
        <v>23765</v>
      </c>
      <c r="AH90" s="2">
        <f t="shared" si="31"/>
        <v>44135</v>
      </c>
      <c r="AI90" s="2">
        <f t="shared" si="32"/>
        <v>48160</v>
      </c>
      <c r="AJ90" s="2">
        <f t="shared" si="33"/>
        <v>9182</v>
      </c>
      <c r="AK90" s="2">
        <f t="shared" si="34"/>
        <v>6319</v>
      </c>
      <c r="AL90" s="2">
        <f t="shared" si="35"/>
        <v>4887</v>
      </c>
      <c r="AM90" s="2">
        <f t="shared" si="36"/>
        <v>4029</v>
      </c>
      <c r="AN90" s="2">
        <f t="shared" si="37"/>
        <v>3456</v>
      </c>
      <c r="AO90" s="2">
        <f t="shared" si="38"/>
        <v>2740</v>
      </c>
      <c r="AP90" s="2">
        <f t="shared" si="39"/>
        <v>27160</v>
      </c>
      <c r="AQ90" s="2">
        <f t="shared" si="40"/>
        <v>40740</v>
      </c>
      <c r="AR90" s="2">
        <f t="shared" si="41"/>
        <v>44765</v>
      </c>
      <c r="AS90" s="2">
        <f t="shared" si="42"/>
        <v>8534</v>
      </c>
      <c r="AT90" s="2">
        <f t="shared" si="43"/>
        <v>5873</v>
      </c>
      <c r="AU90" s="2">
        <f t="shared" si="44"/>
        <v>4543</v>
      </c>
      <c r="AV90" s="2">
        <f t="shared" si="45"/>
        <v>3745</v>
      </c>
      <c r="AW90" s="2">
        <f t="shared" si="46"/>
        <v>3212</v>
      </c>
      <c r="AX90" s="2">
        <f t="shared" si="47"/>
        <v>2547</v>
      </c>
    </row>
    <row r="91" ht="14.25" customHeight="1">
      <c r="A91" s="2" t="str">
        <f t="array" ref="A91">IFERROR(INDEX('Product Price'!A:A,SMALL('Product Price'!$D:$D,89)),"")</f>
        <v>SAMSUNG Galaxy Z Fold7 12/512 GB</v>
      </c>
      <c r="B91" s="2">
        <f t="array" ref="B91">IFERROR(INDEX('Product Price'!B:B,SMALL('Product Price'!$D:$D,89)),"")</f>
        <v>75900</v>
      </c>
      <c r="C91" s="2">
        <f t="array" ref="C91">IFERROR(INDEX('Product Price'!C:C,SMALL('Product Price'!$D:$D,89)),"")</f>
        <v>79</v>
      </c>
      <c r="D91" s="2">
        <f t="shared" si="1"/>
        <v>4025</v>
      </c>
      <c r="E91" s="2">
        <f t="shared" si="2"/>
        <v>79925</v>
      </c>
      <c r="F91" s="2">
        <f t="shared" si="48"/>
        <v>11385</v>
      </c>
      <c r="G91" s="2">
        <f t="shared" si="4"/>
        <v>64515</v>
      </c>
      <c r="H91" s="2">
        <f t="shared" si="5"/>
        <v>68540</v>
      </c>
      <c r="I91" s="2">
        <f t="shared" si="6"/>
        <v>13067</v>
      </c>
      <c r="J91" s="2">
        <f t="shared" si="7"/>
        <v>8993</v>
      </c>
      <c r="K91" s="2">
        <f t="shared" si="8"/>
        <v>6955</v>
      </c>
      <c r="L91" s="2">
        <f t="shared" si="9"/>
        <v>5733</v>
      </c>
      <c r="M91" s="2">
        <f t="shared" si="10"/>
        <v>4918</v>
      </c>
      <c r="N91" s="2">
        <f t="shared" si="11"/>
        <v>3900</v>
      </c>
      <c r="O91" s="2">
        <f t="shared" si="12"/>
        <v>15180</v>
      </c>
      <c r="P91" s="2">
        <f t="shared" si="13"/>
        <v>60720</v>
      </c>
      <c r="Q91" s="2">
        <f t="shared" si="14"/>
        <v>64745</v>
      </c>
      <c r="R91" s="2">
        <f t="shared" si="15"/>
        <v>12343</v>
      </c>
      <c r="S91" s="2">
        <f t="shared" si="16"/>
        <v>8495</v>
      </c>
      <c r="T91" s="2">
        <f t="shared" si="17"/>
        <v>6570</v>
      </c>
      <c r="U91" s="2">
        <f t="shared" si="18"/>
        <v>5416</v>
      </c>
      <c r="V91" s="2">
        <f t="shared" si="19"/>
        <v>4646</v>
      </c>
      <c r="W91" s="2">
        <f t="shared" si="20"/>
        <v>3684</v>
      </c>
      <c r="X91" s="2">
        <f t="shared" si="21"/>
        <v>18975</v>
      </c>
      <c r="Y91" s="2">
        <f t="shared" si="22"/>
        <v>56925</v>
      </c>
      <c r="Z91" s="2">
        <f t="shared" si="23"/>
        <v>60950</v>
      </c>
      <c r="AA91" s="2">
        <f t="shared" si="24"/>
        <v>11620</v>
      </c>
      <c r="AB91" s="2">
        <f t="shared" si="25"/>
        <v>7997</v>
      </c>
      <c r="AC91" s="2">
        <f t="shared" si="26"/>
        <v>6185</v>
      </c>
      <c r="AD91" s="2">
        <f t="shared" si="27"/>
        <v>5098</v>
      </c>
      <c r="AE91" s="2">
        <f t="shared" si="28"/>
        <v>4374</v>
      </c>
      <c r="AF91" s="2">
        <f t="shared" si="29"/>
        <v>3468</v>
      </c>
      <c r="AG91" s="2">
        <f t="shared" si="30"/>
        <v>26565</v>
      </c>
      <c r="AH91" s="2">
        <f t="shared" si="31"/>
        <v>49335</v>
      </c>
      <c r="AI91" s="2">
        <f t="shared" si="32"/>
        <v>53360</v>
      </c>
      <c r="AJ91" s="2">
        <f t="shared" si="33"/>
        <v>10173</v>
      </c>
      <c r="AK91" s="2">
        <f t="shared" si="34"/>
        <v>7001</v>
      </c>
      <c r="AL91" s="2">
        <f t="shared" si="35"/>
        <v>5415</v>
      </c>
      <c r="AM91" s="2">
        <f t="shared" si="36"/>
        <v>4463</v>
      </c>
      <c r="AN91" s="2">
        <f t="shared" si="37"/>
        <v>3829</v>
      </c>
      <c r="AO91" s="2">
        <f t="shared" si="38"/>
        <v>3036</v>
      </c>
      <c r="AP91" s="2">
        <f t="shared" si="39"/>
        <v>30360</v>
      </c>
      <c r="AQ91" s="2">
        <f t="shared" si="40"/>
        <v>45540</v>
      </c>
      <c r="AR91" s="2">
        <f t="shared" si="41"/>
        <v>49565</v>
      </c>
      <c r="AS91" s="2">
        <f t="shared" si="42"/>
        <v>9449</v>
      </c>
      <c r="AT91" s="2">
        <f t="shared" si="43"/>
        <v>6503</v>
      </c>
      <c r="AU91" s="2">
        <f t="shared" si="44"/>
        <v>5030</v>
      </c>
      <c r="AV91" s="2">
        <f t="shared" si="45"/>
        <v>4146</v>
      </c>
      <c r="AW91" s="2">
        <f t="shared" si="46"/>
        <v>3557</v>
      </c>
      <c r="AX91" s="2">
        <f t="shared" si="47"/>
        <v>2820</v>
      </c>
    </row>
    <row r="92" ht="14.25" customHeight="1">
      <c r="A92" s="2" t="str">
        <f t="array" ref="A92">IFERROR(INDEX('Product Price'!A:A,SMALL('Product Price'!$D:$D,90)),"")</f>
        <v>SAMSUNG Galaxy Z Fold7 16/1TB</v>
      </c>
      <c r="B92" s="2">
        <f t="array" ref="B92">IFERROR(INDEX('Product Price'!B:B,SMALL('Product Price'!$D:$D,90)),"")</f>
        <v>87900</v>
      </c>
      <c r="C92" s="2">
        <f t="array" ref="C92">IFERROR(INDEX('Product Price'!C:C,SMALL('Product Price'!$D:$D,90)),"")</f>
        <v>80</v>
      </c>
      <c r="D92" s="2">
        <f t="shared" si="1"/>
        <v>5175</v>
      </c>
      <c r="E92" s="2">
        <f t="shared" si="2"/>
        <v>93075</v>
      </c>
      <c r="F92" s="2">
        <f t="shared" si="48"/>
        <v>13185</v>
      </c>
      <c r="G92" s="2">
        <f t="shared" si="4"/>
        <v>74715</v>
      </c>
      <c r="H92" s="2">
        <f t="shared" si="5"/>
        <v>79890</v>
      </c>
      <c r="I92" s="2">
        <f t="shared" si="6"/>
        <v>15231</v>
      </c>
      <c r="J92" s="2">
        <f t="shared" si="7"/>
        <v>10482</v>
      </c>
      <c r="K92" s="2">
        <f t="shared" si="8"/>
        <v>8107</v>
      </c>
      <c r="L92" s="2">
        <f t="shared" si="9"/>
        <v>6682</v>
      </c>
      <c r="M92" s="2">
        <f t="shared" si="10"/>
        <v>5733</v>
      </c>
      <c r="N92" s="2">
        <f t="shared" si="11"/>
        <v>4545</v>
      </c>
      <c r="O92" s="2">
        <f t="shared" si="12"/>
        <v>17580</v>
      </c>
      <c r="P92" s="2">
        <f t="shared" si="13"/>
        <v>70320</v>
      </c>
      <c r="Q92" s="2">
        <f t="shared" si="14"/>
        <v>75495</v>
      </c>
      <c r="R92" s="2">
        <f t="shared" si="15"/>
        <v>14393</v>
      </c>
      <c r="S92" s="2">
        <f t="shared" si="16"/>
        <v>9905</v>
      </c>
      <c r="T92" s="2">
        <f t="shared" si="17"/>
        <v>7661</v>
      </c>
      <c r="U92" s="2">
        <f t="shared" si="18"/>
        <v>6315</v>
      </c>
      <c r="V92" s="2">
        <f t="shared" si="19"/>
        <v>5417</v>
      </c>
      <c r="W92" s="2">
        <f t="shared" si="20"/>
        <v>4295</v>
      </c>
      <c r="X92" s="2">
        <f t="shared" si="21"/>
        <v>21975</v>
      </c>
      <c r="Y92" s="2">
        <f t="shared" si="22"/>
        <v>65925</v>
      </c>
      <c r="Z92" s="2">
        <f t="shared" si="23"/>
        <v>71100</v>
      </c>
      <c r="AA92" s="2">
        <f t="shared" si="24"/>
        <v>13555</v>
      </c>
      <c r="AB92" s="2">
        <f t="shared" si="25"/>
        <v>9328</v>
      </c>
      <c r="AC92" s="2">
        <f t="shared" si="26"/>
        <v>7215</v>
      </c>
      <c r="AD92" s="2">
        <f t="shared" si="27"/>
        <v>5947</v>
      </c>
      <c r="AE92" s="2">
        <f t="shared" si="28"/>
        <v>5102</v>
      </c>
      <c r="AF92" s="2">
        <f t="shared" si="29"/>
        <v>4045</v>
      </c>
      <c r="AG92" s="2">
        <f t="shared" si="30"/>
        <v>30765</v>
      </c>
      <c r="AH92" s="2">
        <f t="shared" si="31"/>
        <v>57135</v>
      </c>
      <c r="AI92" s="2">
        <f t="shared" si="32"/>
        <v>62310</v>
      </c>
      <c r="AJ92" s="2">
        <f t="shared" si="33"/>
        <v>11879</v>
      </c>
      <c r="AK92" s="2">
        <f t="shared" si="34"/>
        <v>8175</v>
      </c>
      <c r="AL92" s="2">
        <f t="shared" si="35"/>
        <v>6323</v>
      </c>
      <c r="AM92" s="2">
        <f t="shared" si="36"/>
        <v>5212</v>
      </c>
      <c r="AN92" s="2">
        <f t="shared" si="37"/>
        <v>4471</v>
      </c>
      <c r="AO92" s="2">
        <f t="shared" si="38"/>
        <v>3545</v>
      </c>
      <c r="AP92" s="2">
        <f t="shared" si="39"/>
        <v>35160</v>
      </c>
      <c r="AQ92" s="2">
        <f t="shared" si="40"/>
        <v>52740</v>
      </c>
      <c r="AR92" s="2">
        <f t="shared" si="41"/>
        <v>57915</v>
      </c>
      <c r="AS92" s="2">
        <f t="shared" si="42"/>
        <v>11041</v>
      </c>
      <c r="AT92" s="2">
        <f t="shared" si="43"/>
        <v>7599</v>
      </c>
      <c r="AU92" s="2">
        <f t="shared" si="44"/>
        <v>5877</v>
      </c>
      <c r="AV92" s="2">
        <f t="shared" si="45"/>
        <v>4844</v>
      </c>
      <c r="AW92" s="2">
        <f t="shared" si="46"/>
        <v>4156</v>
      </c>
      <c r="AX92" s="2">
        <f t="shared" si="47"/>
        <v>3295</v>
      </c>
    </row>
    <row r="93" ht="14.25" customHeight="1">
      <c r="A93" s="2" t="str">
        <f t="array" ref="A93">IFERROR(INDEX('Product Price'!A:A,SMALL('Product Price'!$D:$D,91)),"")</f>
        <v>SAMSUNG Galaxy S24 8/256 GB</v>
      </c>
      <c r="B93" s="2">
        <f t="array" ref="B93">IFERROR(INDEX('Product Price'!B:B,SMALL('Product Price'!$D:$D,91)),"")</f>
        <v>27900</v>
      </c>
      <c r="C93" s="2">
        <f t="array" ref="C93">IFERROR(INDEX('Product Price'!C:C,SMALL('Product Price'!$D:$D,91)),"")</f>
        <v>81</v>
      </c>
      <c r="D93" s="2">
        <f t="shared" si="1"/>
        <v>1900</v>
      </c>
      <c r="E93" s="2">
        <f t="shared" si="2"/>
        <v>29800</v>
      </c>
      <c r="F93" s="2">
        <f t="shared" si="48"/>
        <v>4185</v>
      </c>
      <c r="G93" s="2">
        <f t="shared" si="4"/>
        <v>23715</v>
      </c>
      <c r="H93" s="2">
        <f t="shared" si="5"/>
        <v>25615</v>
      </c>
      <c r="I93" s="2">
        <f t="shared" si="6"/>
        <v>4884</v>
      </c>
      <c r="J93" s="2">
        <f t="shared" si="7"/>
        <v>3361</v>
      </c>
      <c r="K93" s="2">
        <f t="shared" si="8"/>
        <v>2600</v>
      </c>
      <c r="L93" s="2">
        <f t="shared" si="9"/>
        <v>2143</v>
      </c>
      <c r="M93" s="2">
        <f t="shared" si="10"/>
        <v>1838</v>
      </c>
      <c r="N93" s="2">
        <f t="shared" si="11"/>
        <v>1458</v>
      </c>
      <c r="O93" s="2">
        <f t="shared" si="12"/>
        <v>5580</v>
      </c>
      <c r="P93" s="2">
        <f t="shared" si="13"/>
        <v>22320</v>
      </c>
      <c r="Q93" s="2">
        <f t="shared" si="14"/>
        <v>24220</v>
      </c>
      <c r="R93" s="2">
        <f t="shared" si="15"/>
        <v>4618</v>
      </c>
      <c r="S93" s="2">
        <f t="shared" si="16"/>
        <v>3178</v>
      </c>
      <c r="T93" s="2">
        <f t="shared" si="17"/>
        <v>2458</v>
      </c>
      <c r="U93" s="2">
        <f t="shared" si="18"/>
        <v>2026</v>
      </c>
      <c r="V93" s="2">
        <f t="shared" si="19"/>
        <v>1738</v>
      </c>
      <c r="W93" s="2">
        <f t="shared" si="20"/>
        <v>1378</v>
      </c>
      <c r="X93" s="2">
        <f t="shared" si="21"/>
        <v>6975</v>
      </c>
      <c r="Y93" s="2">
        <f t="shared" si="22"/>
        <v>20925</v>
      </c>
      <c r="Z93" s="2">
        <f t="shared" si="23"/>
        <v>22825</v>
      </c>
      <c r="AA93" s="2">
        <f t="shared" si="24"/>
        <v>4352</v>
      </c>
      <c r="AB93" s="2">
        <f t="shared" si="25"/>
        <v>2995</v>
      </c>
      <c r="AC93" s="2">
        <f t="shared" si="26"/>
        <v>2317</v>
      </c>
      <c r="AD93" s="2">
        <f t="shared" si="27"/>
        <v>1910</v>
      </c>
      <c r="AE93" s="2">
        <f t="shared" si="28"/>
        <v>1638</v>
      </c>
      <c r="AF93" s="2">
        <f t="shared" si="29"/>
        <v>1299</v>
      </c>
      <c r="AG93" s="2">
        <f t="shared" si="30"/>
        <v>9765</v>
      </c>
      <c r="AH93" s="2">
        <f t="shared" si="31"/>
        <v>18135</v>
      </c>
      <c r="AI93" s="2">
        <f t="shared" si="32"/>
        <v>20035</v>
      </c>
      <c r="AJ93" s="2">
        <f t="shared" si="33"/>
        <v>3820</v>
      </c>
      <c r="AK93" s="2">
        <f t="shared" si="34"/>
        <v>2629</v>
      </c>
      <c r="AL93" s="2">
        <f t="shared" si="35"/>
        <v>2033</v>
      </c>
      <c r="AM93" s="2">
        <f t="shared" si="36"/>
        <v>1676</v>
      </c>
      <c r="AN93" s="2">
        <f t="shared" si="37"/>
        <v>1438</v>
      </c>
      <c r="AO93" s="2">
        <f t="shared" si="38"/>
        <v>1140</v>
      </c>
      <c r="AP93" s="2">
        <f t="shared" si="39"/>
        <v>11160</v>
      </c>
      <c r="AQ93" s="2">
        <f t="shared" si="40"/>
        <v>16740</v>
      </c>
      <c r="AR93" s="2">
        <f t="shared" si="41"/>
        <v>18640</v>
      </c>
      <c r="AS93" s="2">
        <f t="shared" si="42"/>
        <v>3554</v>
      </c>
      <c r="AT93" s="2">
        <f t="shared" si="43"/>
        <v>2446</v>
      </c>
      <c r="AU93" s="2">
        <f t="shared" si="44"/>
        <v>1892</v>
      </c>
      <c r="AV93" s="2">
        <f t="shared" si="45"/>
        <v>1560</v>
      </c>
      <c r="AW93" s="2">
        <f t="shared" si="46"/>
        <v>1338</v>
      </c>
      <c r="AX93" s="2">
        <f t="shared" si="47"/>
        <v>1061</v>
      </c>
    </row>
    <row r="94" ht="14.25" customHeight="1">
      <c r="A94" s="2" t="str">
        <f t="array" ref="A94">IFERROR(INDEX('Product Price'!A:A,SMALL('Product Price'!$D:$D,92)),"")</f>
        <v>SAMSUNG Galaxy S24 8/512 GB</v>
      </c>
      <c r="B94" s="2">
        <f t="array" ref="B94">IFERROR(INDEX('Product Price'!B:B,SMALL('Product Price'!$D:$D,92)),"")</f>
        <v>32900</v>
      </c>
      <c r="C94" s="2">
        <f t="array" ref="C94">IFERROR(INDEX('Product Price'!C:C,SMALL('Product Price'!$D:$D,92)),"")</f>
        <v>82</v>
      </c>
      <c r="D94" s="2">
        <f t="shared" si="1"/>
        <v>1900</v>
      </c>
      <c r="E94" s="2">
        <f t="shared" si="2"/>
        <v>34800</v>
      </c>
      <c r="F94" s="2">
        <f t="shared" si="48"/>
        <v>4935</v>
      </c>
      <c r="G94" s="2">
        <f t="shared" si="4"/>
        <v>27965</v>
      </c>
      <c r="H94" s="2">
        <f t="shared" si="5"/>
        <v>29865</v>
      </c>
      <c r="I94" s="2">
        <f t="shared" si="6"/>
        <v>5694</v>
      </c>
      <c r="J94" s="2">
        <f t="shared" si="7"/>
        <v>3919</v>
      </c>
      <c r="K94" s="2">
        <f t="shared" si="8"/>
        <v>3031</v>
      </c>
      <c r="L94" s="2">
        <f t="shared" si="9"/>
        <v>2498</v>
      </c>
      <c r="M94" s="2">
        <f t="shared" si="10"/>
        <v>2143</v>
      </c>
      <c r="N94" s="2">
        <f t="shared" si="11"/>
        <v>1699</v>
      </c>
      <c r="O94" s="2">
        <f t="shared" si="12"/>
        <v>6580</v>
      </c>
      <c r="P94" s="2">
        <f t="shared" si="13"/>
        <v>26320</v>
      </c>
      <c r="Q94" s="2">
        <f t="shared" si="14"/>
        <v>28220</v>
      </c>
      <c r="R94" s="2">
        <f t="shared" si="15"/>
        <v>5380</v>
      </c>
      <c r="S94" s="2">
        <f t="shared" si="16"/>
        <v>3703</v>
      </c>
      <c r="T94" s="2">
        <f t="shared" si="17"/>
        <v>2864</v>
      </c>
      <c r="U94" s="2">
        <f t="shared" si="18"/>
        <v>2361</v>
      </c>
      <c r="V94" s="2">
        <f t="shared" si="19"/>
        <v>2025</v>
      </c>
      <c r="W94" s="2">
        <f t="shared" si="20"/>
        <v>1606</v>
      </c>
      <c r="X94" s="2">
        <f t="shared" si="21"/>
        <v>8225</v>
      </c>
      <c r="Y94" s="2">
        <f t="shared" si="22"/>
        <v>24675</v>
      </c>
      <c r="Z94" s="2">
        <f t="shared" si="23"/>
        <v>26575</v>
      </c>
      <c r="AA94" s="2">
        <f t="shared" si="24"/>
        <v>5067</v>
      </c>
      <c r="AB94" s="2">
        <f t="shared" si="25"/>
        <v>3487</v>
      </c>
      <c r="AC94" s="2">
        <f t="shared" si="26"/>
        <v>2697</v>
      </c>
      <c r="AD94" s="2">
        <f t="shared" si="27"/>
        <v>2223</v>
      </c>
      <c r="AE94" s="2">
        <f t="shared" si="28"/>
        <v>1907</v>
      </c>
      <c r="AF94" s="2">
        <f t="shared" si="29"/>
        <v>1512</v>
      </c>
      <c r="AG94" s="2">
        <f t="shared" si="30"/>
        <v>11515</v>
      </c>
      <c r="AH94" s="2">
        <f t="shared" si="31"/>
        <v>21385</v>
      </c>
      <c r="AI94" s="2">
        <f t="shared" si="32"/>
        <v>23285</v>
      </c>
      <c r="AJ94" s="2">
        <f t="shared" si="33"/>
        <v>4440</v>
      </c>
      <c r="AK94" s="2">
        <f t="shared" si="34"/>
        <v>3055</v>
      </c>
      <c r="AL94" s="2">
        <f t="shared" si="35"/>
        <v>2363</v>
      </c>
      <c r="AM94" s="2">
        <f t="shared" si="36"/>
        <v>1948</v>
      </c>
      <c r="AN94" s="2">
        <f t="shared" si="37"/>
        <v>1671</v>
      </c>
      <c r="AO94" s="2">
        <f t="shared" si="38"/>
        <v>1325</v>
      </c>
      <c r="AP94" s="2">
        <f t="shared" si="39"/>
        <v>13160</v>
      </c>
      <c r="AQ94" s="2">
        <f t="shared" si="40"/>
        <v>19740</v>
      </c>
      <c r="AR94" s="2">
        <f t="shared" si="41"/>
        <v>21640</v>
      </c>
      <c r="AS94" s="2">
        <f t="shared" si="42"/>
        <v>4126</v>
      </c>
      <c r="AT94" s="2">
        <f t="shared" si="43"/>
        <v>2840</v>
      </c>
      <c r="AU94" s="2">
        <f t="shared" si="44"/>
        <v>2196</v>
      </c>
      <c r="AV94" s="2">
        <f t="shared" si="45"/>
        <v>1810</v>
      </c>
      <c r="AW94" s="2">
        <f t="shared" si="46"/>
        <v>1553</v>
      </c>
      <c r="AX94" s="2">
        <f t="shared" si="47"/>
        <v>1232</v>
      </c>
    </row>
    <row r="95" ht="14.25" customHeight="1">
      <c r="A95" s="2" t="str">
        <f t="array" ref="A95">IFERROR(INDEX('Product Price'!A:A,SMALL('Product Price'!$D:$D,93)),"")</f>
        <v>SAMSUNG Galaxy S24+ 12/256 GB</v>
      </c>
      <c r="B95" s="2">
        <f t="array" ref="B95">IFERROR(INDEX('Product Price'!B:B,SMALL('Product Price'!$D:$D,93)),"")</f>
        <v>33900</v>
      </c>
      <c r="C95" s="2">
        <f t="array" ref="C95">IFERROR(INDEX('Product Price'!C:C,SMALL('Product Price'!$D:$D,93)),"")</f>
        <v>83</v>
      </c>
      <c r="D95" s="2">
        <f t="shared" si="1"/>
        <v>1900</v>
      </c>
      <c r="E95" s="2">
        <f t="shared" si="2"/>
        <v>35800</v>
      </c>
      <c r="F95" s="2">
        <f t="shared" si="48"/>
        <v>5085</v>
      </c>
      <c r="G95" s="2">
        <f t="shared" si="4"/>
        <v>28815</v>
      </c>
      <c r="H95" s="2">
        <f t="shared" si="5"/>
        <v>30715</v>
      </c>
      <c r="I95" s="2">
        <f t="shared" si="6"/>
        <v>5856</v>
      </c>
      <c r="J95" s="2">
        <f t="shared" si="7"/>
        <v>4030</v>
      </c>
      <c r="K95" s="2">
        <f t="shared" si="8"/>
        <v>3117</v>
      </c>
      <c r="L95" s="2">
        <f t="shared" si="9"/>
        <v>2569</v>
      </c>
      <c r="M95" s="2">
        <f t="shared" si="10"/>
        <v>2204</v>
      </c>
      <c r="N95" s="2">
        <f t="shared" si="11"/>
        <v>1748</v>
      </c>
      <c r="O95" s="2">
        <f t="shared" si="12"/>
        <v>6780</v>
      </c>
      <c r="P95" s="2">
        <f t="shared" si="13"/>
        <v>27120</v>
      </c>
      <c r="Q95" s="2">
        <f t="shared" si="14"/>
        <v>29020</v>
      </c>
      <c r="R95" s="2">
        <f t="shared" si="15"/>
        <v>5533</v>
      </c>
      <c r="S95" s="2">
        <f t="shared" si="16"/>
        <v>3808</v>
      </c>
      <c r="T95" s="2">
        <f t="shared" si="17"/>
        <v>2945</v>
      </c>
      <c r="U95" s="2">
        <f t="shared" si="18"/>
        <v>2428</v>
      </c>
      <c r="V95" s="2">
        <f t="shared" si="19"/>
        <v>2083</v>
      </c>
      <c r="W95" s="2">
        <f t="shared" si="20"/>
        <v>1651</v>
      </c>
      <c r="X95" s="2">
        <f t="shared" si="21"/>
        <v>8475</v>
      </c>
      <c r="Y95" s="2">
        <f t="shared" si="22"/>
        <v>25425</v>
      </c>
      <c r="Z95" s="2">
        <f t="shared" si="23"/>
        <v>27325</v>
      </c>
      <c r="AA95" s="2">
        <f t="shared" si="24"/>
        <v>5210</v>
      </c>
      <c r="AB95" s="2">
        <f t="shared" si="25"/>
        <v>3585</v>
      </c>
      <c r="AC95" s="2">
        <f t="shared" si="26"/>
        <v>2773</v>
      </c>
      <c r="AD95" s="2">
        <f t="shared" si="27"/>
        <v>2286</v>
      </c>
      <c r="AE95" s="2">
        <f t="shared" si="28"/>
        <v>1961</v>
      </c>
      <c r="AF95" s="2">
        <f t="shared" si="29"/>
        <v>1555</v>
      </c>
      <c r="AG95" s="2">
        <f t="shared" si="30"/>
        <v>11865</v>
      </c>
      <c r="AH95" s="2">
        <f t="shared" si="31"/>
        <v>22035</v>
      </c>
      <c r="AI95" s="2">
        <f t="shared" si="32"/>
        <v>23935</v>
      </c>
      <c r="AJ95" s="2">
        <f t="shared" si="33"/>
        <v>4563</v>
      </c>
      <c r="AK95" s="2">
        <f t="shared" si="34"/>
        <v>3141</v>
      </c>
      <c r="AL95" s="2">
        <f t="shared" si="35"/>
        <v>2429</v>
      </c>
      <c r="AM95" s="2">
        <f t="shared" si="36"/>
        <v>2002</v>
      </c>
      <c r="AN95" s="2">
        <f t="shared" si="37"/>
        <v>1718</v>
      </c>
      <c r="AO95" s="2">
        <f t="shared" si="38"/>
        <v>1362</v>
      </c>
      <c r="AP95" s="2">
        <f t="shared" si="39"/>
        <v>13560</v>
      </c>
      <c r="AQ95" s="2">
        <f t="shared" si="40"/>
        <v>20340</v>
      </c>
      <c r="AR95" s="2">
        <f t="shared" si="41"/>
        <v>22240</v>
      </c>
      <c r="AS95" s="2">
        <f t="shared" si="42"/>
        <v>4240</v>
      </c>
      <c r="AT95" s="2">
        <f t="shared" si="43"/>
        <v>2918</v>
      </c>
      <c r="AU95" s="2">
        <f t="shared" si="44"/>
        <v>2257</v>
      </c>
      <c r="AV95" s="2">
        <f t="shared" si="45"/>
        <v>1861</v>
      </c>
      <c r="AW95" s="2">
        <f t="shared" si="46"/>
        <v>1596</v>
      </c>
      <c r="AX95" s="2">
        <f t="shared" si="47"/>
        <v>1266</v>
      </c>
    </row>
    <row r="96" ht="14.25" customHeight="1">
      <c r="A96" s="2" t="str">
        <f t="array" ref="A96">IFERROR(INDEX('Product Price'!A:A,SMALL('Product Price'!$D:$D,94)),"")</f>
        <v>SAMSUNG Galaxy S24+ 12/512 GB</v>
      </c>
      <c r="B96" s="2">
        <f t="array" ref="B96">IFERROR(INDEX('Product Price'!B:B,SMALL('Product Price'!$D:$D,94)),"")</f>
        <v>38900</v>
      </c>
      <c r="C96" s="2">
        <f t="array" ref="C96">IFERROR(INDEX('Product Price'!C:C,SMALL('Product Price'!$D:$D,94)),"")</f>
        <v>84</v>
      </c>
      <c r="D96" s="2">
        <f t="shared" si="1"/>
        <v>1900</v>
      </c>
      <c r="E96" s="2">
        <f t="shared" si="2"/>
        <v>40800</v>
      </c>
      <c r="F96" s="2">
        <f t="shared" si="48"/>
        <v>5835</v>
      </c>
      <c r="G96" s="2">
        <f t="shared" si="4"/>
        <v>33065</v>
      </c>
      <c r="H96" s="2">
        <f t="shared" si="5"/>
        <v>34965</v>
      </c>
      <c r="I96" s="2">
        <f t="shared" si="6"/>
        <v>6666</v>
      </c>
      <c r="J96" s="2">
        <f t="shared" si="7"/>
        <v>4588</v>
      </c>
      <c r="K96" s="2">
        <f t="shared" si="8"/>
        <v>3548</v>
      </c>
      <c r="L96" s="2">
        <f t="shared" si="9"/>
        <v>2925</v>
      </c>
      <c r="M96" s="2">
        <f t="shared" si="10"/>
        <v>2509</v>
      </c>
      <c r="N96" s="2">
        <f t="shared" si="11"/>
        <v>1990</v>
      </c>
      <c r="O96" s="2">
        <f t="shared" si="12"/>
        <v>7780</v>
      </c>
      <c r="P96" s="2">
        <f t="shared" si="13"/>
        <v>31120</v>
      </c>
      <c r="Q96" s="2">
        <f t="shared" si="14"/>
        <v>33020</v>
      </c>
      <c r="R96" s="2">
        <f t="shared" si="15"/>
        <v>6295</v>
      </c>
      <c r="S96" s="2">
        <f t="shared" si="16"/>
        <v>4333</v>
      </c>
      <c r="T96" s="2">
        <f t="shared" si="17"/>
        <v>3351</v>
      </c>
      <c r="U96" s="2">
        <f t="shared" si="18"/>
        <v>2762</v>
      </c>
      <c r="V96" s="2">
        <f t="shared" si="19"/>
        <v>2370</v>
      </c>
      <c r="W96" s="2">
        <f t="shared" si="20"/>
        <v>1879</v>
      </c>
      <c r="X96" s="2">
        <f t="shared" si="21"/>
        <v>9725</v>
      </c>
      <c r="Y96" s="2">
        <f t="shared" si="22"/>
        <v>29175</v>
      </c>
      <c r="Z96" s="2">
        <f t="shared" si="23"/>
        <v>31075</v>
      </c>
      <c r="AA96" s="2">
        <f t="shared" si="24"/>
        <v>5925</v>
      </c>
      <c r="AB96" s="2">
        <f t="shared" si="25"/>
        <v>4077</v>
      </c>
      <c r="AC96" s="2">
        <f t="shared" si="26"/>
        <v>3154</v>
      </c>
      <c r="AD96" s="2">
        <f t="shared" si="27"/>
        <v>2600</v>
      </c>
      <c r="AE96" s="2">
        <f t="shared" si="28"/>
        <v>2230</v>
      </c>
      <c r="AF96" s="2">
        <f t="shared" si="29"/>
        <v>1768</v>
      </c>
      <c r="AG96" s="2">
        <f t="shared" si="30"/>
        <v>13615</v>
      </c>
      <c r="AH96" s="2">
        <f t="shared" si="31"/>
        <v>25285</v>
      </c>
      <c r="AI96" s="2">
        <f t="shared" si="32"/>
        <v>27185</v>
      </c>
      <c r="AJ96" s="2">
        <f t="shared" si="33"/>
        <v>5183</v>
      </c>
      <c r="AK96" s="2">
        <f t="shared" si="34"/>
        <v>3567</v>
      </c>
      <c r="AL96" s="2">
        <f t="shared" si="35"/>
        <v>2759</v>
      </c>
      <c r="AM96" s="2">
        <f t="shared" si="36"/>
        <v>2274</v>
      </c>
      <c r="AN96" s="2">
        <f t="shared" si="37"/>
        <v>1951</v>
      </c>
      <c r="AO96" s="2">
        <f t="shared" si="38"/>
        <v>1547</v>
      </c>
      <c r="AP96" s="2">
        <f t="shared" si="39"/>
        <v>15560</v>
      </c>
      <c r="AQ96" s="2">
        <f t="shared" si="40"/>
        <v>23340</v>
      </c>
      <c r="AR96" s="2">
        <f t="shared" si="41"/>
        <v>25240</v>
      </c>
      <c r="AS96" s="2">
        <f t="shared" si="42"/>
        <v>4812</v>
      </c>
      <c r="AT96" s="2">
        <f t="shared" si="43"/>
        <v>3312</v>
      </c>
      <c r="AU96" s="2">
        <f t="shared" si="44"/>
        <v>2562</v>
      </c>
      <c r="AV96" s="2">
        <f t="shared" si="45"/>
        <v>2112</v>
      </c>
      <c r="AW96" s="2">
        <f t="shared" si="46"/>
        <v>1811</v>
      </c>
      <c r="AX96" s="2">
        <f t="shared" si="47"/>
        <v>1436</v>
      </c>
    </row>
    <row r="97" ht="14.25" customHeight="1">
      <c r="A97" s="2" t="str">
        <f t="array" ref="A97">IFERROR(INDEX('Product Price'!A:A,SMALL('Product Price'!$D:$D,95)),"")</f>
        <v>SAMSUNG Galaxy S24 Ultra 12/512 GB</v>
      </c>
      <c r="B97" s="2">
        <f t="array" ref="B97">IFERROR(INDEX('Product Price'!B:B,SMALL('Product Price'!$D:$D,95)),"")</f>
        <v>48900</v>
      </c>
      <c r="C97" s="2">
        <f t="array" ref="C97">IFERROR(INDEX('Product Price'!C:C,SMALL('Product Price'!$D:$D,95)),"")</f>
        <v>85</v>
      </c>
      <c r="D97" s="2">
        <f t="shared" si="1"/>
        <v>2475</v>
      </c>
      <c r="E97" s="2">
        <f t="shared" si="2"/>
        <v>51375</v>
      </c>
      <c r="F97" s="2">
        <f t="shared" si="48"/>
        <v>7335</v>
      </c>
      <c r="G97" s="2">
        <f t="shared" si="4"/>
        <v>41565</v>
      </c>
      <c r="H97" s="2">
        <f t="shared" si="5"/>
        <v>44040</v>
      </c>
      <c r="I97" s="2">
        <f t="shared" si="6"/>
        <v>8396</v>
      </c>
      <c r="J97" s="2">
        <f t="shared" si="7"/>
        <v>5778</v>
      </c>
      <c r="K97" s="2">
        <f t="shared" si="8"/>
        <v>4469</v>
      </c>
      <c r="L97" s="2">
        <f t="shared" si="9"/>
        <v>3684</v>
      </c>
      <c r="M97" s="2">
        <f t="shared" si="10"/>
        <v>3160</v>
      </c>
      <c r="N97" s="2">
        <f t="shared" si="11"/>
        <v>2506</v>
      </c>
      <c r="O97" s="2">
        <f t="shared" si="12"/>
        <v>9780</v>
      </c>
      <c r="P97" s="2">
        <f t="shared" si="13"/>
        <v>39120</v>
      </c>
      <c r="Q97" s="2">
        <f t="shared" si="14"/>
        <v>41595</v>
      </c>
      <c r="R97" s="2">
        <f t="shared" si="15"/>
        <v>7930</v>
      </c>
      <c r="S97" s="2">
        <f t="shared" si="16"/>
        <v>5458</v>
      </c>
      <c r="T97" s="2">
        <f t="shared" si="17"/>
        <v>4221</v>
      </c>
      <c r="U97" s="2">
        <f t="shared" si="18"/>
        <v>3479</v>
      </c>
      <c r="V97" s="2">
        <f t="shared" si="19"/>
        <v>2985</v>
      </c>
      <c r="W97" s="2">
        <f t="shared" si="20"/>
        <v>2367</v>
      </c>
      <c r="X97" s="2">
        <f t="shared" si="21"/>
        <v>12225</v>
      </c>
      <c r="Y97" s="2">
        <f t="shared" si="22"/>
        <v>36675</v>
      </c>
      <c r="Z97" s="2">
        <f t="shared" si="23"/>
        <v>39150</v>
      </c>
      <c r="AA97" s="2">
        <f t="shared" si="24"/>
        <v>7464</v>
      </c>
      <c r="AB97" s="2">
        <f t="shared" si="25"/>
        <v>5137</v>
      </c>
      <c r="AC97" s="2">
        <f t="shared" si="26"/>
        <v>3973</v>
      </c>
      <c r="AD97" s="2">
        <f t="shared" si="27"/>
        <v>3275</v>
      </c>
      <c r="AE97" s="2">
        <f t="shared" si="28"/>
        <v>2809</v>
      </c>
      <c r="AF97" s="2">
        <f t="shared" si="29"/>
        <v>2228</v>
      </c>
      <c r="AG97" s="2">
        <f t="shared" si="30"/>
        <v>17115</v>
      </c>
      <c r="AH97" s="2">
        <f t="shared" si="31"/>
        <v>31785</v>
      </c>
      <c r="AI97" s="2">
        <f t="shared" si="32"/>
        <v>34260</v>
      </c>
      <c r="AJ97" s="2">
        <f t="shared" si="33"/>
        <v>6532</v>
      </c>
      <c r="AK97" s="2">
        <f t="shared" si="34"/>
        <v>4495</v>
      </c>
      <c r="AL97" s="2">
        <f t="shared" si="35"/>
        <v>3477</v>
      </c>
      <c r="AM97" s="2">
        <f t="shared" si="36"/>
        <v>2866</v>
      </c>
      <c r="AN97" s="2">
        <f t="shared" si="37"/>
        <v>2459</v>
      </c>
      <c r="AO97" s="2">
        <f t="shared" si="38"/>
        <v>1949</v>
      </c>
      <c r="AP97" s="2">
        <f t="shared" si="39"/>
        <v>19560</v>
      </c>
      <c r="AQ97" s="2">
        <f t="shared" si="40"/>
        <v>29340</v>
      </c>
      <c r="AR97" s="2">
        <f t="shared" si="41"/>
        <v>31815</v>
      </c>
      <c r="AS97" s="2">
        <f t="shared" si="42"/>
        <v>6066</v>
      </c>
      <c r="AT97" s="2">
        <f t="shared" si="43"/>
        <v>4174</v>
      </c>
      <c r="AU97" s="2">
        <f t="shared" si="44"/>
        <v>3229</v>
      </c>
      <c r="AV97" s="2">
        <f t="shared" si="45"/>
        <v>2661</v>
      </c>
      <c r="AW97" s="2">
        <f t="shared" si="46"/>
        <v>2283</v>
      </c>
      <c r="AX97" s="2">
        <f t="shared" si="47"/>
        <v>1810</v>
      </c>
    </row>
    <row r="98" ht="14.25" customHeight="1">
      <c r="A98" s="2" t="str">
        <f t="array" ref="A98">IFERROR(INDEX('Product Price'!A:A,SMALL('Product Price'!$D:$D,96)),"")</f>
        <v>SAMSUNG Galaxy S24 Ultra 12/1TB</v>
      </c>
      <c r="B98" s="2">
        <f t="array" ref="B98">IFERROR(INDEX('Product Price'!B:B,SMALL('Product Price'!$D:$D,96)),"")</f>
        <v>58900</v>
      </c>
      <c r="C98" s="2">
        <f t="array" ref="C98">IFERROR(INDEX('Product Price'!C:C,SMALL('Product Price'!$D:$D,96)),"")</f>
        <v>86</v>
      </c>
      <c r="D98" s="2">
        <f t="shared" si="1"/>
        <v>2475</v>
      </c>
      <c r="E98" s="2">
        <f t="shared" si="2"/>
        <v>61375</v>
      </c>
      <c r="F98" s="2">
        <f t="shared" si="48"/>
        <v>8835</v>
      </c>
      <c r="G98" s="2">
        <f t="shared" si="4"/>
        <v>50065</v>
      </c>
      <c r="H98" s="2">
        <f t="shared" si="5"/>
        <v>52540</v>
      </c>
      <c r="I98" s="2">
        <f t="shared" si="6"/>
        <v>10017</v>
      </c>
      <c r="J98" s="2">
        <f t="shared" si="7"/>
        <v>6893</v>
      </c>
      <c r="K98" s="2">
        <f t="shared" si="8"/>
        <v>5332</v>
      </c>
      <c r="L98" s="2">
        <f t="shared" si="9"/>
        <v>4395</v>
      </c>
      <c r="M98" s="2">
        <f t="shared" si="10"/>
        <v>3770</v>
      </c>
      <c r="N98" s="2">
        <f t="shared" si="11"/>
        <v>2989</v>
      </c>
      <c r="O98" s="2">
        <f t="shared" si="12"/>
        <v>11780</v>
      </c>
      <c r="P98" s="2">
        <f t="shared" si="13"/>
        <v>47120</v>
      </c>
      <c r="Q98" s="2">
        <f t="shared" si="14"/>
        <v>49595</v>
      </c>
      <c r="R98" s="2">
        <f t="shared" si="15"/>
        <v>9455</v>
      </c>
      <c r="S98" s="2">
        <f t="shared" si="16"/>
        <v>6507</v>
      </c>
      <c r="T98" s="2">
        <f t="shared" si="17"/>
        <v>5033</v>
      </c>
      <c r="U98" s="2">
        <f t="shared" si="18"/>
        <v>4149</v>
      </c>
      <c r="V98" s="2">
        <f t="shared" si="19"/>
        <v>3559</v>
      </c>
      <c r="W98" s="2">
        <f t="shared" si="20"/>
        <v>2822</v>
      </c>
      <c r="X98" s="2">
        <f t="shared" si="21"/>
        <v>14725</v>
      </c>
      <c r="Y98" s="2">
        <f t="shared" si="22"/>
        <v>44175</v>
      </c>
      <c r="Z98" s="2">
        <f t="shared" si="23"/>
        <v>46650</v>
      </c>
      <c r="AA98" s="2">
        <f t="shared" si="24"/>
        <v>8894</v>
      </c>
      <c r="AB98" s="2">
        <f t="shared" si="25"/>
        <v>6121</v>
      </c>
      <c r="AC98" s="2">
        <f t="shared" si="26"/>
        <v>4734</v>
      </c>
      <c r="AD98" s="2">
        <f t="shared" si="27"/>
        <v>3902</v>
      </c>
      <c r="AE98" s="2">
        <f t="shared" si="28"/>
        <v>3348</v>
      </c>
      <c r="AF98" s="2">
        <f t="shared" si="29"/>
        <v>2654</v>
      </c>
      <c r="AG98" s="2">
        <f t="shared" si="30"/>
        <v>20615</v>
      </c>
      <c r="AH98" s="2">
        <f t="shared" si="31"/>
        <v>38285</v>
      </c>
      <c r="AI98" s="2">
        <f t="shared" si="32"/>
        <v>40760</v>
      </c>
      <c r="AJ98" s="2">
        <f t="shared" si="33"/>
        <v>7771</v>
      </c>
      <c r="AK98" s="2">
        <f t="shared" si="34"/>
        <v>5348</v>
      </c>
      <c r="AL98" s="2">
        <f t="shared" si="35"/>
        <v>4136</v>
      </c>
      <c r="AM98" s="2">
        <f t="shared" si="36"/>
        <v>3410</v>
      </c>
      <c r="AN98" s="2">
        <f t="shared" si="37"/>
        <v>2925</v>
      </c>
      <c r="AO98" s="2">
        <f t="shared" si="38"/>
        <v>2319</v>
      </c>
      <c r="AP98" s="2">
        <f t="shared" si="39"/>
        <v>23560</v>
      </c>
      <c r="AQ98" s="2">
        <f t="shared" si="40"/>
        <v>35340</v>
      </c>
      <c r="AR98" s="2">
        <f t="shared" si="41"/>
        <v>37815</v>
      </c>
      <c r="AS98" s="2">
        <f t="shared" si="42"/>
        <v>7209</v>
      </c>
      <c r="AT98" s="2">
        <f t="shared" si="43"/>
        <v>4962</v>
      </c>
      <c r="AU98" s="2">
        <f t="shared" si="44"/>
        <v>3838</v>
      </c>
      <c r="AV98" s="2">
        <f t="shared" si="45"/>
        <v>3163</v>
      </c>
      <c r="AW98" s="2">
        <f t="shared" si="46"/>
        <v>2714</v>
      </c>
      <c r="AX98" s="2">
        <f t="shared" si="47"/>
        <v>2152</v>
      </c>
    </row>
    <row r="99" ht="14.25" customHeight="1">
      <c r="A99" s="2" t="str">
        <f t="array" ref="A99">IFERROR(INDEX('Product Price'!A:A,SMALL('Product Price'!$D:$D,97)),"")</f>
        <v>SAMSUNG Galaxy S24 FE 8/128 GB</v>
      </c>
      <c r="B99" s="2">
        <f t="array" ref="B99">IFERROR(INDEX('Product Price'!B:B,SMALL('Product Price'!$D:$D,97)),"")</f>
        <v>22900</v>
      </c>
      <c r="C99" s="2">
        <f t="array" ref="C99">IFERROR(INDEX('Product Price'!C:C,SMALL('Product Price'!$D:$D,97)),"")</f>
        <v>87</v>
      </c>
      <c r="D99" s="2">
        <f t="shared" si="1"/>
        <v>1900</v>
      </c>
      <c r="E99" s="2">
        <f t="shared" si="2"/>
        <v>24800</v>
      </c>
      <c r="F99" s="2">
        <f t="shared" si="48"/>
        <v>3435</v>
      </c>
      <c r="G99" s="2">
        <f t="shared" si="4"/>
        <v>19465</v>
      </c>
      <c r="H99" s="2">
        <f t="shared" si="5"/>
        <v>21365</v>
      </c>
      <c r="I99" s="2">
        <f t="shared" si="6"/>
        <v>4073</v>
      </c>
      <c r="J99" s="2">
        <f t="shared" si="7"/>
        <v>2803</v>
      </c>
      <c r="K99" s="2">
        <f t="shared" si="8"/>
        <v>2168</v>
      </c>
      <c r="L99" s="2">
        <f t="shared" si="9"/>
        <v>1787</v>
      </c>
      <c r="M99" s="2">
        <f t="shared" si="10"/>
        <v>1533</v>
      </c>
      <c r="N99" s="2">
        <f t="shared" si="11"/>
        <v>1216</v>
      </c>
      <c r="O99" s="2">
        <f t="shared" si="12"/>
        <v>4580</v>
      </c>
      <c r="P99" s="2">
        <f t="shared" si="13"/>
        <v>18320</v>
      </c>
      <c r="Q99" s="2">
        <f t="shared" si="14"/>
        <v>20220</v>
      </c>
      <c r="R99" s="2">
        <f t="shared" si="15"/>
        <v>3855</v>
      </c>
      <c r="S99" s="2">
        <f t="shared" si="16"/>
        <v>2653</v>
      </c>
      <c r="T99" s="2">
        <f t="shared" si="17"/>
        <v>2052</v>
      </c>
      <c r="U99" s="2">
        <f t="shared" si="18"/>
        <v>1692</v>
      </c>
      <c r="V99" s="2">
        <f t="shared" si="19"/>
        <v>1451</v>
      </c>
      <c r="W99" s="2">
        <f t="shared" si="20"/>
        <v>1151</v>
      </c>
      <c r="X99" s="2">
        <f t="shared" si="21"/>
        <v>5725</v>
      </c>
      <c r="Y99" s="2">
        <f t="shared" si="22"/>
        <v>17175</v>
      </c>
      <c r="Z99" s="2">
        <f t="shared" si="23"/>
        <v>19075</v>
      </c>
      <c r="AA99" s="2">
        <f t="shared" si="24"/>
        <v>3637</v>
      </c>
      <c r="AB99" s="2">
        <f t="shared" si="25"/>
        <v>2503</v>
      </c>
      <c r="AC99" s="2">
        <f t="shared" si="26"/>
        <v>1936</v>
      </c>
      <c r="AD99" s="2">
        <f t="shared" si="27"/>
        <v>1596</v>
      </c>
      <c r="AE99" s="2">
        <f t="shared" si="28"/>
        <v>1369</v>
      </c>
      <c r="AF99" s="2">
        <f t="shared" si="29"/>
        <v>1086</v>
      </c>
      <c r="AG99" s="2">
        <f t="shared" si="30"/>
        <v>8015</v>
      </c>
      <c r="AH99" s="2">
        <f t="shared" si="31"/>
        <v>14885</v>
      </c>
      <c r="AI99" s="2">
        <f t="shared" si="32"/>
        <v>16785</v>
      </c>
      <c r="AJ99" s="2">
        <f t="shared" si="33"/>
        <v>3200</v>
      </c>
      <c r="AK99" s="2">
        <f t="shared" si="34"/>
        <v>2203</v>
      </c>
      <c r="AL99" s="2">
        <f t="shared" si="35"/>
        <v>1704</v>
      </c>
      <c r="AM99" s="2">
        <f t="shared" si="36"/>
        <v>1404</v>
      </c>
      <c r="AN99" s="2">
        <f t="shared" si="37"/>
        <v>1205</v>
      </c>
      <c r="AO99" s="2">
        <f t="shared" si="38"/>
        <v>955</v>
      </c>
      <c r="AP99" s="2">
        <f t="shared" si="39"/>
        <v>9160</v>
      </c>
      <c r="AQ99" s="2">
        <f t="shared" si="40"/>
        <v>13740</v>
      </c>
      <c r="AR99" s="2">
        <f t="shared" si="41"/>
        <v>15640</v>
      </c>
      <c r="AS99" s="2">
        <f t="shared" si="42"/>
        <v>2982</v>
      </c>
      <c r="AT99" s="2">
        <f t="shared" si="43"/>
        <v>2052</v>
      </c>
      <c r="AU99" s="2">
        <f t="shared" si="44"/>
        <v>1588</v>
      </c>
      <c r="AV99" s="2">
        <f t="shared" si="45"/>
        <v>1309</v>
      </c>
      <c r="AW99" s="2">
        <f t="shared" si="46"/>
        <v>1123</v>
      </c>
      <c r="AX99" s="2">
        <f t="shared" si="47"/>
        <v>890</v>
      </c>
    </row>
    <row r="100" ht="14.25" customHeight="1">
      <c r="A100" s="2" t="str">
        <f t="array" ref="A100">IFERROR(INDEX('Product Price'!A:A,SMALL('Product Price'!$D:$D,98)),"")</f>
        <v>SAMSUNG Galaxy S24 FE 8/256 GB</v>
      </c>
      <c r="B100" s="2">
        <f t="array" ref="B100">IFERROR(INDEX('Product Price'!B:B,SMALL('Product Price'!$D:$D,98)),"")</f>
        <v>25900</v>
      </c>
      <c r="C100" s="2">
        <f t="array" ref="C100">IFERROR(INDEX('Product Price'!C:C,SMALL('Product Price'!$D:$D,98)),"")</f>
        <v>88</v>
      </c>
      <c r="D100" s="2">
        <f t="shared" si="1"/>
        <v>1900</v>
      </c>
      <c r="E100" s="2">
        <f t="shared" si="2"/>
        <v>27800</v>
      </c>
      <c r="F100" s="2">
        <f t="shared" si="48"/>
        <v>3885</v>
      </c>
      <c r="G100" s="2">
        <f t="shared" si="4"/>
        <v>22015</v>
      </c>
      <c r="H100" s="2">
        <f t="shared" si="5"/>
        <v>23915</v>
      </c>
      <c r="I100" s="2">
        <f t="shared" si="6"/>
        <v>4560</v>
      </c>
      <c r="J100" s="2">
        <f t="shared" si="7"/>
        <v>3138</v>
      </c>
      <c r="K100" s="2">
        <f t="shared" si="8"/>
        <v>2427</v>
      </c>
      <c r="L100" s="2">
        <f t="shared" si="9"/>
        <v>2001</v>
      </c>
      <c r="M100" s="2">
        <f t="shared" si="10"/>
        <v>1716</v>
      </c>
      <c r="N100" s="2">
        <f t="shared" si="11"/>
        <v>1361</v>
      </c>
      <c r="O100" s="2">
        <f t="shared" si="12"/>
        <v>5180</v>
      </c>
      <c r="P100" s="2">
        <f t="shared" si="13"/>
        <v>20720</v>
      </c>
      <c r="Q100" s="2">
        <f t="shared" si="14"/>
        <v>22620</v>
      </c>
      <c r="R100" s="2">
        <f t="shared" si="15"/>
        <v>4313</v>
      </c>
      <c r="S100" s="2">
        <f t="shared" si="16"/>
        <v>2968</v>
      </c>
      <c r="T100" s="2">
        <f t="shared" si="17"/>
        <v>2296</v>
      </c>
      <c r="U100" s="2">
        <f t="shared" si="18"/>
        <v>1892</v>
      </c>
      <c r="V100" s="2">
        <f t="shared" si="19"/>
        <v>1623</v>
      </c>
      <c r="W100" s="2">
        <f t="shared" si="20"/>
        <v>1287</v>
      </c>
      <c r="X100" s="2">
        <f t="shared" si="21"/>
        <v>6475</v>
      </c>
      <c r="Y100" s="2">
        <f t="shared" si="22"/>
        <v>19425</v>
      </c>
      <c r="Z100" s="2">
        <f t="shared" si="23"/>
        <v>21325</v>
      </c>
      <c r="AA100" s="2">
        <f t="shared" si="24"/>
        <v>4066</v>
      </c>
      <c r="AB100" s="2">
        <f t="shared" si="25"/>
        <v>2798</v>
      </c>
      <c r="AC100" s="2">
        <f t="shared" si="26"/>
        <v>2164</v>
      </c>
      <c r="AD100" s="2">
        <f t="shared" si="27"/>
        <v>1784</v>
      </c>
      <c r="AE100" s="2">
        <f t="shared" si="28"/>
        <v>1531</v>
      </c>
      <c r="AF100" s="2">
        <f t="shared" si="29"/>
        <v>1214</v>
      </c>
      <c r="AG100" s="2">
        <f t="shared" si="30"/>
        <v>9065</v>
      </c>
      <c r="AH100" s="2">
        <f t="shared" si="31"/>
        <v>16835</v>
      </c>
      <c r="AI100" s="2">
        <f t="shared" si="32"/>
        <v>18735</v>
      </c>
      <c r="AJ100" s="2">
        <f t="shared" si="33"/>
        <v>3572</v>
      </c>
      <c r="AK100" s="2">
        <f t="shared" si="34"/>
        <v>2458</v>
      </c>
      <c r="AL100" s="2">
        <f t="shared" si="35"/>
        <v>1902</v>
      </c>
      <c r="AM100" s="2">
        <f t="shared" si="36"/>
        <v>1567</v>
      </c>
      <c r="AN100" s="2">
        <f t="shared" si="37"/>
        <v>1345</v>
      </c>
      <c r="AO100" s="2">
        <f t="shared" si="38"/>
        <v>1066</v>
      </c>
      <c r="AP100" s="2">
        <f t="shared" si="39"/>
        <v>10360</v>
      </c>
      <c r="AQ100" s="2">
        <f t="shared" si="40"/>
        <v>15540</v>
      </c>
      <c r="AR100" s="2">
        <f t="shared" si="41"/>
        <v>17440</v>
      </c>
      <c r="AS100" s="2">
        <f t="shared" si="42"/>
        <v>3325</v>
      </c>
      <c r="AT100" s="2">
        <f t="shared" si="43"/>
        <v>2289</v>
      </c>
      <c r="AU100" s="2">
        <f t="shared" si="44"/>
        <v>1770</v>
      </c>
      <c r="AV100" s="2">
        <f t="shared" si="45"/>
        <v>1459</v>
      </c>
      <c r="AW100" s="2">
        <f t="shared" si="46"/>
        <v>1252</v>
      </c>
      <c r="AX100" s="2">
        <f t="shared" si="47"/>
        <v>993</v>
      </c>
    </row>
    <row r="101" ht="14.25" customHeight="1">
      <c r="A101" s="2" t="str">
        <f t="array" ref="A101">IFERROR(INDEX('Product Price'!A:A,SMALL('Product Price'!$D:$D,99)),"")</f>
        <v>SAMSUNG Galaxy S25 12/256 GB</v>
      </c>
      <c r="B101" s="2">
        <f t="array" ref="B101">IFERROR(INDEX('Product Price'!B:B,SMALL('Product Price'!$D:$D,99)),"")</f>
        <v>29900</v>
      </c>
      <c r="C101" s="2">
        <f t="array" ref="C101">IFERROR(INDEX('Product Price'!C:C,SMALL('Product Price'!$D:$D,99)),"")</f>
        <v>89</v>
      </c>
      <c r="D101" s="2">
        <f t="shared" si="1"/>
        <v>1900</v>
      </c>
      <c r="E101" s="2">
        <f t="shared" si="2"/>
        <v>31800</v>
      </c>
      <c r="F101" s="2">
        <f t="shared" si="48"/>
        <v>4485</v>
      </c>
      <c r="G101" s="2">
        <f t="shared" si="4"/>
        <v>25415</v>
      </c>
      <c r="H101" s="2">
        <f t="shared" si="5"/>
        <v>27315</v>
      </c>
      <c r="I101" s="2">
        <f t="shared" si="6"/>
        <v>5208</v>
      </c>
      <c r="J101" s="2">
        <f t="shared" si="7"/>
        <v>3584</v>
      </c>
      <c r="K101" s="2">
        <f t="shared" si="8"/>
        <v>2772</v>
      </c>
      <c r="L101" s="2">
        <f t="shared" si="9"/>
        <v>2285</v>
      </c>
      <c r="M101" s="2">
        <f t="shared" si="10"/>
        <v>1960</v>
      </c>
      <c r="N101" s="2">
        <f t="shared" si="11"/>
        <v>1554</v>
      </c>
      <c r="O101" s="2">
        <f t="shared" si="12"/>
        <v>5980</v>
      </c>
      <c r="P101" s="2">
        <f t="shared" si="13"/>
        <v>23920</v>
      </c>
      <c r="Q101" s="2">
        <f t="shared" si="14"/>
        <v>25820</v>
      </c>
      <c r="R101" s="2">
        <f t="shared" si="15"/>
        <v>4923</v>
      </c>
      <c r="S101" s="2">
        <f t="shared" si="16"/>
        <v>3388</v>
      </c>
      <c r="T101" s="2">
        <f t="shared" si="17"/>
        <v>2620</v>
      </c>
      <c r="U101" s="2">
        <f t="shared" si="18"/>
        <v>2160</v>
      </c>
      <c r="V101" s="2">
        <f t="shared" si="19"/>
        <v>1853</v>
      </c>
      <c r="W101" s="2">
        <f t="shared" si="20"/>
        <v>1469</v>
      </c>
      <c r="X101" s="2">
        <f t="shared" si="21"/>
        <v>7475</v>
      </c>
      <c r="Y101" s="2">
        <f t="shared" si="22"/>
        <v>22425</v>
      </c>
      <c r="Z101" s="2">
        <f t="shared" si="23"/>
        <v>24325</v>
      </c>
      <c r="AA101" s="2">
        <f t="shared" si="24"/>
        <v>4638</v>
      </c>
      <c r="AB101" s="2">
        <f t="shared" si="25"/>
        <v>3192</v>
      </c>
      <c r="AC101" s="2">
        <f t="shared" si="26"/>
        <v>2469</v>
      </c>
      <c r="AD101" s="2">
        <f t="shared" si="27"/>
        <v>2035</v>
      </c>
      <c r="AE101" s="2">
        <f t="shared" si="28"/>
        <v>1746</v>
      </c>
      <c r="AF101" s="2">
        <f t="shared" si="29"/>
        <v>1384</v>
      </c>
      <c r="AG101" s="2">
        <f t="shared" si="30"/>
        <v>10465</v>
      </c>
      <c r="AH101" s="2">
        <f t="shared" si="31"/>
        <v>19435</v>
      </c>
      <c r="AI101" s="2">
        <f t="shared" si="32"/>
        <v>21335</v>
      </c>
      <c r="AJ101" s="2">
        <f t="shared" si="33"/>
        <v>4068</v>
      </c>
      <c r="AK101" s="2">
        <f t="shared" si="34"/>
        <v>2800</v>
      </c>
      <c r="AL101" s="2">
        <f t="shared" si="35"/>
        <v>2165</v>
      </c>
      <c r="AM101" s="2">
        <f t="shared" si="36"/>
        <v>1785</v>
      </c>
      <c r="AN101" s="2">
        <f t="shared" si="37"/>
        <v>1531</v>
      </c>
      <c r="AO101" s="2">
        <f t="shared" si="38"/>
        <v>1214</v>
      </c>
      <c r="AP101" s="2">
        <f t="shared" si="39"/>
        <v>11960</v>
      </c>
      <c r="AQ101" s="2">
        <f t="shared" si="40"/>
        <v>17940</v>
      </c>
      <c r="AR101" s="2">
        <f t="shared" si="41"/>
        <v>19840</v>
      </c>
      <c r="AS101" s="2">
        <f t="shared" si="42"/>
        <v>3783</v>
      </c>
      <c r="AT101" s="2">
        <f t="shared" si="43"/>
        <v>2603</v>
      </c>
      <c r="AU101" s="2">
        <f t="shared" si="44"/>
        <v>2014</v>
      </c>
      <c r="AV101" s="2">
        <f t="shared" si="45"/>
        <v>1660</v>
      </c>
      <c r="AW101" s="2">
        <f t="shared" si="46"/>
        <v>1424</v>
      </c>
      <c r="AX101" s="2">
        <f t="shared" si="47"/>
        <v>1129</v>
      </c>
    </row>
    <row r="102" ht="14.25" customHeight="1">
      <c r="A102" s="2" t="str">
        <f t="array" ref="A102">IFERROR(INDEX('Product Price'!A:A,SMALL('Product Price'!$D:$D,100)),"")</f>
        <v>SAMSUNG Galaxy S25 12/512 GB</v>
      </c>
      <c r="B102" s="2">
        <f t="array" ref="B102">IFERROR(INDEX('Product Price'!B:B,SMALL('Product Price'!$D:$D,100)),"")</f>
        <v>34900</v>
      </c>
      <c r="C102" s="2">
        <f t="array" ref="C102">IFERROR(INDEX('Product Price'!C:C,SMALL('Product Price'!$D:$D,100)),"")</f>
        <v>90</v>
      </c>
      <c r="D102" s="2">
        <f t="shared" si="1"/>
        <v>1900</v>
      </c>
      <c r="E102" s="2">
        <f t="shared" si="2"/>
        <v>36800</v>
      </c>
      <c r="F102" s="2">
        <f t="shared" si="48"/>
        <v>5235</v>
      </c>
      <c r="G102" s="2">
        <f t="shared" si="4"/>
        <v>29665</v>
      </c>
      <c r="H102" s="2">
        <f t="shared" si="5"/>
        <v>31565</v>
      </c>
      <c r="I102" s="2">
        <f t="shared" si="6"/>
        <v>6018</v>
      </c>
      <c r="J102" s="2">
        <f t="shared" si="7"/>
        <v>4142</v>
      </c>
      <c r="K102" s="2">
        <f t="shared" si="8"/>
        <v>3203</v>
      </c>
      <c r="L102" s="2">
        <f t="shared" si="9"/>
        <v>2641</v>
      </c>
      <c r="M102" s="2">
        <f t="shared" si="10"/>
        <v>2265</v>
      </c>
      <c r="N102" s="2">
        <f t="shared" si="11"/>
        <v>1796</v>
      </c>
      <c r="O102" s="2">
        <f t="shared" si="12"/>
        <v>6980</v>
      </c>
      <c r="P102" s="2">
        <f t="shared" si="13"/>
        <v>27920</v>
      </c>
      <c r="Q102" s="2">
        <f t="shared" si="14"/>
        <v>29820</v>
      </c>
      <c r="R102" s="2">
        <f t="shared" si="15"/>
        <v>5685</v>
      </c>
      <c r="S102" s="2">
        <f t="shared" si="16"/>
        <v>3913</v>
      </c>
      <c r="T102" s="2">
        <f t="shared" si="17"/>
        <v>3026</v>
      </c>
      <c r="U102" s="2">
        <f t="shared" si="18"/>
        <v>2495</v>
      </c>
      <c r="V102" s="2">
        <f t="shared" si="19"/>
        <v>2140</v>
      </c>
      <c r="W102" s="2">
        <f t="shared" si="20"/>
        <v>1697</v>
      </c>
      <c r="X102" s="2">
        <f t="shared" si="21"/>
        <v>8725</v>
      </c>
      <c r="Y102" s="2">
        <f t="shared" si="22"/>
        <v>26175</v>
      </c>
      <c r="Z102" s="2">
        <f t="shared" si="23"/>
        <v>28075</v>
      </c>
      <c r="AA102" s="2">
        <f t="shared" si="24"/>
        <v>5353</v>
      </c>
      <c r="AB102" s="2">
        <f t="shared" si="25"/>
        <v>3684</v>
      </c>
      <c r="AC102" s="2">
        <f t="shared" si="26"/>
        <v>2849</v>
      </c>
      <c r="AD102" s="2">
        <f t="shared" si="27"/>
        <v>2349</v>
      </c>
      <c r="AE102" s="2">
        <f t="shared" si="28"/>
        <v>2015</v>
      </c>
      <c r="AF102" s="2">
        <f t="shared" si="29"/>
        <v>1598</v>
      </c>
      <c r="AG102" s="2">
        <f t="shared" si="30"/>
        <v>12215</v>
      </c>
      <c r="AH102" s="2">
        <f t="shared" si="31"/>
        <v>22685</v>
      </c>
      <c r="AI102" s="2">
        <f t="shared" si="32"/>
        <v>24585</v>
      </c>
      <c r="AJ102" s="2">
        <f t="shared" si="33"/>
        <v>4687</v>
      </c>
      <c r="AK102" s="2">
        <f t="shared" si="34"/>
        <v>3226</v>
      </c>
      <c r="AL102" s="2">
        <f t="shared" si="35"/>
        <v>2495</v>
      </c>
      <c r="AM102" s="2">
        <f t="shared" si="36"/>
        <v>2057</v>
      </c>
      <c r="AN102" s="2">
        <f t="shared" si="37"/>
        <v>1764</v>
      </c>
      <c r="AO102" s="2">
        <f t="shared" si="38"/>
        <v>1399</v>
      </c>
      <c r="AP102" s="2">
        <f t="shared" si="39"/>
        <v>13960</v>
      </c>
      <c r="AQ102" s="2">
        <f t="shared" si="40"/>
        <v>20940</v>
      </c>
      <c r="AR102" s="2">
        <f t="shared" si="41"/>
        <v>22840</v>
      </c>
      <c r="AS102" s="2">
        <f t="shared" si="42"/>
        <v>4355</v>
      </c>
      <c r="AT102" s="2">
        <f t="shared" si="43"/>
        <v>2997</v>
      </c>
      <c r="AU102" s="2">
        <f t="shared" si="44"/>
        <v>2318</v>
      </c>
      <c r="AV102" s="2">
        <f t="shared" si="45"/>
        <v>1911</v>
      </c>
      <c r="AW102" s="2">
        <f t="shared" si="46"/>
        <v>1639</v>
      </c>
      <c r="AX102" s="2">
        <f t="shared" si="47"/>
        <v>1300</v>
      </c>
    </row>
    <row r="103" ht="14.25" customHeight="1">
      <c r="A103" s="2" t="str">
        <f t="array" ref="A103">IFERROR(INDEX('Product Price'!A:A,SMALL('Product Price'!$D:$D,101)),"")</f>
        <v>SAMSUNG Galaxy S25+ 12/256 GB</v>
      </c>
      <c r="B103" s="2">
        <f t="array" ref="B103">IFERROR(INDEX('Product Price'!B:B,SMALL('Product Price'!$D:$D,101)),"")</f>
        <v>36900</v>
      </c>
      <c r="C103" s="2">
        <f t="array" ref="C103">IFERROR(INDEX('Product Price'!C:C,SMALL('Product Price'!$D:$D,101)),"")</f>
        <v>91</v>
      </c>
      <c r="D103" s="2">
        <f t="shared" si="1"/>
        <v>1900</v>
      </c>
      <c r="E103" s="2">
        <f t="shared" si="2"/>
        <v>38800</v>
      </c>
      <c r="F103" s="2">
        <f t="shared" si="48"/>
        <v>5535</v>
      </c>
      <c r="G103" s="2">
        <f t="shared" si="4"/>
        <v>31365</v>
      </c>
      <c r="H103" s="2">
        <f t="shared" si="5"/>
        <v>33265</v>
      </c>
      <c r="I103" s="2">
        <f t="shared" si="6"/>
        <v>6342</v>
      </c>
      <c r="J103" s="2">
        <f t="shared" si="7"/>
        <v>4365</v>
      </c>
      <c r="K103" s="2">
        <f t="shared" si="8"/>
        <v>3376</v>
      </c>
      <c r="L103" s="2">
        <f t="shared" si="9"/>
        <v>2783</v>
      </c>
      <c r="M103" s="2">
        <f t="shared" si="10"/>
        <v>2387</v>
      </c>
      <c r="N103" s="2">
        <f t="shared" si="11"/>
        <v>1893</v>
      </c>
      <c r="O103" s="2">
        <f t="shared" si="12"/>
        <v>7380</v>
      </c>
      <c r="P103" s="2">
        <f t="shared" si="13"/>
        <v>29520</v>
      </c>
      <c r="Q103" s="2">
        <f t="shared" si="14"/>
        <v>31420</v>
      </c>
      <c r="R103" s="2">
        <f t="shared" si="15"/>
        <v>5990</v>
      </c>
      <c r="S103" s="2">
        <f t="shared" si="16"/>
        <v>4123</v>
      </c>
      <c r="T103" s="2">
        <f t="shared" si="17"/>
        <v>3189</v>
      </c>
      <c r="U103" s="2">
        <f t="shared" si="18"/>
        <v>2628</v>
      </c>
      <c r="V103" s="2">
        <f t="shared" si="19"/>
        <v>2255</v>
      </c>
      <c r="W103" s="2">
        <f t="shared" si="20"/>
        <v>1788</v>
      </c>
      <c r="X103" s="2">
        <f t="shared" si="21"/>
        <v>9225</v>
      </c>
      <c r="Y103" s="2">
        <f t="shared" si="22"/>
        <v>27675</v>
      </c>
      <c r="Z103" s="2">
        <f t="shared" si="23"/>
        <v>29575</v>
      </c>
      <c r="AA103" s="2">
        <f t="shared" si="24"/>
        <v>5639</v>
      </c>
      <c r="AB103" s="2">
        <f t="shared" si="25"/>
        <v>3881</v>
      </c>
      <c r="AC103" s="2">
        <f t="shared" si="26"/>
        <v>3002</v>
      </c>
      <c r="AD103" s="2">
        <f t="shared" si="27"/>
        <v>2474</v>
      </c>
      <c r="AE103" s="2">
        <f t="shared" si="28"/>
        <v>2122</v>
      </c>
      <c r="AF103" s="2">
        <f t="shared" si="29"/>
        <v>1683</v>
      </c>
      <c r="AG103" s="2">
        <f t="shared" si="30"/>
        <v>12915</v>
      </c>
      <c r="AH103" s="2">
        <f t="shared" si="31"/>
        <v>23985</v>
      </c>
      <c r="AI103" s="2">
        <f t="shared" si="32"/>
        <v>25885</v>
      </c>
      <c r="AJ103" s="2">
        <f t="shared" si="33"/>
        <v>4935</v>
      </c>
      <c r="AK103" s="2">
        <f t="shared" si="34"/>
        <v>3396</v>
      </c>
      <c r="AL103" s="2">
        <f t="shared" si="35"/>
        <v>2627</v>
      </c>
      <c r="AM103" s="2">
        <f t="shared" si="36"/>
        <v>2165</v>
      </c>
      <c r="AN103" s="2">
        <f t="shared" si="37"/>
        <v>1858</v>
      </c>
      <c r="AO103" s="2">
        <f t="shared" si="38"/>
        <v>1473</v>
      </c>
      <c r="AP103" s="2">
        <f t="shared" si="39"/>
        <v>14760</v>
      </c>
      <c r="AQ103" s="2">
        <f t="shared" si="40"/>
        <v>22140</v>
      </c>
      <c r="AR103" s="2">
        <f t="shared" si="41"/>
        <v>24040</v>
      </c>
      <c r="AS103" s="2">
        <f t="shared" si="42"/>
        <v>4583</v>
      </c>
      <c r="AT103" s="2">
        <f t="shared" si="43"/>
        <v>3154</v>
      </c>
      <c r="AU103" s="2">
        <f t="shared" si="44"/>
        <v>2440</v>
      </c>
      <c r="AV103" s="2">
        <f t="shared" si="45"/>
        <v>2011</v>
      </c>
      <c r="AW103" s="2">
        <f t="shared" si="46"/>
        <v>1725</v>
      </c>
      <c r="AX103" s="2">
        <f t="shared" si="47"/>
        <v>1368</v>
      </c>
    </row>
    <row r="104" ht="14.25" customHeight="1">
      <c r="A104" s="2" t="str">
        <f t="array" ref="A104">IFERROR(INDEX('Product Price'!A:A,SMALL('Product Price'!$D:$D,102)),"")</f>
        <v>SAMSUNG Galaxy S25+ 12/512 GB</v>
      </c>
      <c r="B104" s="2">
        <f t="array" ref="B104">IFERROR(INDEX('Product Price'!B:B,SMALL('Product Price'!$D:$D,102)),"")</f>
        <v>41900</v>
      </c>
      <c r="C104" s="2">
        <f t="array" ref="C104">IFERROR(INDEX('Product Price'!C:C,SMALL('Product Price'!$D:$D,102)),"")</f>
        <v>92</v>
      </c>
      <c r="D104" s="2">
        <f t="shared" si="1"/>
        <v>2475</v>
      </c>
      <c r="E104" s="2">
        <f t="shared" si="2"/>
        <v>44375</v>
      </c>
      <c r="F104" s="2">
        <f t="shared" si="48"/>
        <v>6285</v>
      </c>
      <c r="G104" s="2">
        <f t="shared" si="4"/>
        <v>35615</v>
      </c>
      <c r="H104" s="2">
        <f t="shared" si="5"/>
        <v>38090</v>
      </c>
      <c r="I104" s="2">
        <f t="shared" si="6"/>
        <v>7262</v>
      </c>
      <c r="J104" s="2">
        <f t="shared" si="7"/>
        <v>4998</v>
      </c>
      <c r="K104" s="2">
        <f t="shared" si="8"/>
        <v>3866</v>
      </c>
      <c r="L104" s="2">
        <f t="shared" si="9"/>
        <v>3186</v>
      </c>
      <c r="M104" s="2">
        <f t="shared" si="10"/>
        <v>2733</v>
      </c>
      <c r="N104" s="2">
        <f t="shared" si="11"/>
        <v>2167</v>
      </c>
      <c r="O104" s="2">
        <f t="shared" si="12"/>
        <v>8380</v>
      </c>
      <c r="P104" s="2">
        <f t="shared" si="13"/>
        <v>33520</v>
      </c>
      <c r="Q104" s="2">
        <f t="shared" si="14"/>
        <v>35995</v>
      </c>
      <c r="R104" s="2">
        <f t="shared" si="15"/>
        <v>6863</v>
      </c>
      <c r="S104" s="2">
        <f t="shared" si="16"/>
        <v>4723</v>
      </c>
      <c r="T104" s="2">
        <f t="shared" si="17"/>
        <v>3653</v>
      </c>
      <c r="U104" s="2">
        <f t="shared" si="18"/>
        <v>3011</v>
      </c>
      <c r="V104" s="2">
        <f t="shared" si="19"/>
        <v>2583</v>
      </c>
      <c r="W104" s="2">
        <f t="shared" si="20"/>
        <v>2048</v>
      </c>
      <c r="X104" s="2">
        <f t="shared" si="21"/>
        <v>10475</v>
      </c>
      <c r="Y104" s="2">
        <f t="shared" si="22"/>
        <v>31425</v>
      </c>
      <c r="Z104" s="2">
        <f t="shared" si="23"/>
        <v>33900</v>
      </c>
      <c r="AA104" s="2">
        <f t="shared" si="24"/>
        <v>6463</v>
      </c>
      <c r="AB104" s="2">
        <f t="shared" si="25"/>
        <v>4448</v>
      </c>
      <c r="AC104" s="2">
        <f t="shared" si="26"/>
        <v>3440</v>
      </c>
      <c r="AD104" s="2">
        <f t="shared" si="27"/>
        <v>2836</v>
      </c>
      <c r="AE104" s="2">
        <f t="shared" si="28"/>
        <v>2433</v>
      </c>
      <c r="AF104" s="2">
        <f t="shared" si="29"/>
        <v>1929</v>
      </c>
      <c r="AG104" s="2">
        <f t="shared" si="30"/>
        <v>14665</v>
      </c>
      <c r="AH104" s="2">
        <f t="shared" si="31"/>
        <v>27235</v>
      </c>
      <c r="AI104" s="2">
        <f t="shared" si="32"/>
        <v>29710</v>
      </c>
      <c r="AJ104" s="2">
        <f t="shared" si="33"/>
        <v>5664</v>
      </c>
      <c r="AK104" s="2">
        <f t="shared" si="34"/>
        <v>3898</v>
      </c>
      <c r="AL104" s="2">
        <f t="shared" si="35"/>
        <v>3015</v>
      </c>
      <c r="AM104" s="2">
        <f t="shared" si="36"/>
        <v>2485</v>
      </c>
      <c r="AN104" s="2">
        <f t="shared" si="37"/>
        <v>2132</v>
      </c>
      <c r="AO104" s="2">
        <f t="shared" si="38"/>
        <v>1691</v>
      </c>
      <c r="AP104" s="2">
        <f t="shared" si="39"/>
        <v>16760</v>
      </c>
      <c r="AQ104" s="2">
        <f t="shared" si="40"/>
        <v>25140</v>
      </c>
      <c r="AR104" s="2">
        <f t="shared" si="41"/>
        <v>27615</v>
      </c>
      <c r="AS104" s="2">
        <f t="shared" si="42"/>
        <v>5265</v>
      </c>
      <c r="AT104" s="2">
        <f t="shared" si="43"/>
        <v>3623</v>
      </c>
      <c r="AU104" s="2">
        <f t="shared" si="44"/>
        <v>2803</v>
      </c>
      <c r="AV104" s="2">
        <f t="shared" si="45"/>
        <v>2310</v>
      </c>
      <c r="AW104" s="2">
        <f t="shared" si="46"/>
        <v>1982</v>
      </c>
      <c r="AX104" s="2">
        <f t="shared" si="47"/>
        <v>1571</v>
      </c>
    </row>
    <row r="105" ht="14.25" customHeight="1">
      <c r="A105" s="2" t="str">
        <f t="array" ref="A105">IFERROR(INDEX('Product Price'!A:A,SMALL('Product Price'!$D:$D,103)),"")</f>
        <v>SAMSUNG Galaxy S25 Ultra 12/256 GB</v>
      </c>
      <c r="B105" s="2">
        <f t="array" ref="B105">IFERROR(INDEX('Product Price'!B:B,SMALL('Product Price'!$D:$D,103)),"")</f>
        <v>42900</v>
      </c>
      <c r="C105" s="2">
        <f t="array" ref="C105">IFERROR(INDEX('Product Price'!C:C,SMALL('Product Price'!$D:$D,103)),"")</f>
        <v>93</v>
      </c>
      <c r="D105" s="2">
        <f t="shared" si="1"/>
        <v>2475</v>
      </c>
      <c r="E105" s="2">
        <f t="shared" si="2"/>
        <v>45375</v>
      </c>
      <c r="F105" s="2">
        <f t="shared" si="48"/>
        <v>6435</v>
      </c>
      <c r="G105" s="2">
        <f t="shared" si="4"/>
        <v>36465</v>
      </c>
      <c r="H105" s="2">
        <f t="shared" si="5"/>
        <v>38940</v>
      </c>
      <c r="I105" s="2">
        <f t="shared" si="6"/>
        <v>7424</v>
      </c>
      <c r="J105" s="2">
        <f t="shared" si="7"/>
        <v>5109</v>
      </c>
      <c r="K105" s="2">
        <f t="shared" si="8"/>
        <v>3952</v>
      </c>
      <c r="L105" s="2">
        <f t="shared" si="9"/>
        <v>3257</v>
      </c>
      <c r="M105" s="2">
        <f t="shared" si="10"/>
        <v>2794</v>
      </c>
      <c r="N105" s="2">
        <f t="shared" si="11"/>
        <v>2216</v>
      </c>
      <c r="O105" s="2">
        <f t="shared" si="12"/>
        <v>8580</v>
      </c>
      <c r="P105" s="2">
        <f t="shared" si="13"/>
        <v>34320</v>
      </c>
      <c r="Q105" s="2">
        <f t="shared" si="14"/>
        <v>36795</v>
      </c>
      <c r="R105" s="2">
        <f t="shared" si="15"/>
        <v>7015</v>
      </c>
      <c r="S105" s="2">
        <f t="shared" si="16"/>
        <v>4828</v>
      </c>
      <c r="T105" s="2">
        <f t="shared" si="17"/>
        <v>3734</v>
      </c>
      <c r="U105" s="2">
        <f t="shared" si="18"/>
        <v>3078</v>
      </c>
      <c r="V105" s="2">
        <f t="shared" si="19"/>
        <v>2641</v>
      </c>
      <c r="W105" s="2">
        <f t="shared" si="20"/>
        <v>2094</v>
      </c>
      <c r="X105" s="2">
        <f t="shared" si="21"/>
        <v>10725</v>
      </c>
      <c r="Y105" s="2">
        <f t="shared" si="22"/>
        <v>32175</v>
      </c>
      <c r="Z105" s="2">
        <f t="shared" si="23"/>
        <v>34650</v>
      </c>
      <c r="AA105" s="2">
        <f t="shared" si="24"/>
        <v>6606</v>
      </c>
      <c r="AB105" s="2">
        <f t="shared" si="25"/>
        <v>4546</v>
      </c>
      <c r="AC105" s="2">
        <f t="shared" si="26"/>
        <v>3516</v>
      </c>
      <c r="AD105" s="2">
        <f t="shared" si="27"/>
        <v>2899</v>
      </c>
      <c r="AE105" s="2">
        <f t="shared" si="28"/>
        <v>2487</v>
      </c>
      <c r="AF105" s="2">
        <f t="shared" si="29"/>
        <v>1972</v>
      </c>
      <c r="AG105" s="2">
        <f t="shared" si="30"/>
        <v>15015</v>
      </c>
      <c r="AH105" s="2">
        <f t="shared" si="31"/>
        <v>27885</v>
      </c>
      <c r="AI105" s="2">
        <f t="shared" si="32"/>
        <v>30360</v>
      </c>
      <c r="AJ105" s="2">
        <f t="shared" si="33"/>
        <v>5788</v>
      </c>
      <c r="AK105" s="2">
        <f t="shared" si="34"/>
        <v>3984</v>
      </c>
      <c r="AL105" s="2">
        <f t="shared" si="35"/>
        <v>3081</v>
      </c>
      <c r="AM105" s="2">
        <f t="shared" si="36"/>
        <v>2540</v>
      </c>
      <c r="AN105" s="2">
        <f t="shared" si="37"/>
        <v>2179</v>
      </c>
      <c r="AO105" s="2">
        <f t="shared" si="38"/>
        <v>1728</v>
      </c>
      <c r="AP105" s="2">
        <f t="shared" si="39"/>
        <v>17160</v>
      </c>
      <c r="AQ105" s="2">
        <f t="shared" si="40"/>
        <v>25740</v>
      </c>
      <c r="AR105" s="2">
        <f t="shared" si="41"/>
        <v>28215</v>
      </c>
      <c r="AS105" s="2">
        <f t="shared" si="42"/>
        <v>5379</v>
      </c>
      <c r="AT105" s="2">
        <f t="shared" si="43"/>
        <v>3702</v>
      </c>
      <c r="AU105" s="2">
        <f t="shared" si="44"/>
        <v>2864</v>
      </c>
      <c r="AV105" s="2">
        <f t="shared" si="45"/>
        <v>2360</v>
      </c>
      <c r="AW105" s="2">
        <f t="shared" si="46"/>
        <v>2025</v>
      </c>
      <c r="AX105" s="2">
        <f t="shared" si="47"/>
        <v>1606</v>
      </c>
    </row>
    <row r="106" ht="14.25" customHeight="1">
      <c r="A106" s="2" t="str">
        <f t="array" ref="A106">IFERROR(INDEX('Product Price'!A:A,SMALL('Product Price'!$D:$D,104)),"")</f>
        <v>SAMSUNG Galaxy S26 12/256 GB</v>
      </c>
      <c r="B106" s="2">
        <f t="array" ref="B106">IFERROR(INDEX('Product Price'!B:B,SMALL('Product Price'!$D:$D,104)),"")</f>
        <v>33900</v>
      </c>
      <c r="C106" s="2">
        <f t="array" ref="C106">IFERROR(INDEX('Product Price'!C:C,SMALL('Product Price'!$D:$D,104)),"")</f>
        <v>94</v>
      </c>
      <c r="D106" s="2">
        <f t="shared" si="1"/>
        <v>1900</v>
      </c>
      <c r="E106" s="2">
        <f t="shared" si="2"/>
        <v>35800</v>
      </c>
      <c r="F106" s="2">
        <f t="shared" si="48"/>
        <v>5085</v>
      </c>
      <c r="G106" s="2">
        <f t="shared" si="4"/>
        <v>28815</v>
      </c>
      <c r="H106" s="2">
        <f t="shared" si="5"/>
        <v>30715</v>
      </c>
      <c r="I106" s="2">
        <f t="shared" si="6"/>
        <v>5856</v>
      </c>
      <c r="J106" s="2">
        <f t="shared" si="7"/>
        <v>4030</v>
      </c>
      <c r="K106" s="2">
        <f t="shared" si="8"/>
        <v>3117</v>
      </c>
      <c r="L106" s="2">
        <f t="shared" si="9"/>
        <v>2569</v>
      </c>
      <c r="M106" s="2">
        <f t="shared" si="10"/>
        <v>2204</v>
      </c>
      <c r="N106" s="2">
        <f t="shared" si="11"/>
        <v>1748</v>
      </c>
      <c r="O106" s="2">
        <f t="shared" si="12"/>
        <v>6780</v>
      </c>
      <c r="P106" s="2">
        <f t="shared" si="13"/>
        <v>27120</v>
      </c>
      <c r="Q106" s="2">
        <f t="shared" si="14"/>
        <v>29020</v>
      </c>
      <c r="R106" s="2">
        <f t="shared" si="15"/>
        <v>5533</v>
      </c>
      <c r="S106" s="2">
        <f t="shared" si="16"/>
        <v>3808</v>
      </c>
      <c r="T106" s="2">
        <f t="shared" si="17"/>
        <v>2945</v>
      </c>
      <c r="U106" s="2">
        <f t="shared" si="18"/>
        <v>2428</v>
      </c>
      <c r="V106" s="2">
        <f t="shared" si="19"/>
        <v>2083</v>
      </c>
      <c r="W106" s="2">
        <f t="shared" si="20"/>
        <v>1651</v>
      </c>
      <c r="X106" s="2">
        <f t="shared" si="21"/>
        <v>8475</v>
      </c>
      <c r="Y106" s="2">
        <f t="shared" si="22"/>
        <v>25425</v>
      </c>
      <c r="Z106" s="2">
        <f t="shared" si="23"/>
        <v>27325</v>
      </c>
      <c r="AA106" s="2">
        <f t="shared" si="24"/>
        <v>5210</v>
      </c>
      <c r="AB106" s="2">
        <f t="shared" si="25"/>
        <v>3585</v>
      </c>
      <c r="AC106" s="2">
        <f t="shared" si="26"/>
        <v>2773</v>
      </c>
      <c r="AD106" s="2">
        <f t="shared" si="27"/>
        <v>2286</v>
      </c>
      <c r="AE106" s="2">
        <f t="shared" si="28"/>
        <v>1961</v>
      </c>
      <c r="AF106" s="2">
        <f t="shared" si="29"/>
        <v>1555</v>
      </c>
      <c r="AG106" s="2">
        <f t="shared" si="30"/>
        <v>11865</v>
      </c>
      <c r="AH106" s="2">
        <f t="shared" si="31"/>
        <v>22035</v>
      </c>
      <c r="AI106" s="2">
        <f t="shared" si="32"/>
        <v>23935</v>
      </c>
      <c r="AJ106" s="2">
        <f t="shared" si="33"/>
        <v>4563</v>
      </c>
      <c r="AK106" s="2">
        <f t="shared" si="34"/>
        <v>3141</v>
      </c>
      <c r="AL106" s="2">
        <f t="shared" si="35"/>
        <v>2429</v>
      </c>
      <c r="AM106" s="2">
        <f t="shared" si="36"/>
        <v>2002</v>
      </c>
      <c r="AN106" s="2">
        <f t="shared" si="37"/>
        <v>1718</v>
      </c>
      <c r="AO106" s="2">
        <f t="shared" si="38"/>
        <v>1362</v>
      </c>
      <c r="AP106" s="2">
        <f t="shared" si="39"/>
        <v>13560</v>
      </c>
      <c r="AQ106" s="2">
        <f t="shared" si="40"/>
        <v>20340</v>
      </c>
      <c r="AR106" s="2">
        <f t="shared" si="41"/>
        <v>22240</v>
      </c>
      <c r="AS106" s="2">
        <f t="shared" si="42"/>
        <v>4240</v>
      </c>
      <c r="AT106" s="2">
        <f t="shared" si="43"/>
        <v>2918</v>
      </c>
      <c r="AU106" s="2">
        <f t="shared" si="44"/>
        <v>2257</v>
      </c>
      <c r="AV106" s="2">
        <f t="shared" si="45"/>
        <v>1861</v>
      </c>
      <c r="AW106" s="2">
        <f t="shared" si="46"/>
        <v>1596</v>
      </c>
      <c r="AX106" s="2">
        <f t="shared" si="47"/>
        <v>1266</v>
      </c>
    </row>
    <row r="107" ht="14.25" customHeight="1">
      <c r="A107" s="2" t="str">
        <f t="array" ref="A107">IFERROR(INDEX('Product Price'!A:A,SMALL('Product Price'!$D:$D,105)),"")</f>
        <v>SAMSUNG Galaxy S26 12/512 GB</v>
      </c>
      <c r="B107" s="2">
        <f t="array" ref="B107">IFERROR(INDEX('Product Price'!B:B,SMALL('Product Price'!$D:$D,105)),"")</f>
        <v>41900</v>
      </c>
      <c r="C107" s="2">
        <f t="array" ref="C107">IFERROR(INDEX('Product Price'!C:C,SMALL('Product Price'!$D:$D,105)),"")</f>
        <v>95</v>
      </c>
      <c r="D107" s="2">
        <f t="shared" si="1"/>
        <v>2475</v>
      </c>
      <c r="E107" s="2">
        <f t="shared" si="2"/>
        <v>44375</v>
      </c>
      <c r="F107" s="2">
        <f t="shared" si="48"/>
        <v>6285</v>
      </c>
      <c r="G107" s="2">
        <f t="shared" si="4"/>
        <v>35615</v>
      </c>
      <c r="H107" s="2">
        <f t="shared" si="5"/>
        <v>38090</v>
      </c>
      <c r="I107" s="2">
        <f t="shared" si="6"/>
        <v>7262</v>
      </c>
      <c r="J107" s="2">
        <f t="shared" si="7"/>
        <v>4998</v>
      </c>
      <c r="K107" s="2">
        <f t="shared" si="8"/>
        <v>3866</v>
      </c>
      <c r="L107" s="2">
        <f t="shared" si="9"/>
        <v>3186</v>
      </c>
      <c r="M107" s="2">
        <f t="shared" si="10"/>
        <v>2733</v>
      </c>
      <c r="N107" s="2">
        <f t="shared" si="11"/>
        <v>2167</v>
      </c>
      <c r="O107" s="2">
        <f t="shared" si="12"/>
        <v>8380</v>
      </c>
      <c r="P107" s="2">
        <f t="shared" si="13"/>
        <v>33520</v>
      </c>
      <c r="Q107" s="2">
        <f t="shared" si="14"/>
        <v>35995</v>
      </c>
      <c r="R107" s="2">
        <f t="shared" si="15"/>
        <v>6863</v>
      </c>
      <c r="S107" s="2">
        <f t="shared" si="16"/>
        <v>4723</v>
      </c>
      <c r="T107" s="2">
        <f t="shared" si="17"/>
        <v>3653</v>
      </c>
      <c r="U107" s="2">
        <f t="shared" si="18"/>
        <v>3011</v>
      </c>
      <c r="V107" s="2">
        <f t="shared" si="19"/>
        <v>2583</v>
      </c>
      <c r="W107" s="2">
        <f t="shared" si="20"/>
        <v>2048</v>
      </c>
      <c r="X107" s="2">
        <f t="shared" si="21"/>
        <v>10475</v>
      </c>
      <c r="Y107" s="2">
        <f t="shared" si="22"/>
        <v>31425</v>
      </c>
      <c r="Z107" s="2">
        <f t="shared" si="23"/>
        <v>33900</v>
      </c>
      <c r="AA107" s="2">
        <f t="shared" si="24"/>
        <v>6463</v>
      </c>
      <c r="AB107" s="2">
        <f t="shared" si="25"/>
        <v>4448</v>
      </c>
      <c r="AC107" s="2">
        <f t="shared" si="26"/>
        <v>3440</v>
      </c>
      <c r="AD107" s="2">
        <f t="shared" si="27"/>
        <v>2836</v>
      </c>
      <c r="AE107" s="2">
        <f t="shared" si="28"/>
        <v>2433</v>
      </c>
      <c r="AF107" s="2">
        <f t="shared" si="29"/>
        <v>1929</v>
      </c>
      <c r="AG107" s="2">
        <f t="shared" si="30"/>
        <v>14665</v>
      </c>
      <c r="AH107" s="2">
        <f t="shared" si="31"/>
        <v>27235</v>
      </c>
      <c r="AI107" s="2">
        <f t="shared" si="32"/>
        <v>29710</v>
      </c>
      <c r="AJ107" s="2">
        <f t="shared" si="33"/>
        <v>5664</v>
      </c>
      <c r="AK107" s="2">
        <f t="shared" si="34"/>
        <v>3898</v>
      </c>
      <c r="AL107" s="2">
        <f t="shared" si="35"/>
        <v>3015</v>
      </c>
      <c r="AM107" s="2">
        <f t="shared" si="36"/>
        <v>2485</v>
      </c>
      <c r="AN107" s="2">
        <f t="shared" si="37"/>
        <v>2132</v>
      </c>
      <c r="AO107" s="2">
        <f t="shared" si="38"/>
        <v>1691</v>
      </c>
      <c r="AP107" s="2">
        <f t="shared" si="39"/>
        <v>16760</v>
      </c>
      <c r="AQ107" s="2">
        <f t="shared" si="40"/>
        <v>25140</v>
      </c>
      <c r="AR107" s="2">
        <f t="shared" si="41"/>
        <v>27615</v>
      </c>
      <c r="AS107" s="2">
        <f t="shared" si="42"/>
        <v>5265</v>
      </c>
      <c r="AT107" s="2">
        <f t="shared" si="43"/>
        <v>3623</v>
      </c>
      <c r="AU107" s="2">
        <f t="shared" si="44"/>
        <v>2803</v>
      </c>
      <c r="AV107" s="2">
        <f t="shared" si="45"/>
        <v>2310</v>
      </c>
      <c r="AW107" s="2">
        <f t="shared" si="46"/>
        <v>1982</v>
      </c>
      <c r="AX107" s="2">
        <f t="shared" si="47"/>
        <v>1571</v>
      </c>
    </row>
    <row r="108" ht="14.25" customHeight="1">
      <c r="A108" s="2" t="str">
        <f t="array" ref="A108">IFERROR(INDEX('Product Price'!A:A,SMALL('Product Price'!$D:$D,106)),"")</f>
        <v>SAMSUNG Galaxy S26+ 12/256 GB</v>
      </c>
      <c r="B108" s="2">
        <f t="array" ref="B108">IFERROR(INDEX('Product Price'!B:B,SMALL('Product Price'!$D:$D,106)),"")</f>
        <v>40900</v>
      </c>
      <c r="C108" s="2">
        <f t="array" ref="C108">IFERROR(INDEX('Product Price'!C:C,SMALL('Product Price'!$D:$D,106)),"")</f>
        <v>96</v>
      </c>
      <c r="D108" s="2">
        <f t="shared" si="1"/>
        <v>2475</v>
      </c>
      <c r="E108" s="2">
        <f t="shared" si="2"/>
        <v>43375</v>
      </c>
      <c r="F108" s="2">
        <f t="shared" si="48"/>
        <v>6135</v>
      </c>
      <c r="G108" s="2">
        <f t="shared" si="4"/>
        <v>34765</v>
      </c>
      <c r="H108" s="2">
        <f t="shared" si="5"/>
        <v>37240</v>
      </c>
      <c r="I108" s="2">
        <f t="shared" si="6"/>
        <v>7100</v>
      </c>
      <c r="J108" s="2">
        <f t="shared" si="7"/>
        <v>4886</v>
      </c>
      <c r="K108" s="2">
        <f t="shared" si="8"/>
        <v>3779</v>
      </c>
      <c r="L108" s="2">
        <f t="shared" si="9"/>
        <v>3115</v>
      </c>
      <c r="M108" s="2">
        <f t="shared" si="10"/>
        <v>2672</v>
      </c>
      <c r="N108" s="2">
        <f t="shared" si="11"/>
        <v>2119</v>
      </c>
      <c r="O108" s="2">
        <f t="shared" si="12"/>
        <v>8180</v>
      </c>
      <c r="P108" s="2">
        <f t="shared" si="13"/>
        <v>32720</v>
      </c>
      <c r="Q108" s="2">
        <f t="shared" si="14"/>
        <v>35195</v>
      </c>
      <c r="R108" s="2">
        <f t="shared" si="15"/>
        <v>6710</v>
      </c>
      <c r="S108" s="2">
        <f t="shared" si="16"/>
        <v>4618</v>
      </c>
      <c r="T108" s="2">
        <f t="shared" si="17"/>
        <v>3572</v>
      </c>
      <c r="U108" s="2">
        <f t="shared" si="18"/>
        <v>2944</v>
      </c>
      <c r="V108" s="2">
        <f t="shared" si="19"/>
        <v>2526</v>
      </c>
      <c r="W108" s="2">
        <f t="shared" si="20"/>
        <v>2003</v>
      </c>
      <c r="X108" s="2">
        <f t="shared" si="21"/>
        <v>10225</v>
      </c>
      <c r="Y108" s="2">
        <f t="shared" si="22"/>
        <v>30675</v>
      </c>
      <c r="Z108" s="2">
        <f t="shared" si="23"/>
        <v>33150</v>
      </c>
      <c r="AA108" s="2">
        <f t="shared" si="24"/>
        <v>6320</v>
      </c>
      <c r="AB108" s="2">
        <f t="shared" si="25"/>
        <v>4350</v>
      </c>
      <c r="AC108" s="2">
        <f t="shared" si="26"/>
        <v>3364</v>
      </c>
      <c r="AD108" s="2">
        <f t="shared" si="27"/>
        <v>2773</v>
      </c>
      <c r="AE108" s="2">
        <f t="shared" si="28"/>
        <v>2379</v>
      </c>
      <c r="AF108" s="2">
        <f t="shared" si="29"/>
        <v>1886</v>
      </c>
      <c r="AG108" s="2">
        <f t="shared" si="30"/>
        <v>14315</v>
      </c>
      <c r="AH108" s="2">
        <f t="shared" si="31"/>
        <v>26585</v>
      </c>
      <c r="AI108" s="2">
        <f t="shared" si="32"/>
        <v>29060</v>
      </c>
      <c r="AJ108" s="2">
        <f t="shared" si="33"/>
        <v>5540</v>
      </c>
      <c r="AK108" s="2">
        <f t="shared" si="34"/>
        <v>3813</v>
      </c>
      <c r="AL108" s="2">
        <f t="shared" si="35"/>
        <v>2949</v>
      </c>
      <c r="AM108" s="2">
        <f t="shared" si="36"/>
        <v>2431</v>
      </c>
      <c r="AN108" s="2">
        <f t="shared" si="37"/>
        <v>2086</v>
      </c>
      <c r="AO108" s="2">
        <f t="shared" si="38"/>
        <v>1654</v>
      </c>
      <c r="AP108" s="2">
        <f t="shared" si="39"/>
        <v>16360</v>
      </c>
      <c r="AQ108" s="2">
        <f t="shared" si="40"/>
        <v>24540</v>
      </c>
      <c r="AR108" s="2">
        <f t="shared" si="41"/>
        <v>27015</v>
      </c>
      <c r="AS108" s="2">
        <f t="shared" si="42"/>
        <v>5151</v>
      </c>
      <c r="AT108" s="2">
        <f t="shared" si="43"/>
        <v>3545</v>
      </c>
      <c r="AU108" s="2">
        <f t="shared" si="44"/>
        <v>2742</v>
      </c>
      <c r="AV108" s="2">
        <f t="shared" si="45"/>
        <v>2260</v>
      </c>
      <c r="AW108" s="2">
        <f t="shared" si="46"/>
        <v>1939</v>
      </c>
      <c r="AX108" s="2">
        <f t="shared" si="47"/>
        <v>1537</v>
      </c>
    </row>
    <row r="109" ht="14.25" customHeight="1">
      <c r="A109" s="2" t="str">
        <f t="array" ref="A109">IFERROR(INDEX('Product Price'!A:A,SMALL('Product Price'!$D:$D,107)),"")</f>
        <v>SAMSUNG Galaxy S26+ 12/512 GB</v>
      </c>
      <c r="B109" s="2">
        <f t="array" ref="B109">IFERROR(INDEX('Product Price'!B:B,SMALL('Product Price'!$D:$D,107)),"")</f>
        <v>48900</v>
      </c>
      <c r="C109" s="2">
        <f t="array" ref="C109">IFERROR(INDEX('Product Price'!C:C,SMALL('Product Price'!$D:$D,107)),"")</f>
        <v>97</v>
      </c>
      <c r="D109" s="2">
        <f t="shared" si="1"/>
        <v>2475</v>
      </c>
      <c r="E109" s="2">
        <f t="shared" si="2"/>
        <v>51375</v>
      </c>
      <c r="F109" s="2">
        <f t="shared" si="48"/>
        <v>7335</v>
      </c>
      <c r="G109" s="2">
        <f t="shared" si="4"/>
        <v>41565</v>
      </c>
      <c r="H109" s="2">
        <f t="shared" si="5"/>
        <v>44040</v>
      </c>
      <c r="I109" s="2">
        <f t="shared" si="6"/>
        <v>8396</v>
      </c>
      <c r="J109" s="2">
        <f t="shared" si="7"/>
        <v>5778</v>
      </c>
      <c r="K109" s="2">
        <f t="shared" si="8"/>
        <v>4469</v>
      </c>
      <c r="L109" s="2">
        <f t="shared" si="9"/>
        <v>3684</v>
      </c>
      <c r="M109" s="2">
        <f t="shared" si="10"/>
        <v>3160</v>
      </c>
      <c r="N109" s="2">
        <f t="shared" si="11"/>
        <v>2506</v>
      </c>
      <c r="O109" s="2">
        <f t="shared" si="12"/>
        <v>9780</v>
      </c>
      <c r="P109" s="2">
        <f t="shared" si="13"/>
        <v>39120</v>
      </c>
      <c r="Q109" s="2">
        <f t="shared" si="14"/>
        <v>41595</v>
      </c>
      <c r="R109" s="2">
        <f t="shared" si="15"/>
        <v>7930</v>
      </c>
      <c r="S109" s="2">
        <f t="shared" si="16"/>
        <v>5458</v>
      </c>
      <c r="T109" s="2">
        <f t="shared" si="17"/>
        <v>4221</v>
      </c>
      <c r="U109" s="2">
        <f t="shared" si="18"/>
        <v>3479</v>
      </c>
      <c r="V109" s="2">
        <f t="shared" si="19"/>
        <v>2985</v>
      </c>
      <c r="W109" s="2">
        <f t="shared" si="20"/>
        <v>2367</v>
      </c>
      <c r="X109" s="2">
        <f t="shared" si="21"/>
        <v>12225</v>
      </c>
      <c r="Y109" s="2">
        <f t="shared" si="22"/>
        <v>36675</v>
      </c>
      <c r="Z109" s="2">
        <f t="shared" si="23"/>
        <v>39150</v>
      </c>
      <c r="AA109" s="2">
        <f t="shared" si="24"/>
        <v>7464</v>
      </c>
      <c r="AB109" s="2">
        <f t="shared" si="25"/>
        <v>5137</v>
      </c>
      <c r="AC109" s="2">
        <f t="shared" si="26"/>
        <v>3973</v>
      </c>
      <c r="AD109" s="2">
        <f t="shared" si="27"/>
        <v>3275</v>
      </c>
      <c r="AE109" s="2">
        <f t="shared" si="28"/>
        <v>2809</v>
      </c>
      <c r="AF109" s="2">
        <f t="shared" si="29"/>
        <v>2228</v>
      </c>
      <c r="AG109" s="2">
        <f t="shared" si="30"/>
        <v>17115</v>
      </c>
      <c r="AH109" s="2">
        <f t="shared" si="31"/>
        <v>31785</v>
      </c>
      <c r="AI109" s="2">
        <f t="shared" si="32"/>
        <v>34260</v>
      </c>
      <c r="AJ109" s="2">
        <f t="shared" si="33"/>
        <v>6532</v>
      </c>
      <c r="AK109" s="2">
        <f t="shared" si="34"/>
        <v>4495</v>
      </c>
      <c r="AL109" s="2">
        <f t="shared" si="35"/>
        <v>3477</v>
      </c>
      <c r="AM109" s="2">
        <f t="shared" si="36"/>
        <v>2866</v>
      </c>
      <c r="AN109" s="2">
        <f t="shared" si="37"/>
        <v>2459</v>
      </c>
      <c r="AO109" s="2">
        <f t="shared" si="38"/>
        <v>1949</v>
      </c>
      <c r="AP109" s="2">
        <f t="shared" si="39"/>
        <v>19560</v>
      </c>
      <c r="AQ109" s="2">
        <f t="shared" si="40"/>
        <v>29340</v>
      </c>
      <c r="AR109" s="2">
        <f t="shared" si="41"/>
        <v>31815</v>
      </c>
      <c r="AS109" s="2">
        <f t="shared" si="42"/>
        <v>6066</v>
      </c>
      <c r="AT109" s="2">
        <f t="shared" si="43"/>
        <v>4174</v>
      </c>
      <c r="AU109" s="2">
        <f t="shared" si="44"/>
        <v>3229</v>
      </c>
      <c r="AV109" s="2">
        <f t="shared" si="45"/>
        <v>2661</v>
      </c>
      <c r="AW109" s="2">
        <f t="shared" si="46"/>
        <v>2283</v>
      </c>
      <c r="AX109" s="2">
        <f t="shared" si="47"/>
        <v>1810</v>
      </c>
    </row>
    <row r="110" ht="14.25" customHeight="1">
      <c r="A110" s="2" t="str">
        <f t="array" ref="A110">IFERROR(INDEX('Product Price'!A:A,SMALL('Product Price'!$D:$D,108)),"")</f>
        <v>SAMSUNG Galaxy S26 Ultra 12/256 GB</v>
      </c>
      <c r="B110" s="2">
        <f t="array" ref="B110">IFERROR(INDEX('Product Price'!B:B,SMALL('Product Price'!$D:$D,108)),"")</f>
        <v>46900</v>
      </c>
      <c r="C110" s="2">
        <f t="array" ref="C110">IFERROR(INDEX('Product Price'!C:C,SMALL('Product Price'!$D:$D,108)),"")</f>
        <v>98</v>
      </c>
      <c r="D110" s="2">
        <f t="shared" si="1"/>
        <v>2475</v>
      </c>
      <c r="E110" s="2">
        <f t="shared" si="2"/>
        <v>49375</v>
      </c>
      <c r="F110" s="2">
        <f t="shared" si="48"/>
        <v>7035</v>
      </c>
      <c r="G110" s="2">
        <f t="shared" si="4"/>
        <v>39865</v>
      </c>
      <c r="H110" s="2">
        <f t="shared" si="5"/>
        <v>42340</v>
      </c>
      <c r="I110" s="2">
        <f t="shared" si="6"/>
        <v>8072</v>
      </c>
      <c r="J110" s="2">
        <f t="shared" si="7"/>
        <v>5555</v>
      </c>
      <c r="K110" s="2">
        <f t="shared" si="8"/>
        <v>4297</v>
      </c>
      <c r="L110" s="2">
        <f t="shared" si="9"/>
        <v>3542</v>
      </c>
      <c r="M110" s="2">
        <f t="shared" si="10"/>
        <v>3038</v>
      </c>
      <c r="N110" s="2">
        <f t="shared" si="11"/>
        <v>2409</v>
      </c>
      <c r="O110" s="2">
        <f t="shared" si="12"/>
        <v>9380</v>
      </c>
      <c r="P110" s="2">
        <f t="shared" si="13"/>
        <v>37520</v>
      </c>
      <c r="Q110" s="2">
        <f t="shared" si="14"/>
        <v>39995</v>
      </c>
      <c r="R110" s="2">
        <f t="shared" si="15"/>
        <v>7625</v>
      </c>
      <c r="S110" s="2">
        <f t="shared" si="16"/>
        <v>5248</v>
      </c>
      <c r="T110" s="2">
        <f t="shared" si="17"/>
        <v>4059</v>
      </c>
      <c r="U110" s="2">
        <f t="shared" si="18"/>
        <v>3346</v>
      </c>
      <c r="V110" s="2">
        <f t="shared" si="19"/>
        <v>2870</v>
      </c>
      <c r="W110" s="2">
        <f t="shared" si="20"/>
        <v>2276</v>
      </c>
      <c r="X110" s="2">
        <f t="shared" si="21"/>
        <v>11725</v>
      </c>
      <c r="Y110" s="2">
        <f t="shared" si="22"/>
        <v>35175</v>
      </c>
      <c r="Z110" s="2">
        <f t="shared" si="23"/>
        <v>37650</v>
      </c>
      <c r="AA110" s="2">
        <f t="shared" si="24"/>
        <v>7178</v>
      </c>
      <c r="AB110" s="2">
        <f t="shared" si="25"/>
        <v>4940</v>
      </c>
      <c r="AC110" s="2">
        <f t="shared" si="26"/>
        <v>3821</v>
      </c>
      <c r="AD110" s="2">
        <f t="shared" si="27"/>
        <v>3149</v>
      </c>
      <c r="AE110" s="2">
        <f t="shared" si="28"/>
        <v>2702</v>
      </c>
      <c r="AF110" s="2">
        <f t="shared" si="29"/>
        <v>2142</v>
      </c>
      <c r="AG110" s="2">
        <f t="shared" si="30"/>
        <v>16415</v>
      </c>
      <c r="AH110" s="2">
        <f t="shared" si="31"/>
        <v>30485</v>
      </c>
      <c r="AI110" s="2">
        <f t="shared" si="32"/>
        <v>32960</v>
      </c>
      <c r="AJ110" s="2">
        <f t="shared" si="33"/>
        <v>6284</v>
      </c>
      <c r="AK110" s="2">
        <f t="shared" si="34"/>
        <v>4325</v>
      </c>
      <c r="AL110" s="2">
        <f t="shared" si="35"/>
        <v>3345</v>
      </c>
      <c r="AM110" s="2">
        <f t="shared" si="36"/>
        <v>2757</v>
      </c>
      <c r="AN110" s="2">
        <f t="shared" si="37"/>
        <v>2365</v>
      </c>
      <c r="AO110" s="2">
        <f t="shared" si="38"/>
        <v>1876</v>
      </c>
      <c r="AP110" s="2">
        <f t="shared" si="39"/>
        <v>18760</v>
      </c>
      <c r="AQ110" s="2">
        <f t="shared" si="40"/>
        <v>28140</v>
      </c>
      <c r="AR110" s="2">
        <f t="shared" si="41"/>
        <v>30615</v>
      </c>
      <c r="AS110" s="2">
        <f t="shared" si="42"/>
        <v>5837</v>
      </c>
      <c r="AT110" s="2">
        <f t="shared" si="43"/>
        <v>4017</v>
      </c>
      <c r="AU110" s="2">
        <f t="shared" si="44"/>
        <v>3107</v>
      </c>
      <c r="AV110" s="2">
        <f t="shared" si="45"/>
        <v>2561</v>
      </c>
      <c r="AW110" s="2">
        <f t="shared" si="46"/>
        <v>2197</v>
      </c>
      <c r="AX110" s="2">
        <f t="shared" si="47"/>
        <v>1742</v>
      </c>
    </row>
    <row r="111" ht="14.25" customHeight="1">
      <c r="A111" s="2" t="str">
        <f t="array" ref="A111">IFERROR(INDEX('Product Price'!A:A,SMALL('Product Price'!$D:$D,109)),"")</f>
        <v>SAMSUNG Galaxy S26 Ultra 12/512 GB</v>
      </c>
      <c r="B111" s="2">
        <f t="array" ref="B111">IFERROR(INDEX('Product Price'!B:B,SMALL('Product Price'!$D:$D,109)),"")</f>
        <v>54900</v>
      </c>
      <c r="C111" s="2">
        <f t="array" ref="C111">IFERROR(INDEX('Product Price'!C:C,SMALL('Product Price'!$D:$D,109)),"")</f>
        <v>99</v>
      </c>
      <c r="D111" s="2">
        <f t="shared" si="1"/>
        <v>2475</v>
      </c>
      <c r="E111" s="2">
        <f t="shared" si="2"/>
        <v>57375</v>
      </c>
      <c r="F111" s="2">
        <f t="shared" si="48"/>
        <v>8235</v>
      </c>
      <c r="G111" s="2">
        <f t="shared" si="4"/>
        <v>46665</v>
      </c>
      <c r="H111" s="2">
        <f t="shared" si="5"/>
        <v>49140</v>
      </c>
      <c r="I111" s="2">
        <f t="shared" si="6"/>
        <v>9368</v>
      </c>
      <c r="J111" s="2">
        <f t="shared" si="7"/>
        <v>6447</v>
      </c>
      <c r="K111" s="2">
        <f t="shared" si="8"/>
        <v>4987</v>
      </c>
      <c r="L111" s="2">
        <f t="shared" si="9"/>
        <v>4110</v>
      </c>
      <c r="M111" s="2">
        <f t="shared" si="10"/>
        <v>3526</v>
      </c>
      <c r="N111" s="2">
        <f t="shared" si="11"/>
        <v>2796</v>
      </c>
      <c r="O111" s="2">
        <f t="shared" si="12"/>
        <v>10980</v>
      </c>
      <c r="P111" s="2">
        <f t="shared" si="13"/>
        <v>43920</v>
      </c>
      <c r="Q111" s="2">
        <f t="shared" si="14"/>
        <v>46395</v>
      </c>
      <c r="R111" s="2">
        <f t="shared" si="15"/>
        <v>8845</v>
      </c>
      <c r="S111" s="2">
        <f t="shared" si="16"/>
        <v>6087</v>
      </c>
      <c r="T111" s="2">
        <f t="shared" si="17"/>
        <v>4708</v>
      </c>
      <c r="U111" s="2">
        <f t="shared" si="18"/>
        <v>3881</v>
      </c>
      <c r="V111" s="2">
        <f t="shared" si="19"/>
        <v>3329</v>
      </c>
      <c r="W111" s="2">
        <f t="shared" si="20"/>
        <v>2640</v>
      </c>
      <c r="X111" s="2">
        <f t="shared" si="21"/>
        <v>13725</v>
      </c>
      <c r="Y111" s="2">
        <f t="shared" si="22"/>
        <v>41175</v>
      </c>
      <c r="Z111" s="2">
        <f t="shared" si="23"/>
        <v>43650</v>
      </c>
      <c r="AA111" s="2">
        <f t="shared" si="24"/>
        <v>8322</v>
      </c>
      <c r="AB111" s="2">
        <f t="shared" si="25"/>
        <v>5727</v>
      </c>
      <c r="AC111" s="2">
        <f t="shared" si="26"/>
        <v>4430</v>
      </c>
      <c r="AD111" s="2">
        <f t="shared" si="27"/>
        <v>3651</v>
      </c>
      <c r="AE111" s="2">
        <f t="shared" si="28"/>
        <v>3132</v>
      </c>
      <c r="AF111" s="2">
        <f t="shared" si="29"/>
        <v>2484</v>
      </c>
      <c r="AG111" s="2">
        <f t="shared" si="30"/>
        <v>19215</v>
      </c>
      <c r="AH111" s="2">
        <f t="shared" si="31"/>
        <v>35685</v>
      </c>
      <c r="AI111" s="2">
        <f t="shared" si="32"/>
        <v>38160</v>
      </c>
      <c r="AJ111" s="2">
        <f t="shared" si="33"/>
        <v>7275</v>
      </c>
      <c r="AK111" s="2">
        <f t="shared" si="34"/>
        <v>5007</v>
      </c>
      <c r="AL111" s="2">
        <f t="shared" si="35"/>
        <v>3873</v>
      </c>
      <c r="AM111" s="2">
        <f t="shared" si="36"/>
        <v>3192</v>
      </c>
      <c r="AN111" s="2">
        <f t="shared" si="37"/>
        <v>2738</v>
      </c>
      <c r="AO111" s="2">
        <f t="shared" si="38"/>
        <v>2171</v>
      </c>
      <c r="AP111" s="2">
        <f t="shared" si="39"/>
        <v>21960</v>
      </c>
      <c r="AQ111" s="2">
        <f t="shared" si="40"/>
        <v>32940</v>
      </c>
      <c r="AR111" s="2">
        <f t="shared" si="41"/>
        <v>35415</v>
      </c>
      <c r="AS111" s="2">
        <f t="shared" si="42"/>
        <v>6752</v>
      </c>
      <c r="AT111" s="2">
        <f t="shared" si="43"/>
        <v>4647</v>
      </c>
      <c r="AU111" s="2">
        <f t="shared" si="44"/>
        <v>3594</v>
      </c>
      <c r="AV111" s="2">
        <f t="shared" si="45"/>
        <v>2963</v>
      </c>
      <c r="AW111" s="2">
        <f t="shared" si="46"/>
        <v>2542</v>
      </c>
      <c r="AX111" s="2">
        <f t="shared" si="47"/>
        <v>2015</v>
      </c>
    </row>
    <row r="112" ht="14.25" customHeight="1">
      <c r="A112" s="2" t="str">
        <f t="array" ref="A112">IFERROR(INDEX('Product Price'!A:A,SMALL('Product Price'!$D:$D,110)),"")</f>
        <v>SAMSUNG Galaxy S26 Ultra 16/1TB</v>
      </c>
      <c r="B112" s="2">
        <f t="array" ref="B112">IFERROR(INDEX('Product Price'!B:B,SMALL('Product Price'!$D:$D,110)),"")</f>
        <v>66900</v>
      </c>
      <c r="C112" s="2">
        <f t="array" ref="C112">IFERROR(INDEX('Product Price'!C:C,SMALL('Product Price'!$D:$D,110)),"")</f>
        <v>100</v>
      </c>
      <c r="D112" s="2">
        <f t="shared" si="1"/>
        <v>4025</v>
      </c>
      <c r="E112" s="2">
        <f t="shared" si="2"/>
        <v>70925</v>
      </c>
      <c r="F112" s="2">
        <f t="shared" si="48"/>
        <v>10035</v>
      </c>
      <c r="G112" s="2">
        <f t="shared" si="4"/>
        <v>56865</v>
      </c>
      <c r="H112" s="2">
        <f t="shared" si="5"/>
        <v>60890</v>
      </c>
      <c r="I112" s="2">
        <f t="shared" si="6"/>
        <v>11608</v>
      </c>
      <c r="J112" s="2">
        <f t="shared" si="7"/>
        <v>7989</v>
      </c>
      <c r="K112" s="2">
        <f t="shared" si="8"/>
        <v>6179</v>
      </c>
      <c r="L112" s="2">
        <f t="shared" si="9"/>
        <v>5093</v>
      </c>
      <c r="M112" s="2">
        <f t="shared" si="10"/>
        <v>4369</v>
      </c>
      <c r="N112" s="2">
        <f t="shared" si="11"/>
        <v>3464</v>
      </c>
      <c r="O112" s="2">
        <f t="shared" si="12"/>
        <v>13380</v>
      </c>
      <c r="P112" s="2">
        <f t="shared" si="13"/>
        <v>53520</v>
      </c>
      <c r="Q112" s="2">
        <f t="shared" si="14"/>
        <v>57545</v>
      </c>
      <c r="R112" s="2">
        <f t="shared" si="15"/>
        <v>10971</v>
      </c>
      <c r="S112" s="2">
        <f t="shared" si="16"/>
        <v>7550</v>
      </c>
      <c r="T112" s="2">
        <f t="shared" si="17"/>
        <v>5840</v>
      </c>
      <c r="U112" s="2">
        <f t="shared" si="18"/>
        <v>4813</v>
      </c>
      <c r="V112" s="2">
        <f t="shared" si="19"/>
        <v>4129</v>
      </c>
      <c r="W112" s="2">
        <f t="shared" si="20"/>
        <v>3274</v>
      </c>
      <c r="X112" s="2">
        <f t="shared" si="21"/>
        <v>16725</v>
      </c>
      <c r="Y112" s="2">
        <f t="shared" si="22"/>
        <v>50175</v>
      </c>
      <c r="Z112" s="2">
        <f t="shared" si="23"/>
        <v>54200</v>
      </c>
      <c r="AA112" s="2">
        <f t="shared" si="24"/>
        <v>10333</v>
      </c>
      <c r="AB112" s="2">
        <f t="shared" si="25"/>
        <v>7111</v>
      </c>
      <c r="AC112" s="2">
        <f t="shared" si="26"/>
        <v>5500</v>
      </c>
      <c r="AD112" s="2">
        <f t="shared" si="27"/>
        <v>4534</v>
      </c>
      <c r="AE112" s="2">
        <f t="shared" si="28"/>
        <v>3889</v>
      </c>
      <c r="AF112" s="2">
        <f t="shared" si="29"/>
        <v>3084</v>
      </c>
      <c r="AG112" s="2">
        <f t="shared" si="30"/>
        <v>23415</v>
      </c>
      <c r="AH112" s="2">
        <f t="shared" si="31"/>
        <v>43485</v>
      </c>
      <c r="AI112" s="2">
        <f t="shared" si="32"/>
        <v>47510</v>
      </c>
      <c r="AJ112" s="2">
        <f t="shared" si="33"/>
        <v>9058</v>
      </c>
      <c r="AK112" s="2">
        <f t="shared" si="34"/>
        <v>6234</v>
      </c>
      <c r="AL112" s="2">
        <f t="shared" si="35"/>
        <v>4821</v>
      </c>
      <c r="AM112" s="2">
        <f t="shared" si="36"/>
        <v>3974</v>
      </c>
      <c r="AN112" s="2">
        <f t="shared" si="37"/>
        <v>3409</v>
      </c>
      <c r="AO112" s="2">
        <f t="shared" si="38"/>
        <v>2703</v>
      </c>
      <c r="AP112" s="2">
        <f t="shared" si="39"/>
        <v>26760</v>
      </c>
      <c r="AQ112" s="2">
        <f t="shared" si="40"/>
        <v>40140</v>
      </c>
      <c r="AR112" s="2">
        <f t="shared" si="41"/>
        <v>44165</v>
      </c>
      <c r="AS112" s="2">
        <f t="shared" si="42"/>
        <v>8420</v>
      </c>
      <c r="AT112" s="2">
        <f t="shared" si="43"/>
        <v>5795</v>
      </c>
      <c r="AU112" s="2">
        <f t="shared" si="44"/>
        <v>4482</v>
      </c>
      <c r="AV112" s="2">
        <f t="shared" si="45"/>
        <v>3694</v>
      </c>
      <c r="AW112" s="2">
        <f t="shared" si="46"/>
        <v>3169</v>
      </c>
      <c r="AX112" s="2">
        <f t="shared" si="47"/>
        <v>2513</v>
      </c>
    </row>
    <row r="113" ht="14.25" customHeight="1">
      <c r="A113" s="2" t="str">
        <f t="array" ref="A113">IFERROR(INDEX('Product Price'!A:A,SMALL('Product Price'!$D:$D,111)),"")</f>
        <v>SAMSUNG Galaxy S25 FE 8/128 GB</v>
      </c>
      <c r="B113" s="2">
        <f t="array" ref="B113">IFERROR(INDEX('Product Price'!B:B,SMALL('Product Price'!$D:$D,111)),"")</f>
        <v>22900</v>
      </c>
      <c r="C113" s="2">
        <f t="array" ref="C113">IFERROR(INDEX('Product Price'!C:C,SMALL('Product Price'!$D:$D,111)),"")</f>
        <v>101</v>
      </c>
      <c r="D113" s="2">
        <f t="shared" si="1"/>
        <v>1900</v>
      </c>
      <c r="E113" s="2">
        <f t="shared" si="2"/>
        <v>24800</v>
      </c>
      <c r="F113" s="2">
        <f t="shared" si="48"/>
        <v>3435</v>
      </c>
      <c r="G113" s="2">
        <f t="shared" si="4"/>
        <v>19465</v>
      </c>
      <c r="H113" s="2">
        <f t="shared" si="5"/>
        <v>21365</v>
      </c>
      <c r="I113" s="2">
        <f t="shared" si="6"/>
        <v>4073</v>
      </c>
      <c r="J113" s="2">
        <f t="shared" si="7"/>
        <v>2803</v>
      </c>
      <c r="K113" s="2">
        <f t="shared" si="8"/>
        <v>2168</v>
      </c>
      <c r="L113" s="2">
        <f t="shared" si="9"/>
        <v>1787</v>
      </c>
      <c r="M113" s="2">
        <f t="shared" si="10"/>
        <v>1533</v>
      </c>
      <c r="N113" s="2">
        <f t="shared" si="11"/>
        <v>1216</v>
      </c>
      <c r="O113" s="2">
        <f t="shared" si="12"/>
        <v>4580</v>
      </c>
      <c r="P113" s="2">
        <f t="shared" si="13"/>
        <v>18320</v>
      </c>
      <c r="Q113" s="2">
        <f t="shared" si="14"/>
        <v>20220</v>
      </c>
      <c r="R113" s="2">
        <f t="shared" si="15"/>
        <v>3855</v>
      </c>
      <c r="S113" s="2">
        <f t="shared" si="16"/>
        <v>2653</v>
      </c>
      <c r="T113" s="2">
        <f t="shared" si="17"/>
        <v>2052</v>
      </c>
      <c r="U113" s="2">
        <f t="shared" si="18"/>
        <v>1692</v>
      </c>
      <c r="V113" s="2">
        <f t="shared" si="19"/>
        <v>1451</v>
      </c>
      <c r="W113" s="2">
        <f t="shared" si="20"/>
        <v>1151</v>
      </c>
      <c r="X113" s="2">
        <f t="shared" si="21"/>
        <v>5725</v>
      </c>
      <c r="Y113" s="2">
        <f t="shared" si="22"/>
        <v>17175</v>
      </c>
      <c r="Z113" s="2">
        <f t="shared" si="23"/>
        <v>19075</v>
      </c>
      <c r="AA113" s="2">
        <f t="shared" si="24"/>
        <v>3637</v>
      </c>
      <c r="AB113" s="2">
        <f t="shared" si="25"/>
        <v>2503</v>
      </c>
      <c r="AC113" s="2">
        <f t="shared" si="26"/>
        <v>1936</v>
      </c>
      <c r="AD113" s="2">
        <f t="shared" si="27"/>
        <v>1596</v>
      </c>
      <c r="AE113" s="2">
        <f t="shared" si="28"/>
        <v>1369</v>
      </c>
      <c r="AF113" s="2">
        <f t="shared" si="29"/>
        <v>1086</v>
      </c>
      <c r="AG113" s="2">
        <f t="shared" si="30"/>
        <v>8015</v>
      </c>
      <c r="AH113" s="2">
        <f t="shared" si="31"/>
        <v>14885</v>
      </c>
      <c r="AI113" s="2">
        <f t="shared" si="32"/>
        <v>16785</v>
      </c>
      <c r="AJ113" s="2">
        <f t="shared" si="33"/>
        <v>3200</v>
      </c>
      <c r="AK113" s="2">
        <f t="shared" si="34"/>
        <v>2203</v>
      </c>
      <c r="AL113" s="2">
        <f t="shared" si="35"/>
        <v>1704</v>
      </c>
      <c r="AM113" s="2">
        <f t="shared" si="36"/>
        <v>1404</v>
      </c>
      <c r="AN113" s="2">
        <f t="shared" si="37"/>
        <v>1205</v>
      </c>
      <c r="AO113" s="2">
        <f t="shared" si="38"/>
        <v>955</v>
      </c>
      <c r="AP113" s="2">
        <f t="shared" si="39"/>
        <v>9160</v>
      </c>
      <c r="AQ113" s="2">
        <f t="shared" si="40"/>
        <v>13740</v>
      </c>
      <c r="AR113" s="2">
        <f t="shared" si="41"/>
        <v>15640</v>
      </c>
      <c r="AS113" s="2">
        <f t="shared" si="42"/>
        <v>2982</v>
      </c>
      <c r="AT113" s="2">
        <f t="shared" si="43"/>
        <v>2052</v>
      </c>
      <c r="AU113" s="2">
        <f t="shared" si="44"/>
        <v>1588</v>
      </c>
      <c r="AV113" s="2">
        <f t="shared" si="45"/>
        <v>1309</v>
      </c>
      <c r="AW113" s="2">
        <f t="shared" si="46"/>
        <v>1123</v>
      </c>
      <c r="AX113" s="2">
        <f t="shared" si="47"/>
        <v>890</v>
      </c>
    </row>
    <row r="114" ht="14.25" customHeight="1">
      <c r="A114" s="2" t="str">
        <f t="array" ref="A114">IFERROR(INDEX('Product Price'!A:A,SMALL('Product Price'!$D:$D,112)),"")</f>
        <v>SAMSUNG Galaxy S25 FE 8/256 GB</v>
      </c>
      <c r="B114" s="2">
        <f t="array" ref="B114">IFERROR(INDEX('Product Price'!B:B,SMALL('Product Price'!$D:$D,112)),"")</f>
        <v>26900</v>
      </c>
      <c r="C114" s="2">
        <f t="array" ref="C114">IFERROR(INDEX('Product Price'!C:C,SMALL('Product Price'!$D:$D,112)),"")</f>
        <v>102</v>
      </c>
      <c r="D114" s="2">
        <f t="shared" si="1"/>
        <v>1900</v>
      </c>
      <c r="E114" s="2">
        <f t="shared" si="2"/>
        <v>28800</v>
      </c>
      <c r="F114" s="2">
        <f t="shared" si="48"/>
        <v>4035</v>
      </c>
      <c r="G114" s="2">
        <f t="shared" si="4"/>
        <v>22865</v>
      </c>
      <c r="H114" s="2">
        <f t="shared" si="5"/>
        <v>24765</v>
      </c>
      <c r="I114" s="2">
        <f t="shared" si="6"/>
        <v>4722</v>
      </c>
      <c r="J114" s="2">
        <f t="shared" si="7"/>
        <v>3250</v>
      </c>
      <c r="K114" s="2">
        <f t="shared" si="8"/>
        <v>2513</v>
      </c>
      <c r="L114" s="2">
        <f t="shared" si="9"/>
        <v>2072</v>
      </c>
      <c r="M114" s="2">
        <f t="shared" si="10"/>
        <v>1777</v>
      </c>
      <c r="N114" s="2">
        <f t="shared" si="11"/>
        <v>1409</v>
      </c>
      <c r="O114" s="2">
        <f t="shared" si="12"/>
        <v>5380</v>
      </c>
      <c r="P114" s="2">
        <f t="shared" si="13"/>
        <v>21520</v>
      </c>
      <c r="Q114" s="2">
        <f t="shared" si="14"/>
        <v>23420</v>
      </c>
      <c r="R114" s="2">
        <f t="shared" si="15"/>
        <v>4465</v>
      </c>
      <c r="S114" s="2">
        <f t="shared" si="16"/>
        <v>3073</v>
      </c>
      <c r="T114" s="2">
        <f t="shared" si="17"/>
        <v>2377</v>
      </c>
      <c r="U114" s="2">
        <f t="shared" si="18"/>
        <v>1959</v>
      </c>
      <c r="V114" s="2">
        <f t="shared" si="19"/>
        <v>1681</v>
      </c>
      <c r="W114" s="2">
        <f t="shared" si="20"/>
        <v>1333</v>
      </c>
      <c r="X114" s="2">
        <f t="shared" si="21"/>
        <v>6725</v>
      </c>
      <c r="Y114" s="2">
        <f t="shared" si="22"/>
        <v>20175</v>
      </c>
      <c r="Z114" s="2">
        <f t="shared" si="23"/>
        <v>22075</v>
      </c>
      <c r="AA114" s="2">
        <f t="shared" si="24"/>
        <v>4209</v>
      </c>
      <c r="AB114" s="2">
        <f t="shared" si="25"/>
        <v>2897</v>
      </c>
      <c r="AC114" s="2">
        <f t="shared" si="26"/>
        <v>2240</v>
      </c>
      <c r="AD114" s="2">
        <f t="shared" si="27"/>
        <v>1847</v>
      </c>
      <c r="AE114" s="2">
        <f t="shared" si="28"/>
        <v>1584</v>
      </c>
      <c r="AF114" s="2">
        <f t="shared" si="29"/>
        <v>1256</v>
      </c>
      <c r="AG114" s="2">
        <f t="shared" si="30"/>
        <v>9415</v>
      </c>
      <c r="AH114" s="2">
        <f t="shared" si="31"/>
        <v>17485</v>
      </c>
      <c r="AI114" s="2">
        <f t="shared" si="32"/>
        <v>19385</v>
      </c>
      <c r="AJ114" s="2">
        <f t="shared" si="33"/>
        <v>3696</v>
      </c>
      <c r="AK114" s="2">
        <f t="shared" si="34"/>
        <v>2544</v>
      </c>
      <c r="AL114" s="2">
        <f t="shared" si="35"/>
        <v>1968</v>
      </c>
      <c r="AM114" s="2">
        <f t="shared" si="36"/>
        <v>1622</v>
      </c>
      <c r="AN114" s="2">
        <f t="shared" si="37"/>
        <v>1391</v>
      </c>
      <c r="AO114" s="2">
        <f t="shared" si="38"/>
        <v>1103</v>
      </c>
      <c r="AP114" s="2">
        <f t="shared" si="39"/>
        <v>10760</v>
      </c>
      <c r="AQ114" s="2">
        <f t="shared" si="40"/>
        <v>16140</v>
      </c>
      <c r="AR114" s="2">
        <f t="shared" si="41"/>
        <v>18040</v>
      </c>
      <c r="AS114" s="2">
        <f t="shared" si="42"/>
        <v>3440</v>
      </c>
      <c r="AT114" s="2">
        <f t="shared" si="43"/>
        <v>2367</v>
      </c>
      <c r="AU114" s="2">
        <f t="shared" si="44"/>
        <v>1831</v>
      </c>
      <c r="AV114" s="2">
        <f t="shared" si="45"/>
        <v>1509</v>
      </c>
      <c r="AW114" s="2">
        <f t="shared" si="46"/>
        <v>1295</v>
      </c>
      <c r="AX114" s="2">
        <f t="shared" si="47"/>
        <v>1027</v>
      </c>
    </row>
    <row r="115" ht="14.25" customHeight="1">
      <c r="A115" s="2" t="str">
        <f t="array" ref="A115">IFERROR(INDEX('Product Price'!A:A,SMALL('Product Price'!$D:$D,113)),"")</f>
        <v>SAMSUNG Galaxy Tab A11 LTE 8/128 GB</v>
      </c>
      <c r="B115" s="2">
        <f t="array" ref="B115">IFERROR(INDEX('Product Price'!B:B,SMALL('Product Price'!$D:$D,113)),"")</f>
        <v>6990</v>
      </c>
      <c r="C115" s="2">
        <f t="array" ref="C115">IFERROR(INDEX('Product Price'!C:C,SMALL('Product Price'!$D:$D,113)),"")</f>
        <v>103</v>
      </c>
      <c r="D115" s="2">
        <f t="shared" si="1"/>
        <v>795</v>
      </c>
      <c r="E115" s="2">
        <f t="shared" si="2"/>
        <v>7785</v>
      </c>
      <c r="F115" s="2">
        <f t="shared" si="48"/>
        <v>1049</v>
      </c>
      <c r="G115" s="2">
        <f t="shared" si="4"/>
        <v>5941</v>
      </c>
      <c r="H115" s="2">
        <f t="shared" si="5"/>
        <v>6736</v>
      </c>
      <c r="I115" s="2">
        <f t="shared" si="6"/>
        <v>1285</v>
      </c>
      <c r="J115" s="2">
        <f t="shared" si="7"/>
        <v>884</v>
      </c>
      <c r="K115" s="2">
        <f t="shared" si="8"/>
        <v>684</v>
      </c>
      <c r="L115" s="2">
        <f t="shared" si="9"/>
        <v>564</v>
      </c>
      <c r="M115" s="2">
        <f t="shared" si="10"/>
        <v>484</v>
      </c>
      <c r="N115" s="2" t="str">
        <f t="shared" si="11"/>
        <v>-</v>
      </c>
      <c r="O115" s="2">
        <f t="shared" si="12"/>
        <v>1398</v>
      </c>
      <c r="P115" s="2">
        <f t="shared" si="13"/>
        <v>5592</v>
      </c>
      <c r="Q115" s="2">
        <f t="shared" si="14"/>
        <v>6387</v>
      </c>
      <c r="R115" s="2">
        <f t="shared" si="15"/>
        <v>1218</v>
      </c>
      <c r="S115" s="2">
        <f t="shared" si="16"/>
        <v>838</v>
      </c>
      <c r="T115" s="2">
        <f t="shared" si="17"/>
        <v>649</v>
      </c>
      <c r="U115" s="2">
        <f t="shared" si="18"/>
        <v>535</v>
      </c>
      <c r="V115" s="2">
        <f t="shared" si="19"/>
        <v>459</v>
      </c>
      <c r="W115" s="2" t="str">
        <f t="shared" si="20"/>
        <v>-</v>
      </c>
      <c r="X115" s="2">
        <f t="shared" si="21"/>
        <v>1748</v>
      </c>
      <c r="Y115" s="2">
        <f t="shared" si="22"/>
        <v>5242</v>
      </c>
      <c r="Z115" s="2">
        <f t="shared" si="23"/>
        <v>6037</v>
      </c>
      <c r="AA115" s="2">
        <f t="shared" si="24"/>
        <v>1151</v>
      </c>
      <c r="AB115" s="2">
        <f t="shared" si="25"/>
        <v>793</v>
      </c>
      <c r="AC115" s="2">
        <f t="shared" si="26"/>
        <v>613</v>
      </c>
      <c r="AD115" s="2">
        <f t="shared" si="27"/>
        <v>505</v>
      </c>
      <c r="AE115" s="2">
        <f t="shared" si="28"/>
        <v>434</v>
      </c>
      <c r="AF115" s="2" t="str">
        <f t="shared" si="29"/>
        <v>-</v>
      </c>
      <c r="AG115" s="2">
        <f t="shared" si="30"/>
        <v>2447</v>
      </c>
      <c r="AH115" s="2">
        <f t="shared" si="31"/>
        <v>4543</v>
      </c>
      <c r="AI115" s="2">
        <f t="shared" si="32"/>
        <v>5338</v>
      </c>
      <c r="AJ115" s="2">
        <f t="shared" si="33"/>
        <v>1018</v>
      </c>
      <c r="AK115" s="2">
        <f t="shared" si="34"/>
        <v>701</v>
      </c>
      <c r="AL115" s="2">
        <f t="shared" si="35"/>
        <v>542</v>
      </c>
      <c r="AM115" s="2">
        <f t="shared" si="36"/>
        <v>447</v>
      </c>
      <c r="AN115" s="2" t="str">
        <f t="shared" si="37"/>
        <v>-</v>
      </c>
      <c r="AO115" s="2" t="str">
        <f t="shared" si="38"/>
        <v>-</v>
      </c>
      <c r="AP115" s="2">
        <f t="shared" si="39"/>
        <v>2796</v>
      </c>
      <c r="AQ115" s="2">
        <f t="shared" si="40"/>
        <v>4194</v>
      </c>
      <c r="AR115" s="2">
        <f t="shared" si="41"/>
        <v>4989</v>
      </c>
      <c r="AS115" s="2">
        <f t="shared" si="42"/>
        <v>952</v>
      </c>
      <c r="AT115" s="2">
        <f t="shared" si="43"/>
        <v>655</v>
      </c>
      <c r="AU115" s="2">
        <f t="shared" si="44"/>
        <v>507</v>
      </c>
      <c r="AV115" s="2">
        <f t="shared" si="45"/>
        <v>418</v>
      </c>
      <c r="AW115" s="2" t="str">
        <f t="shared" si="46"/>
        <v>-</v>
      </c>
      <c r="AX115" s="2" t="str">
        <f t="shared" si="47"/>
        <v>-</v>
      </c>
    </row>
    <row r="116" ht="14.25" customHeight="1">
      <c r="A116" s="2" t="str">
        <f t="array" ref="A116">IFERROR(INDEX('Product Price'!A:A,SMALL('Product Price'!$D:$D,114)),"")</f>
        <v>SAMSUNG Galaxy Tab A11+ 5G 6/128 GB</v>
      </c>
      <c r="B116" s="2">
        <f t="array" ref="B116">IFERROR(INDEX('Product Price'!B:B,SMALL('Product Price'!$D:$D,114)),"")</f>
        <v>9990</v>
      </c>
      <c r="C116" s="2">
        <f t="array" ref="C116">IFERROR(INDEX('Product Price'!C:C,SMALL('Product Price'!$D:$D,114)),"")</f>
        <v>104</v>
      </c>
      <c r="D116" s="2">
        <f t="shared" si="1"/>
        <v>795</v>
      </c>
      <c r="E116" s="2">
        <f t="shared" si="2"/>
        <v>10785</v>
      </c>
      <c r="F116" s="2">
        <f t="shared" si="48"/>
        <v>1499</v>
      </c>
      <c r="G116" s="2">
        <f t="shared" si="4"/>
        <v>8491</v>
      </c>
      <c r="H116" s="2">
        <f t="shared" si="5"/>
        <v>9286</v>
      </c>
      <c r="I116" s="2">
        <f t="shared" si="6"/>
        <v>1771</v>
      </c>
      <c r="J116" s="2">
        <f t="shared" si="7"/>
        <v>1219</v>
      </c>
      <c r="K116" s="2">
        <f t="shared" si="8"/>
        <v>943</v>
      </c>
      <c r="L116" s="2">
        <f t="shared" si="9"/>
        <v>777</v>
      </c>
      <c r="M116" s="2">
        <f t="shared" si="10"/>
        <v>667</v>
      </c>
      <c r="N116" s="2">
        <f t="shared" si="11"/>
        <v>529</v>
      </c>
      <c r="O116" s="2">
        <f t="shared" si="12"/>
        <v>1998</v>
      </c>
      <c r="P116" s="2">
        <f t="shared" si="13"/>
        <v>7992</v>
      </c>
      <c r="Q116" s="2">
        <f t="shared" si="14"/>
        <v>8787</v>
      </c>
      <c r="R116" s="2">
        <f t="shared" si="15"/>
        <v>1676</v>
      </c>
      <c r="S116" s="2">
        <f t="shared" si="16"/>
        <v>1153</v>
      </c>
      <c r="T116" s="2">
        <f t="shared" si="17"/>
        <v>892</v>
      </c>
      <c r="U116" s="2">
        <f t="shared" si="18"/>
        <v>735</v>
      </c>
      <c r="V116" s="2">
        <f t="shared" si="19"/>
        <v>631</v>
      </c>
      <c r="W116" s="2">
        <f t="shared" si="20"/>
        <v>500</v>
      </c>
      <c r="X116" s="2">
        <f t="shared" si="21"/>
        <v>2498</v>
      </c>
      <c r="Y116" s="2">
        <f t="shared" si="22"/>
        <v>7492</v>
      </c>
      <c r="Z116" s="2">
        <f t="shared" si="23"/>
        <v>8287</v>
      </c>
      <c r="AA116" s="2">
        <f t="shared" si="24"/>
        <v>1580</v>
      </c>
      <c r="AB116" s="2">
        <f t="shared" si="25"/>
        <v>1088</v>
      </c>
      <c r="AC116" s="2">
        <f t="shared" si="26"/>
        <v>841</v>
      </c>
      <c r="AD116" s="2">
        <f t="shared" si="27"/>
        <v>694</v>
      </c>
      <c r="AE116" s="2">
        <f t="shared" si="28"/>
        <v>595</v>
      </c>
      <c r="AF116" s="2">
        <f t="shared" si="29"/>
        <v>472</v>
      </c>
      <c r="AG116" s="2">
        <f t="shared" si="30"/>
        <v>3497</v>
      </c>
      <c r="AH116" s="2">
        <f t="shared" si="31"/>
        <v>6493</v>
      </c>
      <c r="AI116" s="2">
        <f t="shared" si="32"/>
        <v>7288</v>
      </c>
      <c r="AJ116" s="2">
        <f t="shared" si="33"/>
        <v>1390</v>
      </c>
      <c r="AK116" s="2">
        <f t="shared" si="34"/>
        <v>957</v>
      </c>
      <c r="AL116" s="2">
        <f t="shared" si="35"/>
        <v>740</v>
      </c>
      <c r="AM116" s="2">
        <f t="shared" si="36"/>
        <v>610</v>
      </c>
      <c r="AN116" s="2">
        <f t="shared" si="37"/>
        <v>523</v>
      </c>
      <c r="AO116" s="2">
        <f t="shared" si="38"/>
        <v>415</v>
      </c>
      <c r="AP116" s="2">
        <f t="shared" si="39"/>
        <v>3996</v>
      </c>
      <c r="AQ116" s="2">
        <f t="shared" si="40"/>
        <v>5994</v>
      </c>
      <c r="AR116" s="2">
        <f t="shared" si="41"/>
        <v>6789</v>
      </c>
      <c r="AS116" s="2">
        <f t="shared" si="42"/>
        <v>1295</v>
      </c>
      <c r="AT116" s="2">
        <f t="shared" si="43"/>
        <v>891</v>
      </c>
      <c r="AU116" s="2">
        <f t="shared" si="44"/>
        <v>689</v>
      </c>
      <c r="AV116" s="2">
        <f t="shared" si="45"/>
        <v>568</v>
      </c>
      <c r="AW116" s="2">
        <f t="shared" si="46"/>
        <v>488</v>
      </c>
      <c r="AX116" s="2" t="str">
        <f t="shared" si="47"/>
        <v>-</v>
      </c>
    </row>
    <row r="117" ht="14.25" customHeight="1">
      <c r="A117" s="2" t="str">
        <f t="array" ref="A117">IFERROR(INDEX('Product Price'!A:A,SMALL('Product Price'!$D:$D,115)),"")</f>
        <v>SAMSUNG Galaxy Tab A11+ Wifi 6/128 GB</v>
      </c>
      <c r="B117" s="2">
        <f t="array" ref="B117">IFERROR(INDEX('Product Price'!B:B,SMALL('Product Price'!$D:$D,115)),"")</f>
        <v>7990</v>
      </c>
      <c r="C117" s="2">
        <f t="array" ref="C117">IFERROR(INDEX('Product Price'!C:C,SMALL('Product Price'!$D:$D,115)),"")</f>
        <v>105</v>
      </c>
      <c r="D117" s="2">
        <f t="shared" si="1"/>
        <v>795</v>
      </c>
      <c r="E117" s="2">
        <f t="shared" si="2"/>
        <v>8785</v>
      </c>
      <c r="F117" s="2">
        <f t="shared" si="48"/>
        <v>1199</v>
      </c>
      <c r="G117" s="2">
        <f t="shared" si="4"/>
        <v>6791</v>
      </c>
      <c r="H117" s="2">
        <f t="shared" si="5"/>
        <v>7586</v>
      </c>
      <c r="I117" s="2">
        <f t="shared" si="6"/>
        <v>1447</v>
      </c>
      <c r="J117" s="2">
        <f t="shared" si="7"/>
        <v>996</v>
      </c>
      <c r="K117" s="2">
        <f t="shared" si="8"/>
        <v>770</v>
      </c>
      <c r="L117" s="2">
        <f t="shared" si="9"/>
        <v>635</v>
      </c>
      <c r="M117" s="2">
        <f t="shared" si="10"/>
        <v>545</v>
      </c>
      <c r="N117" s="2">
        <f t="shared" si="11"/>
        <v>432</v>
      </c>
      <c r="O117" s="2">
        <f t="shared" si="12"/>
        <v>1598</v>
      </c>
      <c r="P117" s="2">
        <f t="shared" si="13"/>
        <v>6392</v>
      </c>
      <c r="Q117" s="2">
        <f t="shared" si="14"/>
        <v>7187</v>
      </c>
      <c r="R117" s="2">
        <f t="shared" si="15"/>
        <v>1371</v>
      </c>
      <c r="S117" s="2">
        <f t="shared" si="16"/>
        <v>943</v>
      </c>
      <c r="T117" s="2">
        <f t="shared" si="17"/>
        <v>730</v>
      </c>
      <c r="U117" s="2">
        <f t="shared" si="18"/>
        <v>602</v>
      </c>
      <c r="V117" s="2">
        <f t="shared" si="19"/>
        <v>516</v>
      </c>
      <c r="W117" s="2">
        <f t="shared" si="20"/>
        <v>409</v>
      </c>
      <c r="X117" s="2">
        <f t="shared" si="21"/>
        <v>1998</v>
      </c>
      <c r="Y117" s="2">
        <f t="shared" si="22"/>
        <v>5992</v>
      </c>
      <c r="Z117" s="2">
        <f t="shared" si="23"/>
        <v>6787</v>
      </c>
      <c r="AA117" s="2">
        <f t="shared" si="24"/>
        <v>1294</v>
      </c>
      <c r="AB117" s="2">
        <f t="shared" si="25"/>
        <v>891</v>
      </c>
      <c r="AC117" s="2">
        <f t="shared" si="26"/>
        <v>689</v>
      </c>
      <c r="AD117" s="2">
        <f t="shared" si="27"/>
        <v>568</v>
      </c>
      <c r="AE117" s="2">
        <f t="shared" si="28"/>
        <v>487</v>
      </c>
      <c r="AF117" s="2" t="str">
        <f t="shared" si="29"/>
        <v>-</v>
      </c>
      <c r="AG117" s="2">
        <f t="shared" si="30"/>
        <v>2797</v>
      </c>
      <c r="AH117" s="2">
        <f t="shared" si="31"/>
        <v>5193</v>
      </c>
      <c r="AI117" s="2">
        <f t="shared" si="32"/>
        <v>5988</v>
      </c>
      <c r="AJ117" s="2">
        <f t="shared" si="33"/>
        <v>1142</v>
      </c>
      <c r="AK117" s="2">
        <f t="shared" si="34"/>
        <v>786</v>
      </c>
      <c r="AL117" s="2">
        <f t="shared" si="35"/>
        <v>608</v>
      </c>
      <c r="AM117" s="2">
        <f t="shared" si="36"/>
        <v>501</v>
      </c>
      <c r="AN117" s="2">
        <f t="shared" si="37"/>
        <v>430</v>
      </c>
      <c r="AO117" s="2" t="str">
        <f t="shared" si="38"/>
        <v>-</v>
      </c>
      <c r="AP117" s="2">
        <f t="shared" si="39"/>
        <v>3196</v>
      </c>
      <c r="AQ117" s="2">
        <f t="shared" si="40"/>
        <v>4794</v>
      </c>
      <c r="AR117" s="2">
        <f t="shared" si="41"/>
        <v>5589</v>
      </c>
      <c r="AS117" s="2">
        <f t="shared" si="42"/>
        <v>1066</v>
      </c>
      <c r="AT117" s="2">
        <f t="shared" si="43"/>
        <v>734</v>
      </c>
      <c r="AU117" s="2">
        <f t="shared" si="44"/>
        <v>568</v>
      </c>
      <c r="AV117" s="2">
        <f t="shared" si="45"/>
        <v>468</v>
      </c>
      <c r="AW117" s="2">
        <f t="shared" si="46"/>
        <v>402</v>
      </c>
      <c r="AX117" s="2" t="str">
        <f t="shared" si="47"/>
        <v>-</v>
      </c>
    </row>
    <row r="118" ht="14.25" customHeight="1">
      <c r="A118" s="2" t="str">
        <f t="array" ref="A118">IFERROR(INDEX('Product Price'!A:A,SMALL('Product Price'!$D:$D,116)),"")</f>
        <v>SAMSUNG Galaxy Tab S10 FE Wi-Fi 8/128 GB</v>
      </c>
      <c r="B118" s="2">
        <f t="array" ref="B118">IFERROR(INDEX('Product Price'!B:B,SMALL('Product Price'!$D:$D,116)),"")</f>
        <v>17900</v>
      </c>
      <c r="C118" s="2">
        <f t="array" ref="C118">IFERROR(INDEX('Product Price'!C:C,SMALL('Product Price'!$D:$D,116)),"")</f>
        <v>106</v>
      </c>
      <c r="D118" s="2">
        <f t="shared" si="1"/>
        <v>1450</v>
      </c>
      <c r="E118" s="2">
        <f t="shared" si="2"/>
        <v>19350</v>
      </c>
      <c r="F118" s="2">
        <f t="shared" si="48"/>
        <v>2685</v>
      </c>
      <c r="G118" s="2">
        <f t="shared" si="4"/>
        <v>15215</v>
      </c>
      <c r="H118" s="2">
        <f t="shared" si="5"/>
        <v>16665</v>
      </c>
      <c r="I118" s="2">
        <f t="shared" si="6"/>
        <v>3177</v>
      </c>
      <c r="J118" s="2">
        <f t="shared" si="7"/>
        <v>2187</v>
      </c>
      <c r="K118" s="2">
        <f t="shared" si="8"/>
        <v>1692</v>
      </c>
      <c r="L118" s="2">
        <f t="shared" si="9"/>
        <v>1394</v>
      </c>
      <c r="M118" s="2">
        <f t="shared" si="10"/>
        <v>1196</v>
      </c>
      <c r="N118" s="2">
        <f t="shared" si="11"/>
        <v>949</v>
      </c>
      <c r="O118" s="2">
        <f t="shared" si="12"/>
        <v>3580</v>
      </c>
      <c r="P118" s="2">
        <f t="shared" si="13"/>
        <v>14320</v>
      </c>
      <c r="Q118" s="2">
        <f t="shared" si="14"/>
        <v>15770</v>
      </c>
      <c r="R118" s="2">
        <f t="shared" si="15"/>
        <v>3007</v>
      </c>
      <c r="S118" s="2">
        <f t="shared" si="16"/>
        <v>2069</v>
      </c>
      <c r="T118" s="2">
        <f t="shared" si="17"/>
        <v>1601</v>
      </c>
      <c r="U118" s="2">
        <f t="shared" si="18"/>
        <v>1319</v>
      </c>
      <c r="V118" s="2">
        <f t="shared" si="19"/>
        <v>1132</v>
      </c>
      <c r="W118" s="2">
        <f t="shared" si="20"/>
        <v>898</v>
      </c>
      <c r="X118" s="2">
        <f t="shared" si="21"/>
        <v>4475</v>
      </c>
      <c r="Y118" s="2">
        <f t="shared" si="22"/>
        <v>13425</v>
      </c>
      <c r="Z118" s="2">
        <f t="shared" si="23"/>
        <v>14875</v>
      </c>
      <c r="AA118" s="2">
        <f t="shared" si="24"/>
        <v>2836</v>
      </c>
      <c r="AB118" s="2">
        <f t="shared" si="25"/>
        <v>1952</v>
      </c>
      <c r="AC118" s="2">
        <f t="shared" si="26"/>
        <v>1510</v>
      </c>
      <c r="AD118" s="2">
        <f t="shared" si="27"/>
        <v>1245</v>
      </c>
      <c r="AE118" s="2">
        <f t="shared" si="28"/>
        <v>1068</v>
      </c>
      <c r="AF118" s="2">
        <f t="shared" si="29"/>
        <v>847</v>
      </c>
      <c r="AG118" s="2">
        <f t="shared" si="30"/>
        <v>6265</v>
      </c>
      <c r="AH118" s="2">
        <f t="shared" si="31"/>
        <v>11635</v>
      </c>
      <c r="AI118" s="2">
        <f t="shared" si="32"/>
        <v>13085</v>
      </c>
      <c r="AJ118" s="2">
        <f t="shared" si="33"/>
        <v>2495</v>
      </c>
      <c r="AK118" s="2">
        <f t="shared" si="34"/>
        <v>1717</v>
      </c>
      <c r="AL118" s="2">
        <f t="shared" si="35"/>
        <v>1328</v>
      </c>
      <c r="AM118" s="2">
        <f t="shared" si="36"/>
        <v>1095</v>
      </c>
      <c r="AN118" s="2">
        <f t="shared" si="37"/>
        <v>939</v>
      </c>
      <c r="AO118" s="2">
        <f t="shared" si="38"/>
        <v>745</v>
      </c>
      <c r="AP118" s="2">
        <f t="shared" si="39"/>
        <v>7160</v>
      </c>
      <c r="AQ118" s="2">
        <f t="shared" si="40"/>
        <v>10740</v>
      </c>
      <c r="AR118" s="2">
        <f t="shared" si="41"/>
        <v>12190</v>
      </c>
      <c r="AS118" s="2">
        <f t="shared" si="42"/>
        <v>2324</v>
      </c>
      <c r="AT118" s="2">
        <f t="shared" si="43"/>
        <v>1600</v>
      </c>
      <c r="AU118" s="2">
        <f t="shared" si="44"/>
        <v>1237</v>
      </c>
      <c r="AV118" s="2">
        <f t="shared" si="45"/>
        <v>1020</v>
      </c>
      <c r="AW118" s="2">
        <f t="shared" si="46"/>
        <v>875</v>
      </c>
      <c r="AX118" s="2">
        <f t="shared" si="47"/>
        <v>694</v>
      </c>
    </row>
    <row r="119" ht="14.25" customHeight="1">
      <c r="A119" s="2" t="str">
        <f t="array" ref="A119">IFERROR(INDEX('Product Price'!A:A,SMALL('Product Price'!$D:$D,117)),"")</f>
        <v>SAMSUNG Galaxy Tab S10 FE 5G 8/128 GB</v>
      </c>
      <c r="B119" s="2">
        <f t="array" ref="B119">IFERROR(INDEX('Product Price'!B:B,SMALL('Product Price'!$D:$D,117)),"")</f>
        <v>20900</v>
      </c>
      <c r="C119" s="2">
        <f t="array" ref="C119">IFERROR(INDEX('Product Price'!C:C,SMALL('Product Price'!$D:$D,117)),"")</f>
        <v>107</v>
      </c>
      <c r="D119" s="2">
        <f t="shared" si="1"/>
        <v>1900</v>
      </c>
      <c r="E119" s="2">
        <f t="shared" si="2"/>
        <v>22800</v>
      </c>
      <c r="F119" s="2">
        <f t="shared" si="48"/>
        <v>3135</v>
      </c>
      <c r="G119" s="2">
        <f t="shared" si="4"/>
        <v>17765</v>
      </c>
      <c r="H119" s="2">
        <f t="shared" si="5"/>
        <v>19665</v>
      </c>
      <c r="I119" s="2">
        <f t="shared" si="6"/>
        <v>3749</v>
      </c>
      <c r="J119" s="2">
        <f t="shared" si="7"/>
        <v>2580</v>
      </c>
      <c r="K119" s="2">
        <f t="shared" si="8"/>
        <v>1996</v>
      </c>
      <c r="L119" s="2">
        <f t="shared" si="9"/>
        <v>1645</v>
      </c>
      <c r="M119" s="2">
        <f t="shared" si="10"/>
        <v>1411</v>
      </c>
      <c r="N119" s="2">
        <f t="shared" si="11"/>
        <v>1119</v>
      </c>
      <c r="O119" s="2">
        <f t="shared" si="12"/>
        <v>4180</v>
      </c>
      <c r="P119" s="2">
        <f t="shared" si="13"/>
        <v>16720</v>
      </c>
      <c r="Q119" s="2">
        <f t="shared" si="14"/>
        <v>18620</v>
      </c>
      <c r="R119" s="2">
        <f t="shared" si="15"/>
        <v>3550</v>
      </c>
      <c r="S119" s="2">
        <f t="shared" si="16"/>
        <v>2443</v>
      </c>
      <c r="T119" s="2">
        <f t="shared" si="17"/>
        <v>1890</v>
      </c>
      <c r="U119" s="2">
        <f t="shared" si="18"/>
        <v>1558</v>
      </c>
      <c r="V119" s="2">
        <f t="shared" si="19"/>
        <v>1336</v>
      </c>
      <c r="W119" s="2">
        <f t="shared" si="20"/>
        <v>1060</v>
      </c>
      <c r="X119" s="2">
        <f t="shared" si="21"/>
        <v>5225</v>
      </c>
      <c r="Y119" s="2">
        <f t="shared" si="22"/>
        <v>15675</v>
      </c>
      <c r="Z119" s="2">
        <f t="shared" si="23"/>
        <v>17575</v>
      </c>
      <c r="AA119" s="2">
        <f t="shared" si="24"/>
        <v>3351</v>
      </c>
      <c r="AB119" s="2">
        <f t="shared" si="25"/>
        <v>2306</v>
      </c>
      <c r="AC119" s="2">
        <f t="shared" si="26"/>
        <v>1784</v>
      </c>
      <c r="AD119" s="2">
        <f t="shared" si="27"/>
        <v>1470</v>
      </c>
      <c r="AE119" s="2">
        <f t="shared" si="28"/>
        <v>1261</v>
      </c>
      <c r="AF119" s="2">
        <f t="shared" si="29"/>
        <v>1000</v>
      </c>
      <c r="AG119" s="2">
        <f t="shared" si="30"/>
        <v>7315</v>
      </c>
      <c r="AH119" s="2">
        <f t="shared" si="31"/>
        <v>13585</v>
      </c>
      <c r="AI119" s="2">
        <f t="shared" si="32"/>
        <v>15485</v>
      </c>
      <c r="AJ119" s="2">
        <f t="shared" si="33"/>
        <v>2953</v>
      </c>
      <c r="AK119" s="2">
        <f t="shared" si="34"/>
        <v>2032</v>
      </c>
      <c r="AL119" s="2">
        <f t="shared" si="35"/>
        <v>1572</v>
      </c>
      <c r="AM119" s="2">
        <f t="shared" si="36"/>
        <v>1296</v>
      </c>
      <c r="AN119" s="2">
        <f t="shared" si="37"/>
        <v>1112</v>
      </c>
      <c r="AO119" s="2">
        <f t="shared" si="38"/>
        <v>881</v>
      </c>
      <c r="AP119" s="2">
        <f t="shared" si="39"/>
        <v>8360</v>
      </c>
      <c r="AQ119" s="2">
        <f t="shared" si="40"/>
        <v>12540</v>
      </c>
      <c r="AR119" s="2">
        <f t="shared" si="41"/>
        <v>14440</v>
      </c>
      <c r="AS119" s="2">
        <f t="shared" si="42"/>
        <v>2753</v>
      </c>
      <c r="AT119" s="2">
        <f t="shared" si="43"/>
        <v>1895</v>
      </c>
      <c r="AU119" s="2">
        <f t="shared" si="44"/>
        <v>1466</v>
      </c>
      <c r="AV119" s="2">
        <f t="shared" si="45"/>
        <v>1208</v>
      </c>
      <c r="AW119" s="2">
        <f t="shared" si="46"/>
        <v>1037</v>
      </c>
      <c r="AX119" s="2">
        <f t="shared" si="47"/>
        <v>822</v>
      </c>
    </row>
    <row r="120" ht="14.25" customHeight="1">
      <c r="A120" s="2" t="str">
        <f t="array" ref="A120">IFERROR(INDEX('Product Price'!A:A,SMALL('Product Price'!$D:$D,118)),"")</f>
        <v>SAMSUNG Galaxy Tab S10 FE+ Wi-Fi 12/256 GB</v>
      </c>
      <c r="B120" s="2">
        <f t="array" ref="B120">IFERROR(INDEX('Product Price'!B:B,SMALL('Product Price'!$D:$D,118)),"")</f>
        <v>26900</v>
      </c>
      <c r="C120" s="2">
        <f t="array" ref="C120">IFERROR(INDEX('Product Price'!C:C,SMALL('Product Price'!$D:$D,118)),"")</f>
        <v>108</v>
      </c>
      <c r="D120" s="2">
        <f t="shared" si="1"/>
        <v>1900</v>
      </c>
      <c r="E120" s="2">
        <f t="shared" si="2"/>
        <v>28800</v>
      </c>
      <c r="F120" s="2">
        <f t="shared" si="48"/>
        <v>4035</v>
      </c>
      <c r="G120" s="2">
        <f t="shared" si="4"/>
        <v>22865</v>
      </c>
      <c r="H120" s="2">
        <f t="shared" si="5"/>
        <v>24765</v>
      </c>
      <c r="I120" s="2">
        <f t="shared" si="6"/>
        <v>4722</v>
      </c>
      <c r="J120" s="2">
        <f t="shared" si="7"/>
        <v>3250</v>
      </c>
      <c r="K120" s="2">
        <f t="shared" si="8"/>
        <v>2513</v>
      </c>
      <c r="L120" s="2">
        <f t="shared" si="9"/>
        <v>2072</v>
      </c>
      <c r="M120" s="2">
        <f t="shared" si="10"/>
        <v>1777</v>
      </c>
      <c r="N120" s="2">
        <f t="shared" si="11"/>
        <v>1409</v>
      </c>
      <c r="O120" s="2">
        <f t="shared" si="12"/>
        <v>5380</v>
      </c>
      <c r="P120" s="2">
        <f t="shared" si="13"/>
        <v>21520</v>
      </c>
      <c r="Q120" s="2">
        <f t="shared" si="14"/>
        <v>23420</v>
      </c>
      <c r="R120" s="2">
        <f t="shared" si="15"/>
        <v>4465</v>
      </c>
      <c r="S120" s="2">
        <f t="shared" si="16"/>
        <v>3073</v>
      </c>
      <c r="T120" s="2">
        <f t="shared" si="17"/>
        <v>2377</v>
      </c>
      <c r="U120" s="2">
        <f t="shared" si="18"/>
        <v>1959</v>
      </c>
      <c r="V120" s="2">
        <f t="shared" si="19"/>
        <v>1681</v>
      </c>
      <c r="W120" s="2">
        <f t="shared" si="20"/>
        <v>1333</v>
      </c>
      <c r="X120" s="2">
        <f t="shared" si="21"/>
        <v>6725</v>
      </c>
      <c r="Y120" s="2">
        <f t="shared" si="22"/>
        <v>20175</v>
      </c>
      <c r="Z120" s="2">
        <f t="shared" si="23"/>
        <v>22075</v>
      </c>
      <c r="AA120" s="2">
        <f t="shared" si="24"/>
        <v>4209</v>
      </c>
      <c r="AB120" s="2">
        <f t="shared" si="25"/>
        <v>2897</v>
      </c>
      <c r="AC120" s="2">
        <f t="shared" si="26"/>
        <v>2240</v>
      </c>
      <c r="AD120" s="2">
        <f t="shared" si="27"/>
        <v>1847</v>
      </c>
      <c r="AE120" s="2">
        <f t="shared" si="28"/>
        <v>1584</v>
      </c>
      <c r="AF120" s="2">
        <f t="shared" si="29"/>
        <v>1256</v>
      </c>
      <c r="AG120" s="2">
        <f t="shared" si="30"/>
        <v>9415</v>
      </c>
      <c r="AH120" s="2">
        <f t="shared" si="31"/>
        <v>17485</v>
      </c>
      <c r="AI120" s="2">
        <f t="shared" si="32"/>
        <v>19385</v>
      </c>
      <c r="AJ120" s="2">
        <f t="shared" si="33"/>
        <v>3696</v>
      </c>
      <c r="AK120" s="2">
        <f t="shared" si="34"/>
        <v>2544</v>
      </c>
      <c r="AL120" s="2">
        <f t="shared" si="35"/>
        <v>1968</v>
      </c>
      <c r="AM120" s="2">
        <f t="shared" si="36"/>
        <v>1622</v>
      </c>
      <c r="AN120" s="2">
        <f t="shared" si="37"/>
        <v>1391</v>
      </c>
      <c r="AO120" s="2">
        <f t="shared" si="38"/>
        <v>1103</v>
      </c>
      <c r="AP120" s="2">
        <f t="shared" si="39"/>
        <v>10760</v>
      </c>
      <c r="AQ120" s="2">
        <f t="shared" si="40"/>
        <v>16140</v>
      </c>
      <c r="AR120" s="2">
        <f t="shared" si="41"/>
        <v>18040</v>
      </c>
      <c r="AS120" s="2">
        <f t="shared" si="42"/>
        <v>3440</v>
      </c>
      <c r="AT120" s="2">
        <f t="shared" si="43"/>
        <v>2367</v>
      </c>
      <c r="AU120" s="2">
        <f t="shared" si="44"/>
        <v>1831</v>
      </c>
      <c r="AV120" s="2">
        <f t="shared" si="45"/>
        <v>1509</v>
      </c>
      <c r="AW120" s="2">
        <f t="shared" si="46"/>
        <v>1295</v>
      </c>
      <c r="AX120" s="2">
        <f t="shared" si="47"/>
        <v>1027</v>
      </c>
    </row>
    <row r="121" ht="14.25" customHeight="1">
      <c r="A121" s="2" t="str">
        <f t="array" ref="A121">IFERROR(INDEX('Product Price'!A:A,SMALL('Product Price'!$D:$D,119)),"")</f>
        <v>SAMSUNG Galaxy Tab S10 FE+ 5G 12/256 GB</v>
      </c>
      <c r="B121" s="2">
        <f t="array" ref="B121">IFERROR(INDEX('Product Price'!B:B,SMALL('Product Price'!$D:$D,119)),"")</f>
        <v>29900</v>
      </c>
      <c r="C121" s="2">
        <f t="array" ref="C121">IFERROR(INDEX('Product Price'!C:C,SMALL('Product Price'!$D:$D,119)),"")</f>
        <v>109</v>
      </c>
      <c r="D121" s="2">
        <f t="shared" si="1"/>
        <v>1900</v>
      </c>
      <c r="E121" s="2">
        <f t="shared" si="2"/>
        <v>31800</v>
      </c>
      <c r="F121" s="2">
        <f t="shared" si="48"/>
        <v>4485</v>
      </c>
      <c r="G121" s="2">
        <f t="shared" si="4"/>
        <v>25415</v>
      </c>
      <c r="H121" s="2">
        <f t="shared" si="5"/>
        <v>27315</v>
      </c>
      <c r="I121" s="2">
        <f t="shared" si="6"/>
        <v>5208</v>
      </c>
      <c r="J121" s="2">
        <f t="shared" si="7"/>
        <v>3584</v>
      </c>
      <c r="K121" s="2">
        <f t="shared" si="8"/>
        <v>2772</v>
      </c>
      <c r="L121" s="2">
        <f t="shared" si="9"/>
        <v>2285</v>
      </c>
      <c r="M121" s="2">
        <f t="shared" si="10"/>
        <v>1960</v>
      </c>
      <c r="N121" s="2">
        <f t="shared" si="11"/>
        <v>1554</v>
      </c>
      <c r="O121" s="2">
        <f t="shared" si="12"/>
        <v>5980</v>
      </c>
      <c r="P121" s="2">
        <f t="shared" si="13"/>
        <v>23920</v>
      </c>
      <c r="Q121" s="2">
        <f t="shared" si="14"/>
        <v>25820</v>
      </c>
      <c r="R121" s="2">
        <f t="shared" si="15"/>
        <v>4923</v>
      </c>
      <c r="S121" s="2">
        <f t="shared" si="16"/>
        <v>3388</v>
      </c>
      <c r="T121" s="2">
        <f t="shared" si="17"/>
        <v>2620</v>
      </c>
      <c r="U121" s="2">
        <f t="shared" si="18"/>
        <v>2160</v>
      </c>
      <c r="V121" s="2">
        <f t="shared" si="19"/>
        <v>1853</v>
      </c>
      <c r="W121" s="2">
        <f t="shared" si="20"/>
        <v>1469</v>
      </c>
      <c r="X121" s="2">
        <f t="shared" si="21"/>
        <v>7475</v>
      </c>
      <c r="Y121" s="2">
        <f t="shared" si="22"/>
        <v>22425</v>
      </c>
      <c r="Z121" s="2">
        <f t="shared" si="23"/>
        <v>24325</v>
      </c>
      <c r="AA121" s="2">
        <f t="shared" si="24"/>
        <v>4638</v>
      </c>
      <c r="AB121" s="2">
        <f t="shared" si="25"/>
        <v>3192</v>
      </c>
      <c r="AC121" s="2">
        <f t="shared" si="26"/>
        <v>2469</v>
      </c>
      <c r="AD121" s="2">
        <f t="shared" si="27"/>
        <v>2035</v>
      </c>
      <c r="AE121" s="2">
        <f t="shared" si="28"/>
        <v>1746</v>
      </c>
      <c r="AF121" s="2">
        <f t="shared" si="29"/>
        <v>1384</v>
      </c>
      <c r="AG121" s="2">
        <f t="shared" si="30"/>
        <v>10465</v>
      </c>
      <c r="AH121" s="2">
        <f t="shared" si="31"/>
        <v>19435</v>
      </c>
      <c r="AI121" s="2">
        <f t="shared" si="32"/>
        <v>21335</v>
      </c>
      <c r="AJ121" s="2">
        <f t="shared" si="33"/>
        <v>4068</v>
      </c>
      <c r="AK121" s="2">
        <f t="shared" si="34"/>
        <v>2800</v>
      </c>
      <c r="AL121" s="2">
        <f t="shared" si="35"/>
        <v>2165</v>
      </c>
      <c r="AM121" s="2">
        <f t="shared" si="36"/>
        <v>1785</v>
      </c>
      <c r="AN121" s="2">
        <f t="shared" si="37"/>
        <v>1531</v>
      </c>
      <c r="AO121" s="2">
        <f t="shared" si="38"/>
        <v>1214</v>
      </c>
      <c r="AP121" s="2">
        <f t="shared" si="39"/>
        <v>11960</v>
      </c>
      <c r="AQ121" s="2">
        <f t="shared" si="40"/>
        <v>17940</v>
      </c>
      <c r="AR121" s="2">
        <f t="shared" si="41"/>
        <v>19840</v>
      </c>
      <c r="AS121" s="2">
        <f t="shared" si="42"/>
        <v>3783</v>
      </c>
      <c r="AT121" s="2">
        <f t="shared" si="43"/>
        <v>2603</v>
      </c>
      <c r="AU121" s="2">
        <f t="shared" si="44"/>
        <v>2014</v>
      </c>
      <c r="AV121" s="2">
        <f t="shared" si="45"/>
        <v>1660</v>
      </c>
      <c r="AW121" s="2">
        <f t="shared" si="46"/>
        <v>1424</v>
      </c>
      <c r="AX121" s="2">
        <f t="shared" si="47"/>
        <v>1129</v>
      </c>
    </row>
    <row r="122" ht="14.25" customHeight="1">
      <c r="A122" s="2" t="str">
        <f t="array" ref="A122">IFERROR(INDEX('Product Price'!A:A,SMALL('Product Price'!$D:$D,120)),"")</f>
        <v>SAMSUNG Tab S10 Lite 5G</v>
      </c>
      <c r="B122" s="2">
        <f t="array" ref="B122">IFERROR(INDEX('Product Price'!B:B,SMALL('Product Price'!$D:$D,120)),"")</f>
        <v>15990</v>
      </c>
      <c r="C122" s="2">
        <f t="array" ref="C122">IFERROR(INDEX('Product Price'!C:C,SMALL('Product Price'!$D:$D,120)),"")</f>
        <v>110</v>
      </c>
      <c r="D122" s="2">
        <f t="shared" si="1"/>
        <v>1450</v>
      </c>
      <c r="E122" s="2">
        <f t="shared" si="2"/>
        <v>17440</v>
      </c>
      <c r="F122" s="2">
        <f t="shared" si="48"/>
        <v>2399</v>
      </c>
      <c r="G122" s="2">
        <f t="shared" si="4"/>
        <v>13591</v>
      </c>
      <c r="H122" s="2">
        <f t="shared" si="5"/>
        <v>15041</v>
      </c>
      <c r="I122" s="2">
        <f t="shared" si="6"/>
        <v>2868</v>
      </c>
      <c r="J122" s="2">
        <f t="shared" si="7"/>
        <v>1974</v>
      </c>
      <c r="K122" s="2">
        <f t="shared" si="8"/>
        <v>1527</v>
      </c>
      <c r="L122" s="2">
        <f t="shared" si="9"/>
        <v>1259</v>
      </c>
      <c r="M122" s="2">
        <f t="shared" si="10"/>
        <v>1080</v>
      </c>
      <c r="N122" s="2">
        <f t="shared" si="11"/>
        <v>856</v>
      </c>
      <c r="O122" s="2">
        <f t="shared" si="12"/>
        <v>3198</v>
      </c>
      <c r="P122" s="2">
        <f t="shared" si="13"/>
        <v>12792</v>
      </c>
      <c r="Q122" s="2">
        <f t="shared" si="14"/>
        <v>14242</v>
      </c>
      <c r="R122" s="2">
        <f t="shared" si="15"/>
        <v>2716</v>
      </c>
      <c r="S122" s="2">
        <f t="shared" si="16"/>
        <v>1869</v>
      </c>
      <c r="T122" s="2">
        <f t="shared" si="17"/>
        <v>1446</v>
      </c>
      <c r="U122" s="2">
        <f t="shared" si="18"/>
        <v>1192</v>
      </c>
      <c r="V122" s="2">
        <f t="shared" si="19"/>
        <v>1022</v>
      </c>
      <c r="W122" s="2">
        <f t="shared" si="20"/>
        <v>811</v>
      </c>
      <c r="X122" s="2">
        <f t="shared" si="21"/>
        <v>3998</v>
      </c>
      <c r="Y122" s="2">
        <f t="shared" si="22"/>
        <v>11992</v>
      </c>
      <c r="Z122" s="2">
        <f t="shared" si="23"/>
        <v>13442</v>
      </c>
      <c r="AA122" s="2">
        <f t="shared" si="24"/>
        <v>2563</v>
      </c>
      <c r="AB122" s="2">
        <f t="shared" si="25"/>
        <v>1764</v>
      </c>
      <c r="AC122" s="2">
        <f t="shared" si="26"/>
        <v>1364</v>
      </c>
      <c r="AD122" s="2">
        <f t="shared" si="27"/>
        <v>1125</v>
      </c>
      <c r="AE122" s="2">
        <f t="shared" si="28"/>
        <v>965</v>
      </c>
      <c r="AF122" s="2">
        <f t="shared" si="29"/>
        <v>765</v>
      </c>
      <c r="AG122" s="2">
        <f t="shared" si="30"/>
        <v>5597</v>
      </c>
      <c r="AH122" s="2">
        <f t="shared" si="31"/>
        <v>10393</v>
      </c>
      <c r="AI122" s="2">
        <f t="shared" si="32"/>
        <v>11843</v>
      </c>
      <c r="AJ122" s="2">
        <f t="shared" si="33"/>
        <v>2258</v>
      </c>
      <c r="AK122" s="2">
        <f t="shared" si="34"/>
        <v>1554</v>
      </c>
      <c r="AL122" s="2">
        <f t="shared" si="35"/>
        <v>1202</v>
      </c>
      <c r="AM122" s="2">
        <f t="shared" si="36"/>
        <v>991</v>
      </c>
      <c r="AN122" s="2">
        <f t="shared" si="37"/>
        <v>850</v>
      </c>
      <c r="AO122" s="2">
        <f t="shared" si="38"/>
        <v>674</v>
      </c>
      <c r="AP122" s="2">
        <f t="shared" si="39"/>
        <v>6396</v>
      </c>
      <c r="AQ122" s="2">
        <f t="shared" si="40"/>
        <v>9594</v>
      </c>
      <c r="AR122" s="2">
        <f t="shared" si="41"/>
        <v>11044</v>
      </c>
      <c r="AS122" s="2">
        <f t="shared" si="42"/>
        <v>2106</v>
      </c>
      <c r="AT122" s="2">
        <f t="shared" si="43"/>
        <v>1449</v>
      </c>
      <c r="AU122" s="2">
        <f t="shared" si="44"/>
        <v>1121</v>
      </c>
      <c r="AV122" s="2">
        <f t="shared" si="45"/>
        <v>924</v>
      </c>
      <c r="AW122" s="2">
        <f t="shared" si="46"/>
        <v>793</v>
      </c>
      <c r="AX122" s="2">
        <f t="shared" si="47"/>
        <v>629</v>
      </c>
    </row>
    <row r="123" ht="14.25" customHeight="1">
      <c r="A123" s="2" t="str">
        <f t="array" ref="A123">IFERROR(INDEX('Product Price'!A:A,SMALL('Product Price'!$D:$D,121)),"")</f>
        <v>SAMSUNG Tab S10 Lite Wi-Fi</v>
      </c>
      <c r="B123" s="2">
        <f t="array" ref="B123">IFERROR(INDEX('Product Price'!B:B,SMALL('Product Price'!$D:$D,121)),"")</f>
        <v>11990</v>
      </c>
      <c r="C123" s="2">
        <f t="array" ref="C123">IFERROR(INDEX('Product Price'!C:C,SMALL('Product Price'!$D:$D,121)),"")</f>
        <v>111</v>
      </c>
      <c r="D123" s="2">
        <f t="shared" si="1"/>
        <v>1450</v>
      </c>
      <c r="E123" s="2">
        <f t="shared" si="2"/>
        <v>13440</v>
      </c>
      <c r="F123" s="2">
        <f t="shared" si="48"/>
        <v>1799</v>
      </c>
      <c r="G123" s="2">
        <f t="shared" si="4"/>
        <v>10191</v>
      </c>
      <c r="H123" s="2">
        <f t="shared" si="5"/>
        <v>11641</v>
      </c>
      <c r="I123" s="2">
        <f t="shared" si="6"/>
        <v>2220</v>
      </c>
      <c r="J123" s="2">
        <f t="shared" si="7"/>
        <v>1528</v>
      </c>
      <c r="K123" s="2">
        <f t="shared" si="8"/>
        <v>1182</v>
      </c>
      <c r="L123" s="2">
        <f t="shared" si="9"/>
        <v>974</v>
      </c>
      <c r="M123" s="2">
        <f t="shared" si="10"/>
        <v>836</v>
      </c>
      <c r="N123" s="2">
        <f t="shared" si="11"/>
        <v>663</v>
      </c>
      <c r="O123" s="2">
        <f t="shared" si="12"/>
        <v>2398</v>
      </c>
      <c r="P123" s="2">
        <f t="shared" si="13"/>
        <v>9592</v>
      </c>
      <c r="Q123" s="2">
        <f t="shared" si="14"/>
        <v>11042</v>
      </c>
      <c r="R123" s="2">
        <f t="shared" si="15"/>
        <v>2106</v>
      </c>
      <c r="S123" s="2">
        <f t="shared" si="16"/>
        <v>1449</v>
      </c>
      <c r="T123" s="2">
        <f t="shared" si="17"/>
        <v>1121</v>
      </c>
      <c r="U123" s="2">
        <f t="shared" si="18"/>
        <v>924</v>
      </c>
      <c r="V123" s="2">
        <f t="shared" si="19"/>
        <v>793</v>
      </c>
      <c r="W123" s="2">
        <f t="shared" si="20"/>
        <v>629</v>
      </c>
      <c r="X123" s="2">
        <f t="shared" si="21"/>
        <v>2998</v>
      </c>
      <c r="Y123" s="2">
        <f t="shared" si="22"/>
        <v>8992</v>
      </c>
      <c r="Z123" s="2">
        <f t="shared" si="23"/>
        <v>10442</v>
      </c>
      <c r="AA123" s="2">
        <f t="shared" si="24"/>
        <v>1991</v>
      </c>
      <c r="AB123" s="2">
        <f t="shared" si="25"/>
        <v>1370</v>
      </c>
      <c r="AC123" s="2">
        <f t="shared" si="26"/>
        <v>1060</v>
      </c>
      <c r="AD123" s="2">
        <f t="shared" si="27"/>
        <v>874</v>
      </c>
      <c r="AE123" s="2">
        <f t="shared" si="28"/>
        <v>750</v>
      </c>
      <c r="AF123" s="2">
        <f t="shared" si="29"/>
        <v>595</v>
      </c>
      <c r="AG123" s="2">
        <f t="shared" si="30"/>
        <v>4197</v>
      </c>
      <c r="AH123" s="2">
        <f t="shared" si="31"/>
        <v>7793</v>
      </c>
      <c r="AI123" s="2">
        <f t="shared" si="32"/>
        <v>9243</v>
      </c>
      <c r="AJ123" s="2">
        <f t="shared" si="33"/>
        <v>1763</v>
      </c>
      <c r="AK123" s="2">
        <f t="shared" si="34"/>
        <v>1213</v>
      </c>
      <c r="AL123" s="2">
        <f t="shared" si="35"/>
        <v>938</v>
      </c>
      <c r="AM123" s="2">
        <f t="shared" si="36"/>
        <v>774</v>
      </c>
      <c r="AN123" s="2">
        <f t="shared" si="37"/>
        <v>664</v>
      </c>
      <c r="AO123" s="2">
        <f t="shared" si="38"/>
        <v>526</v>
      </c>
      <c r="AP123" s="2">
        <f t="shared" si="39"/>
        <v>4796</v>
      </c>
      <c r="AQ123" s="2">
        <f t="shared" si="40"/>
        <v>7194</v>
      </c>
      <c r="AR123" s="2">
        <f t="shared" si="41"/>
        <v>8644</v>
      </c>
      <c r="AS123" s="2">
        <f t="shared" si="42"/>
        <v>1648</v>
      </c>
      <c r="AT123" s="2">
        <f t="shared" si="43"/>
        <v>1135</v>
      </c>
      <c r="AU123" s="2">
        <f t="shared" si="44"/>
        <v>878</v>
      </c>
      <c r="AV123" s="2">
        <f t="shared" si="45"/>
        <v>723</v>
      </c>
      <c r="AW123" s="2">
        <f t="shared" si="46"/>
        <v>621</v>
      </c>
      <c r="AX123" s="2">
        <f t="shared" si="47"/>
        <v>492</v>
      </c>
    </row>
    <row r="124" ht="14.25" customHeight="1">
      <c r="A124" s="2" t="str">
        <f t="array" ref="A124">IFERROR(INDEX('Product Price'!A:A,SMALL('Product Price'!$D:$D,122)),"")</f>
        <v>SAMSUNG Galaxy Tab S10+Wi-Fi 12/256 GB</v>
      </c>
      <c r="B124" s="2">
        <f t="array" ref="B124">IFERROR(INDEX('Product Price'!B:B,SMALL('Product Price'!$D:$D,122)),"")</f>
        <v>36900</v>
      </c>
      <c r="C124" s="2">
        <f t="array" ref="C124">IFERROR(INDEX('Product Price'!C:C,SMALL('Product Price'!$D:$D,122)),"")</f>
        <v>112</v>
      </c>
      <c r="D124" s="2">
        <f t="shared" si="1"/>
        <v>1900</v>
      </c>
      <c r="E124" s="2">
        <f t="shared" si="2"/>
        <v>38800</v>
      </c>
      <c r="F124" s="2">
        <f t="shared" si="48"/>
        <v>5535</v>
      </c>
      <c r="G124" s="2">
        <f t="shared" si="4"/>
        <v>31365</v>
      </c>
      <c r="H124" s="2">
        <f t="shared" si="5"/>
        <v>33265</v>
      </c>
      <c r="I124" s="2">
        <f t="shared" si="6"/>
        <v>6342</v>
      </c>
      <c r="J124" s="2">
        <f t="shared" si="7"/>
        <v>4365</v>
      </c>
      <c r="K124" s="2">
        <f t="shared" si="8"/>
        <v>3376</v>
      </c>
      <c r="L124" s="2">
        <f t="shared" si="9"/>
        <v>2783</v>
      </c>
      <c r="M124" s="2">
        <f t="shared" si="10"/>
        <v>2387</v>
      </c>
      <c r="N124" s="2">
        <f t="shared" si="11"/>
        <v>1893</v>
      </c>
      <c r="O124" s="2">
        <f t="shared" si="12"/>
        <v>7380</v>
      </c>
      <c r="P124" s="2">
        <f t="shared" si="13"/>
        <v>29520</v>
      </c>
      <c r="Q124" s="2">
        <f t="shared" si="14"/>
        <v>31420</v>
      </c>
      <c r="R124" s="2">
        <f t="shared" si="15"/>
        <v>5990</v>
      </c>
      <c r="S124" s="2">
        <f t="shared" si="16"/>
        <v>4123</v>
      </c>
      <c r="T124" s="2">
        <f t="shared" si="17"/>
        <v>3189</v>
      </c>
      <c r="U124" s="2">
        <f t="shared" si="18"/>
        <v>2628</v>
      </c>
      <c r="V124" s="2">
        <f t="shared" si="19"/>
        <v>2255</v>
      </c>
      <c r="W124" s="2">
        <f t="shared" si="20"/>
        <v>1788</v>
      </c>
      <c r="X124" s="2">
        <f t="shared" si="21"/>
        <v>9225</v>
      </c>
      <c r="Y124" s="2">
        <f t="shared" si="22"/>
        <v>27675</v>
      </c>
      <c r="Z124" s="2">
        <f t="shared" si="23"/>
        <v>29575</v>
      </c>
      <c r="AA124" s="2">
        <f t="shared" si="24"/>
        <v>5639</v>
      </c>
      <c r="AB124" s="2">
        <f t="shared" si="25"/>
        <v>3881</v>
      </c>
      <c r="AC124" s="2">
        <f t="shared" si="26"/>
        <v>3002</v>
      </c>
      <c r="AD124" s="2">
        <f t="shared" si="27"/>
        <v>2474</v>
      </c>
      <c r="AE124" s="2">
        <f t="shared" si="28"/>
        <v>2122</v>
      </c>
      <c r="AF124" s="2">
        <f t="shared" si="29"/>
        <v>1683</v>
      </c>
      <c r="AG124" s="2">
        <f t="shared" si="30"/>
        <v>12915</v>
      </c>
      <c r="AH124" s="2">
        <f t="shared" si="31"/>
        <v>23985</v>
      </c>
      <c r="AI124" s="2">
        <f t="shared" si="32"/>
        <v>25885</v>
      </c>
      <c r="AJ124" s="2">
        <f t="shared" si="33"/>
        <v>4935</v>
      </c>
      <c r="AK124" s="2">
        <f t="shared" si="34"/>
        <v>3396</v>
      </c>
      <c r="AL124" s="2">
        <f t="shared" si="35"/>
        <v>2627</v>
      </c>
      <c r="AM124" s="2">
        <f t="shared" si="36"/>
        <v>2165</v>
      </c>
      <c r="AN124" s="2">
        <f t="shared" si="37"/>
        <v>1858</v>
      </c>
      <c r="AO124" s="2">
        <f t="shared" si="38"/>
        <v>1473</v>
      </c>
      <c r="AP124" s="2">
        <f t="shared" si="39"/>
        <v>14760</v>
      </c>
      <c r="AQ124" s="2">
        <f t="shared" si="40"/>
        <v>22140</v>
      </c>
      <c r="AR124" s="2">
        <f t="shared" si="41"/>
        <v>24040</v>
      </c>
      <c r="AS124" s="2">
        <f t="shared" si="42"/>
        <v>4583</v>
      </c>
      <c r="AT124" s="2">
        <f t="shared" si="43"/>
        <v>3154</v>
      </c>
      <c r="AU124" s="2">
        <f t="shared" si="44"/>
        <v>2440</v>
      </c>
      <c r="AV124" s="2">
        <f t="shared" si="45"/>
        <v>2011</v>
      </c>
      <c r="AW124" s="2">
        <f t="shared" si="46"/>
        <v>1725</v>
      </c>
      <c r="AX124" s="2">
        <f t="shared" si="47"/>
        <v>1368</v>
      </c>
    </row>
    <row r="125" ht="14.25" customHeight="1">
      <c r="A125" s="2" t="str">
        <f t="array" ref="A125">IFERROR(INDEX('Product Price'!A:A,SMALL('Product Price'!$D:$D,123)),"")</f>
        <v>SAMSUNG Galaxy Tab S10+ 5G 12/256 GB</v>
      </c>
      <c r="B125" s="2">
        <f t="array" ref="B125">IFERROR(INDEX('Product Price'!B:B,SMALL('Product Price'!$D:$D,123)),"")</f>
        <v>41900</v>
      </c>
      <c r="C125" s="2">
        <f t="array" ref="C125">IFERROR(INDEX('Product Price'!C:C,SMALL('Product Price'!$D:$D,123)),"")</f>
        <v>113</v>
      </c>
      <c r="D125" s="2">
        <f t="shared" si="1"/>
        <v>2475</v>
      </c>
      <c r="E125" s="2">
        <f t="shared" si="2"/>
        <v>44375</v>
      </c>
      <c r="F125" s="2">
        <f t="shared" si="48"/>
        <v>6285</v>
      </c>
      <c r="G125" s="2">
        <f t="shared" si="4"/>
        <v>35615</v>
      </c>
      <c r="H125" s="2">
        <f t="shared" si="5"/>
        <v>38090</v>
      </c>
      <c r="I125" s="2">
        <f t="shared" si="6"/>
        <v>7262</v>
      </c>
      <c r="J125" s="2">
        <f t="shared" si="7"/>
        <v>4998</v>
      </c>
      <c r="K125" s="2">
        <f t="shared" si="8"/>
        <v>3866</v>
      </c>
      <c r="L125" s="2">
        <f t="shared" si="9"/>
        <v>3186</v>
      </c>
      <c r="M125" s="2">
        <f t="shared" si="10"/>
        <v>2733</v>
      </c>
      <c r="N125" s="2">
        <f t="shared" si="11"/>
        <v>2167</v>
      </c>
      <c r="O125" s="2">
        <f t="shared" si="12"/>
        <v>8380</v>
      </c>
      <c r="P125" s="2">
        <f t="shared" si="13"/>
        <v>33520</v>
      </c>
      <c r="Q125" s="2">
        <f t="shared" si="14"/>
        <v>35995</v>
      </c>
      <c r="R125" s="2">
        <f t="shared" si="15"/>
        <v>6863</v>
      </c>
      <c r="S125" s="2">
        <f t="shared" si="16"/>
        <v>4723</v>
      </c>
      <c r="T125" s="2">
        <f t="shared" si="17"/>
        <v>3653</v>
      </c>
      <c r="U125" s="2">
        <f t="shared" si="18"/>
        <v>3011</v>
      </c>
      <c r="V125" s="2">
        <f t="shared" si="19"/>
        <v>2583</v>
      </c>
      <c r="W125" s="2">
        <f t="shared" si="20"/>
        <v>2048</v>
      </c>
      <c r="X125" s="2">
        <f t="shared" si="21"/>
        <v>10475</v>
      </c>
      <c r="Y125" s="2">
        <f t="shared" si="22"/>
        <v>31425</v>
      </c>
      <c r="Z125" s="2">
        <f t="shared" si="23"/>
        <v>33900</v>
      </c>
      <c r="AA125" s="2">
        <f t="shared" si="24"/>
        <v>6463</v>
      </c>
      <c r="AB125" s="2">
        <f t="shared" si="25"/>
        <v>4448</v>
      </c>
      <c r="AC125" s="2">
        <f t="shared" si="26"/>
        <v>3440</v>
      </c>
      <c r="AD125" s="2">
        <f t="shared" si="27"/>
        <v>2836</v>
      </c>
      <c r="AE125" s="2">
        <f t="shared" si="28"/>
        <v>2433</v>
      </c>
      <c r="AF125" s="2">
        <f t="shared" si="29"/>
        <v>1929</v>
      </c>
      <c r="AG125" s="2">
        <f t="shared" si="30"/>
        <v>14665</v>
      </c>
      <c r="AH125" s="2">
        <f t="shared" si="31"/>
        <v>27235</v>
      </c>
      <c r="AI125" s="2">
        <f t="shared" si="32"/>
        <v>29710</v>
      </c>
      <c r="AJ125" s="2">
        <f t="shared" si="33"/>
        <v>5664</v>
      </c>
      <c r="AK125" s="2">
        <f t="shared" si="34"/>
        <v>3898</v>
      </c>
      <c r="AL125" s="2">
        <f t="shared" si="35"/>
        <v>3015</v>
      </c>
      <c r="AM125" s="2">
        <f t="shared" si="36"/>
        <v>2485</v>
      </c>
      <c r="AN125" s="2">
        <f t="shared" si="37"/>
        <v>2132</v>
      </c>
      <c r="AO125" s="2">
        <f t="shared" si="38"/>
        <v>1691</v>
      </c>
      <c r="AP125" s="2">
        <f t="shared" si="39"/>
        <v>16760</v>
      </c>
      <c r="AQ125" s="2">
        <f t="shared" si="40"/>
        <v>25140</v>
      </c>
      <c r="AR125" s="2">
        <f t="shared" si="41"/>
        <v>27615</v>
      </c>
      <c r="AS125" s="2">
        <f t="shared" si="42"/>
        <v>5265</v>
      </c>
      <c r="AT125" s="2">
        <f t="shared" si="43"/>
        <v>3623</v>
      </c>
      <c r="AU125" s="2">
        <f t="shared" si="44"/>
        <v>2803</v>
      </c>
      <c r="AV125" s="2">
        <f t="shared" si="45"/>
        <v>2310</v>
      </c>
      <c r="AW125" s="2">
        <f t="shared" si="46"/>
        <v>1982</v>
      </c>
      <c r="AX125" s="2">
        <f t="shared" si="47"/>
        <v>1571</v>
      </c>
    </row>
    <row r="126" ht="14.25" customHeight="1">
      <c r="A126" s="2" t="str">
        <f t="array" ref="A126">IFERROR(INDEX('Product Price'!A:A,SMALL('Product Price'!$D:$D,124)),"")</f>
        <v>SAMSUNG Galaxy Tab S11 5G 8/128 GB</v>
      </c>
      <c r="B126" s="2">
        <f t="array" ref="B126">IFERROR(INDEX('Product Price'!B:B,SMALL('Product Price'!$D:$D,124)),"")</f>
        <v>31900</v>
      </c>
      <c r="C126" s="2">
        <f t="array" ref="C126">IFERROR(INDEX('Product Price'!C:C,SMALL('Product Price'!$D:$D,124)),"")</f>
        <v>114</v>
      </c>
      <c r="D126" s="2">
        <f t="shared" si="1"/>
        <v>1900</v>
      </c>
      <c r="E126" s="2">
        <f t="shared" si="2"/>
        <v>33800</v>
      </c>
      <c r="F126" s="2">
        <f t="shared" si="48"/>
        <v>4785</v>
      </c>
      <c r="G126" s="2">
        <f t="shared" si="4"/>
        <v>27115</v>
      </c>
      <c r="H126" s="2">
        <f t="shared" si="5"/>
        <v>29015</v>
      </c>
      <c r="I126" s="2">
        <f t="shared" si="6"/>
        <v>5532</v>
      </c>
      <c r="J126" s="2">
        <f t="shared" si="7"/>
        <v>3807</v>
      </c>
      <c r="K126" s="2">
        <f t="shared" si="8"/>
        <v>2945</v>
      </c>
      <c r="L126" s="2">
        <f t="shared" si="9"/>
        <v>2427</v>
      </c>
      <c r="M126" s="2">
        <f t="shared" si="10"/>
        <v>2082</v>
      </c>
      <c r="N126" s="2">
        <f t="shared" si="11"/>
        <v>1651</v>
      </c>
      <c r="O126" s="2">
        <f t="shared" si="12"/>
        <v>6380</v>
      </c>
      <c r="P126" s="2">
        <f t="shared" si="13"/>
        <v>25520</v>
      </c>
      <c r="Q126" s="2">
        <f t="shared" si="14"/>
        <v>27420</v>
      </c>
      <c r="R126" s="2">
        <f t="shared" si="15"/>
        <v>5228</v>
      </c>
      <c r="S126" s="2">
        <f t="shared" si="16"/>
        <v>3598</v>
      </c>
      <c r="T126" s="2">
        <f t="shared" si="17"/>
        <v>2783</v>
      </c>
      <c r="U126" s="2">
        <f t="shared" si="18"/>
        <v>2294</v>
      </c>
      <c r="V126" s="2">
        <f t="shared" si="19"/>
        <v>1968</v>
      </c>
      <c r="W126" s="2">
        <f t="shared" si="20"/>
        <v>1560</v>
      </c>
      <c r="X126" s="2">
        <f t="shared" si="21"/>
        <v>7975</v>
      </c>
      <c r="Y126" s="2">
        <f t="shared" si="22"/>
        <v>23925</v>
      </c>
      <c r="Z126" s="2">
        <f t="shared" si="23"/>
        <v>25825</v>
      </c>
      <c r="AA126" s="2">
        <f t="shared" si="24"/>
        <v>4924</v>
      </c>
      <c r="AB126" s="2">
        <f t="shared" si="25"/>
        <v>3389</v>
      </c>
      <c r="AC126" s="2">
        <f t="shared" si="26"/>
        <v>2621</v>
      </c>
      <c r="AD126" s="2">
        <f t="shared" si="27"/>
        <v>2160</v>
      </c>
      <c r="AE126" s="2">
        <f t="shared" si="28"/>
        <v>1853</v>
      </c>
      <c r="AF126" s="2">
        <f t="shared" si="29"/>
        <v>1470</v>
      </c>
      <c r="AG126" s="2">
        <f t="shared" si="30"/>
        <v>11165</v>
      </c>
      <c r="AH126" s="2">
        <f t="shared" si="31"/>
        <v>20735</v>
      </c>
      <c r="AI126" s="2">
        <f t="shared" si="32"/>
        <v>22635</v>
      </c>
      <c r="AJ126" s="2">
        <f t="shared" si="33"/>
        <v>4316</v>
      </c>
      <c r="AK126" s="2">
        <f t="shared" si="34"/>
        <v>2970</v>
      </c>
      <c r="AL126" s="2">
        <f t="shared" si="35"/>
        <v>2297</v>
      </c>
      <c r="AM126" s="2">
        <f t="shared" si="36"/>
        <v>1894</v>
      </c>
      <c r="AN126" s="2">
        <f t="shared" si="37"/>
        <v>1625</v>
      </c>
      <c r="AO126" s="2">
        <f t="shared" si="38"/>
        <v>1288</v>
      </c>
      <c r="AP126" s="2">
        <f t="shared" si="39"/>
        <v>12760</v>
      </c>
      <c r="AQ126" s="2">
        <f t="shared" si="40"/>
        <v>19140</v>
      </c>
      <c r="AR126" s="2">
        <f t="shared" si="41"/>
        <v>21040</v>
      </c>
      <c r="AS126" s="2">
        <f t="shared" si="42"/>
        <v>4012</v>
      </c>
      <c r="AT126" s="2">
        <f t="shared" si="43"/>
        <v>2761</v>
      </c>
      <c r="AU126" s="2">
        <f t="shared" si="44"/>
        <v>2135</v>
      </c>
      <c r="AV126" s="2">
        <f t="shared" si="45"/>
        <v>1760</v>
      </c>
      <c r="AW126" s="2">
        <f t="shared" si="46"/>
        <v>1510</v>
      </c>
      <c r="AX126" s="2">
        <f t="shared" si="47"/>
        <v>1197</v>
      </c>
    </row>
    <row r="127" ht="14.25" customHeight="1">
      <c r="A127" s="2" t="str">
        <f t="array" ref="A127">IFERROR(INDEX('Product Price'!A:A,SMALL('Product Price'!$D:$D,125)),"")</f>
        <v>SAMSUNG Galaxy Tab S11 5G 12/256 GB</v>
      </c>
      <c r="B127" s="2">
        <f t="array" ref="B127">IFERROR(INDEX('Product Price'!B:B,SMALL('Product Price'!$D:$D,125)),"")</f>
        <v>33900</v>
      </c>
      <c r="C127" s="2">
        <f t="array" ref="C127">IFERROR(INDEX('Product Price'!C:C,SMALL('Product Price'!$D:$D,125)),"")</f>
        <v>115</v>
      </c>
      <c r="D127" s="2">
        <f t="shared" si="1"/>
        <v>1900</v>
      </c>
      <c r="E127" s="2">
        <f t="shared" si="2"/>
        <v>35800</v>
      </c>
      <c r="F127" s="2">
        <f t="shared" si="48"/>
        <v>5085</v>
      </c>
      <c r="G127" s="2">
        <f t="shared" si="4"/>
        <v>28815</v>
      </c>
      <c r="H127" s="2">
        <f t="shared" si="5"/>
        <v>30715</v>
      </c>
      <c r="I127" s="2">
        <f t="shared" si="6"/>
        <v>5856</v>
      </c>
      <c r="J127" s="2">
        <f t="shared" si="7"/>
        <v>4030</v>
      </c>
      <c r="K127" s="2">
        <f t="shared" si="8"/>
        <v>3117</v>
      </c>
      <c r="L127" s="2">
        <f t="shared" si="9"/>
        <v>2569</v>
      </c>
      <c r="M127" s="2">
        <f t="shared" si="10"/>
        <v>2204</v>
      </c>
      <c r="N127" s="2">
        <f t="shared" si="11"/>
        <v>1748</v>
      </c>
      <c r="O127" s="2">
        <f t="shared" si="12"/>
        <v>6780</v>
      </c>
      <c r="P127" s="2">
        <f t="shared" si="13"/>
        <v>27120</v>
      </c>
      <c r="Q127" s="2">
        <f t="shared" si="14"/>
        <v>29020</v>
      </c>
      <c r="R127" s="2">
        <f t="shared" si="15"/>
        <v>5533</v>
      </c>
      <c r="S127" s="2">
        <f t="shared" si="16"/>
        <v>3808</v>
      </c>
      <c r="T127" s="2">
        <f t="shared" si="17"/>
        <v>2945</v>
      </c>
      <c r="U127" s="2">
        <f t="shared" si="18"/>
        <v>2428</v>
      </c>
      <c r="V127" s="2">
        <f t="shared" si="19"/>
        <v>2083</v>
      </c>
      <c r="W127" s="2">
        <f t="shared" si="20"/>
        <v>1651</v>
      </c>
      <c r="X127" s="2">
        <f t="shared" si="21"/>
        <v>8475</v>
      </c>
      <c r="Y127" s="2">
        <f t="shared" si="22"/>
        <v>25425</v>
      </c>
      <c r="Z127" s="2">
        <f t="shared" si="23"/>
        <v>27325</v>
      </c>
      <c r="AA127" s="2">
        <f t="shared" si="24"/>
        <v>5210</v>
      </c>
      <c r="AB127" s="2">
        <f t="shared" si="25"/>
        <v>3585</v>
      </c>
      <c r="AC127" s="2">
        <f t="shared" si="26"/>
        <v>2773</v>
      </c>
      <c r="AD127" s="2">
        <f t="shared" si="27"/>
        <v>2286</v>
      </c>
      <c r="AE127" s="2">
        <f t="shared" si="28"/>
        <v>1961</v>
      </c>
      <c r="AF127" s="2">
        <f t="shared" si="29"/>
        <v>1555</v>
      </c>
      <c r="AG127" s="2">
        <f t="shared" si="30"/>
        <v>11865</v>
      </c>
      <c r="AH127" s="2">
        <f t="shared" si="31"/>
        <v>22035</v>
      </c>
      <c r="AI127" s="2">
        <f t="shared" si="32"/>
        <v>23935</v>
      </c>
      <c r="AJ127" s="2">
        <f t="shared" si="33"/>
        <v>4563</v>
      </c>
      <c r="AK127" s="2">
        <f t="shared" si="34"/>
        <v>3141</v>
      </c>
      <c r="AL127" s="2">
        <f t="shared" si="35"/>
        <v>2429</v>
      </c>
      <c r="AM127" s="2">
        <f t="shared" si="36"/>
        <v>2002</v>
      </c>
      <c r="AN127" s="2">
        <f t="shared" si="37"/>
        <v>1718</v>
      </c>
      <c r="AO127" s="2">
        <f t="shared" si="38"/>
        <v>1362</v>
      </c>
      <c r="AP127" s="2">
        <f t="shared" si="39"/>
        <v>13560</v>
      </c>
      <c r="AQ127" s="2">
        <f t="shared" si="40"/>
        <v>20340</v>
      </c>
      <c r="AR127" s="2">
        <f t="shared" si="41"/>
        <v>22240</v>
      </c>
      <c r="AS127" s="2">
        <f t="shared" si="42"/>
        <v>4240</v>
      </c>
      <c r="AT127" s="2">
        <f t="shared" si="43"/>
        <v>2918</v>
      </c>
      <c r="AU127" s="2">
        <f t="shared" si="44"/>
        <v>2257</v>
      </c>
      <c r="AV127" s="2">
        <f t="shared" si="45"/>
        <v>1861</v>
      </c>
      <c r="AW127" s="2">
        <f t="shared" si="46"/>
        <v>1596</v>
      </c>
      <c r="AX127" s="2">
        <f t="shared" si="47"/>
        <v>1266</v>
      </c>
    </row>
    <row r="128" ht="14.25" customHeight="1">
      <c r="A128" s="2" t="str">
        <f t="array" ref="A128">IFERROR(INDEX('Product Price'!A:A,SMALL('Product Price'!$D:$D,126)),"")</f>
        <v>SAMSUNG Galaxy Tab S11 Ultra 12/256 GB</v>
      </c>
      <c r="B128" s="2">
        <f t="array" ref="B128">IFERROR(INDEX('Product Price'!B:B,SMALL('Product Price'!$D:$D,126)),"")</f>
        <v>45900</v>
      </c>
      <c r="C128" s="2">
        <f t="array" ref="C128">IFERROR(INDEX('Product Price'!C:C,SMALL('Product Price'!$D:$D,126)),"")</f>
        <v>116</v>
      </c>
      <c r="D128" s="2">
        <f t="shared" si="1"/>
        <v>2475</v>
      </c>
      <c r="E128" s="2">
        <f t="shared" si="2"/>
        <v>48375</v>
      </c>
      <c r="F128" s="2">
        <f t="shared" si="48"/>
        <v>6885</v>
      </c>
      <c r="G128" s="2">
        <f t="shared" si="4"/>
        <v>39015</v>
      </c>
      <c r="H128" s="2">
        <f t="shared" si="5"/>
        <v>41490</v>
      </c>
      <c r="I128" s="2">
        <f t="shared" si="6"/>
        <v>7910</v>
      </c>
      <c r="J128" s="2">
        <f t="shared" si="7"/>
        <v>5444</v>
      </c>
      <c r="K128" s="2">
        <f t="shared" si="8"/>
        <v>4211</v>
      </c>
      <c r="L128" s="2">
        <f t="shared" si="9"/>
        <v>3471</v>
      </c>
      <c r="M128" s="2">
        <f t="shared" si="10"/>
        <v>2977</v>
      </c>
      <c r="N128" s="2">
        <f t="shared" si="11"/>
        <v>2361</v>
      </c>
      <c r="O128" s="2">
        <f t="shared" si="12"/>
        <v>9180</v>
      </c>
      <c r="P128" s="2">
        <f t="shared" si="13"/>
        <v>36720</v>
      </c>
      <c r="Q128" s="2">
        <f t="shared" si="14"/>
        <v>39195</v>
      </c>
      <c r="R128" s="2">
        <f t="shared" si="15"/>
        <v>7473</v>
      </c>
      <c r="S128" s="2">
        <f t="shared" si="16"/>
        <v>5143</v>
      </c>
      <c r="T128" s="2">
        <f t="shared" si="17"/>
        <v>3978</v>
      </c>
      <c r="U128" s="2">
        <f t="shared" si="18"/>
        <v>3279</v>
      </c>
      <c r="V128" s="2">
        <f t="shared" si="19"/>
        <v>2813</v>
      </c>
      <c r="W128" s="2">
        <f t="shared" si="20"/>
        <v>2230</v>
      </c>
      <c r="X128" s="2">
        <f t="shared" si="21"/>
        <v>11475</v>
      </c>
      <c r="Y128" s="2">
        <f t="shared" si="22"/>
        <v>34425</v>
      </c>
      <c r="Z128" s="2">
        <f t="shared" si="23"/>
        <v>36900</v>
      </c>
      <c r="AA128" s="2">
        <f t="shared" si="24"/>
        <v>7035</v>
      </c>
      <c r="AB128" s="2">
        <f t="shared" si="25"/>
        <v>4842</v>
      </c>
      <c r="AC128" s="2">
        <f t="shared" si="26"/>
        <v>3745</v>
      </c>
      <c r="AD128" s="2">
        <f t="shared" si="27"/>
        <v>3087</v>
      </c>
      <c r="AE128" s="2">
        <f t="shared" si="28"/>
        <v>2648</v>
      </c>
      <c r="AF128" s="2">
        <f t="shared" si="29"/>
        <v>2100</v>
      </c>
      <c r="AG128" s="2">
        <f t="shared" si="30"/>
        <v>16065</v>
      </c>
      <c r="AH128" s="2">
        <f t="shared" si="31"/>
        <v>29835</v>
      </c>
      <c r="AI128" s="2">
        <f t="shared" si="32"/>
        <v>32310</v>
      </c>
      <c r="AJ128" s="2">
        <f t="shared" si="33"/>
        <v>6160</v>
      </c>
      <c r="AK128" s="2">
        <f t="shared" si="34"/>
        <v>4239</v>
      </c>
      <c r="AL128" s="2">
        <f t="shared" si="35"/>
        <v>3279</v>
      </c>
      <c r="AM128" s="2">
        <f t="shared" si="36"/>
        <v>2703</v>
      </c>
      <c r="AN128" s="2">
        <f t="shared" si="37"/>
        <v>2319</v>
      </c>
      <c r="AO128" s="2">
        <f t="shared" si="38"/>
        <v>1839</v>
      </c>
      <c r="AP128" s="2">
        <f t="shared" si="39"/>
        <v>18360</v>
      </c>
      <c r="AQ128" s="2">
        <f t="shared" si="40"/>
        <v>27540</v>
      </c>
      <c r="AR128" s="2">
        <f t="shared" si="41"/>
        <v>30015</v>
      </c>
      <c r="AS128" s="2">
        <f t="shared" si="42"/>
        <v>5723</v>
      </c>
      <c r="AT128" s="2">
        <f t="shared" si="43"/>
        <v>3938</v>
      </c>
      <c r="AU128" s="2">
        <f t="shared" si="44"/>
        <v>3046</v>
      </c>
      <c r="AV128" s="2">
        <f t="shared" si="45"/>
        <v>2511</v>
      </c>
      <c r="AW128" s="2">
        <f t="shared" si="46"/>
        <v>2154</v>
      </c>
      <c r="AX128" s="2">
        <f t="shared" si="47"/>
        <v>1708</v>
      </c>
    </row>
    <row r="129" ht="14.25" customHeight="1">
      <c r="A129" s="2" t="str">
        <f t="array" ref="A129">IFERROR(INDEX('Product Price'!A:A,SMALL('Product Price'!$D:$D,127)),"")</f>
        <v>TECNO POVA 8 Pro 5G LAMBORGHINI 12/512 GB</v>
      </c>
      <c r="B129" s="2">
        <f t="array" ref="B129">IFERROR(INDEX('Product Price'!B:B,SMALL('Product Price'!$D:$D,127)),"")</f>
        <v>19999</v>
      </c>
      <c r="C129" s="2">
        <f t="array" ref="C129">IFERROR(INDEX('Product Price'!C:C,SMALL('Product Price'!$D:$D,127)),"")</f>
        <v>174</v>
      </c>
      <c r="D129" s="2">
        <f t="shared" si="1"/>
        <v>1450</v>
      </c>
      <c r="E129" s="2">
        <f t="shared" si="2"/>
        <v>21449</v>
      </c>
      <c r="F129" s="2">
        <f t="shared" si="48"/>
        <v>3000</v>
      </c>
      <c r="G129" s="2">
        <f t="shared" si="4"/>
        <v>16999</v>
      </c>
      <c r="H129" s="2">
        <f t="shared" si="5"/>
        <v>18449</v>
      </c>
      <c r="I129" s="2">
        <f t="shared" si="6"/>
        <v>3518</v>
      </c>
      <c r="J129" s="2">
        <f t="shared" si="7"/>
        <v>2421</v>
      </c>
      <c r="K129" s="2">
        <f t="shared" si="8"/>
        <v>1873</v>
      </c>
      <c r="L129" s="2">
        <f t="shared" si="9"/>
        <v>1544</v>
      </c>
      <c r="M129" s="2">
        <f t="shared" si="10"/>
        <v>1324</v>
      </c>
      <c r="N129" s="2">
        <f t="shared" si="11"/>
        <v>1050</v>
      </c>
      <c r="O129" s="2">
        <f t="shared" si="12"/>
        <v>4000</v>
      </c>
      <c r="P129" s="2">
        <f t="shared" si="13"/>
        <v>15999</v>
      </c>
      <c r="Q129" s="2">
        <f t="shared" si="14"/>
        <v>17449</v>
      </c>
      <c r="R129" s="2">
        <f t="shared" si="15"/>
        <v>3327</v>
      </c>
      <c r="S129" s="2">
        <f t="shared" si="16"/>
        <v>2290</v>
      </c>
      <c r="T129" s="2">
        <f t="shared" si="17"/>
        <v>1771</v>
      </c>
      <c r="U129" s="2">
        <f t="shared" si="18"/>
        <v>1460</v>
      </c>
      <c r="V129" s="2">
        <f t="shared" si="19"/>
        <v>1252</v>
      </c>
      <c r="W129" s="2">
        <f t="shared" si="20"/>
        <v>993</v>
      </c>
      <c r="X129" s="2">
        <f t="shared" si="21"/>
        <v>5000</v>
      </c>
      <c r="Y129" s="2">
        <f t="shared" si="22"/>
        <v>14999</v>
      </c>
      <c r="Z129" s="2">
        <f t="shared" si="23"/>
        <v>16449</v>
      </c>
      <c r="AA129" s="2">
        <f t="shared" si="24"/>
        <v>3136</v>
      </c>
      <c r="AB129" s="2">
        <f t="shared" si="25"/>
        <v>2159</v>
      </c>
      <c r="AC129" s="2">
        <f t="shared" si="26"/>
        <v>1670</v>
      </c>
      <c r="AD129" s="2">
        <f t="shared" si="27"/>
        <v>1376</v>
      </c>
      <c r="AE129" s="2">
        <f t="shared" si="28"/>
        <v>1181</v>
      </c>
      <c r="AF129" s="2">
        <f t="shared" si="29"/>
        <v>936</v>
      </c>
      <c r="AG129" s="2">
        <f t="shared" si="30"/>
        <v>7000</v>
      </c>
      <c r="AH129" s="2">
        <f t="shared" si="31"/>
        <v>12999</v>
      </c>
      <c r="AI129" s="2">
        <f t="shared" si="32"/>
        <v>14449</v>
      </c>
      <c r="AJ129" s="2">
        <f t="shared" si="33"/>
        <v>2755</v>
      </c>
      <c r="AK129" s="2">
        <f t="shared" si="34"/>
        <v>1896</v>
      </c>
      <c r="AL129" s="2">
        <f t="shared" si="35"/>
        <v>1467</v>
      </c>
      <c r="AM129" s="2">
        <f t="shared" si="36"/>
        <v>1209</v>
      </c>
      <c r="AN129" s="2">
        <f t="shared" si="37"/>
        <v>1037</v>
      </c>
      <c r="AO129" s="2">
        <f t="shared" si="38"/>
        <v>822</v>
      </c>
      <c r="AP129" s="2">
        <f t="shared" si="39"/>
        <v>8000</v>
      </c>
      <c r="AQ129" s="2">
        <f t="shared" si="40"/>
        <v>11999</v>
      </c>
      <c r="AR129" s="2">
        <f t="shared" si="41"/>
        <v>13449</v>
      </c>
      <c r="AS129" s="2">
        <f t="shared" si="42"/>
        <v>2564</v>
      </c>
      <c r="AT129" s="2">
        <f t="shared" si="43"/>
        <v>1765</v>
      </c>
      <c r="AU129" s="2">
        <f t="shared" si="44"/>
        <v>1365</v>
      </c>
      <c r="AV129" s="2">
        <f t="shared" si="45"/>
        <v>1125</v>
      </c>
      <c r="AW129" s="2">
        <f t="shared" si="46"/>
        <v>965</v>
      </c>
      <c r="AX129" s="2">
        <f t="shared" si="47"/>
        <v>766</v>
      </c>
    </row>
    <row r="130" ht="14.25" customHeight="1">
      <c r="A130" s="2" t="str">
        <f t="array" ref="A130">IFERROR(INDEX('Product Price'!A:A,SMALL('Product Price'!$D:$D,128)),"")</f>
        <v>TECNO POVA 8 Pro 5G LAMBORGHINI 12/256 GB</v>
      </c>
      <c r="B130" s="2">
        <f t="array" ref="B130">IFERROR(INDEX('Product Price'!B:B,SMALL('Product Price'!$D:$D,128)),"")</f>
        <v>17999</v>
      </c>
      <c r="C130" s="2">
        <f t="array" ref="C130">IFERROR(INDEX('Product Price'!C:C,SMALL('Product Price'!$D:$D,128)),"")</f>
        <v>175</v>
      </c>
      <c r="D130" s="2">
        <f t="shared" si="1"/>
        <v>1450</v>
      </c>
      <c r="E130" s="2">
        <f t="shared" si="2"/>
        <v>19449</v>
      </c>
      <c r="F130" s="2">
        <f t="shared" si="48"/>
        <v>2700</v>
      </c>
      <c r="G130" s="2">
        <f t="shared" si="4"/>
        <v>15299</v>
      </c>
      <c r="H130" s="2">
        <f t="shared" si="5"/>
        <v>16749</v>
      </c>
      <c r="I130" s="2">
        <f t="shared" si="6"/>
        <v>3194</v>
      </c>
      <c r="J130" s="2">
        <f t="shared" si="7"/>
        <v>2198</v>
      </c>
      <c r="K130" s="2">
        <f t="shared" si="8"/>
        <v>1700</v>
      </c>
      <c r="L130" s="2">
        <f t="shared" si="9"/>
        <v>1401</v>
      </c>
      <c r="M130" s="2">
        <f t="shared" si="10"/>
        <v>1202</v>
      </c>
      <c r="N130" s="2">
        <f t="shared" si="11"/>
        <v>953</v>
      </c>
      <c r="O130" s="2">
        <f t="shared" si="12"/>
        <v>3600</v>
      </c>
      <c r="P130" s="2">
        <f t="shared" si="13"/>
        <v>14399</v>
      </c>
      <c r="Q130" s="2">
        <f t="shared" si="14"/>
        <v>15849</v>
      </c>
      <c r="R130" s="2">
        <f t="shared" si="15"/>
        <v>3022</v>
      </c>
      <c r="S130" s="2">
        <f t="shared" si="16"/>
        <v>2080</v>
      </c>
      <c r="T130" s="2">
        <f t="shared" si="17"/>
        <v>1609</v>
      </c>
      <c r="U130" s="2">
        <f t="shared" si="18"/>
        <v>1326</v>
      </c>
      <c r="V130" s="2">
        <f t="shared" si="19"/>
        <v>1138</v>
      </c>
      <c r="W130" s="2">
        <f t="shared" si="20"/>
        <v>902</v>
      </c>
      <c r="X130" s="2">
        <f t="shared" si="21"/>
        <v>4500</v>
      </c>
      <c r="Y130" s="2">
        <f t="shared" si="22"/>
        <v>13499</v>
      </c>
      <c r="Z130" s="2">
        <f t="shared" si="23"/>
        <v>14949</v>
      </c>
      <c r="AA130" s="2">
        <f t="shared" si="24"/>
        <v>2850</v>
      </c>
      <c r="AB130" s="2">
        <f t="shared" si="25"/>
        <v>1962</v>
      </c>
      <c r="AC130" s="2">
        <f t="shared" si="26"/>
        <v>1517</v>
      </c>
      <c r="AD130" s="2">
        <f t="shared" si="27"/>
        <v>1251</v>
      </c>
      <c r="AE130" s="2">
        <f t="shared" si="28"/>
        <v>1073</v>
      </c>
      <c r="AF130" s="2">
        <f t="shared" si="29"/>
        <v>851</v>
      </c>
      <c r="AG130" s="2">
        <f t="shared" si="30"/>
        <v>6300</v>
      </c>
      <c r="AH130" s="2">
        <f t="shared" si="31"/>
        <v>11699</v>
      </c>
      <c r="AI130" s="2">
        <f t="shared" si="32"/>
        <v>13149</v>
      </c>
      <c r="AJ130" s="2">
        <f t="shared" si="33"/>
        <v>2507</v>
      </c>
      <c r="AK130" s="2">
        <f t="shared" si="34"/>
        <v>1726</v>
      </c>
      <c r="AL130" s="2">
        <f t="shared" si="35"/>
        <v>1335</v>
      </c>
      <c r="AM130" s="2">
        <f t="shared" si="36"/>
        <v>1100</v>
      </c>
      <c r="AN130" s="2">
        <f t="shared" si="37"/>
        <v>944</v>
      </c>
      <c r="AO130" s="2">
        <f t="shared" si="38"/>
        <v>749</v>
      </c>
      <c r="AP130" s="2">
        <f t="shared" si="39"/>
        <v>7200</v>
      </c>
      <c r="AQ130" s="2">
        <f t="shared" si="40"/>
        <v>10799</v>
      </c>
      <c r="AR130" s="2">
        <f t="shared" si="41"/>
        <v>12249</v>
      </c>
      <c r="AS130" s="2">
        <f t="shared" si="42"/>
        <v>2336</v>
      </c>
      <c r="AT130" s="2">
        <f t="shared" si="43"/>
        <v>1607</v>
      </c>
      <c r="AU130" s="2">
        <f t="shared" si="44"/>
        <v>1243</v>
      </c>
      <c r="AV130" s="2">
        <f t="shared" si="45"/>
        <v>1025</v>
      </c>
      <c r="AW130" s="2">
        <f t="shared" si="46"/>
        <v>879</v>
      </c>
      <c r="AX130" s="2">
        <f t="shared" si="47"/>
        <v>697</v>
      </c>
    </row>
    <row r="131" ht="14.25" customHeight="1">
      <c r="A131" s="2" t="str">
        <f t="array" ref="A131">IFERROR(INDEX('Product Price'!A:A,SMALL('Product Price'!$D:$D,129)),"")</f>
        <v>TECNO POVA 8 Pro 5G LAMBORGHINI 8/256 GB</v>
      </c>
      <c r="B131" s="2">
        <f t="array" ref="B131">IFERROR(INDEX('Product Price'!B:B,SMALL('Product Price'!$D:$D,129)),"")</f>
        <v>15999</v>
      </c>
      <c r="C131" s="2">
        <f t="array" ref="C131">IFERROR(INDEX('Product Price'!C:C,SMALL('Product Price'!$D:$D,129)),"")</f>
        <v>176</v>
      </c>
      <c r="D131" s="2">
        <f t="shared" si="1"/>
        <v>1450</v>
      </c>
      <c r="E131" s="2">
        <f t="shared" si="2"/>
        <v>17449</v>
      </c>
      <c r="F131" s="2">
        <f t="shared" si="48"/>
        <v>2400</v>
      </c>
      <c r="G131" s="2">
        <f t="shared" si="4"/>
        <v>13599</v>
      </c>
      <c r="H131" s="2">
        <f t="shared" si="5"/>
        <v>15049</v>
      </c>
      <c r="I131" s="2">
        <f t="shared" si="6"/>
        <v>2869</v>
      </c>
      <c r="J131" s="2">
        <f t="shared" si="7"/>
        <v>1975</v>
      </c>
      <c r="K131" s="2">
        <f t="shared" si="8"/>
        <v>1528</v>
      </c>
      <c r="L131" s="2">
        <f t="shared" si="9"/>
        <v>1259</v>
      </c>
      <c r="M131" s="2">
        <f t="shared" si="10"/>
        <v>1080</v>
      </c>
      <c r="N131" s="2">
        <f t="shared" si="11"/>
        <v>857</v>
      </c>
      <c r="O131" s="2">
        <f t="shared" si="12"/>
        <v>3200</v>
      </c>
      <c r="P131" s="2">
        <f t="shared" si="13"/>
        <v>12799</v>
      </c>
      <c r="Q131" s="2">
        <f t="shared" si="14"/>
        <v>14249</v>
      </c>
      <c r="R131" s="2">
        <f t="shared" si="15"/>
        <v>2717</v>
      </c>
      <c r="S131" s="2">
        <f t="shared" si="16"/>
        <v>1870</v>
      </c>
      <c r="T131" s="2">
        <f t="shared" si="17"/>
        <v>1446</v>
      </c>
      <c r="U131" s="2">
        <f t="shared" si="18"/>
        <v>1192</v>
      </c>
      <c r="V131" s="2">
        <f t="shared" si="19"/>
        <v>1023</v>
      </c>
      <c r="W131" s="2">
        <f t="shared" si="20"/>
        <v>811</v>
      </c>
      <c r="X131" s="2">
        <f t="shared" si="21"/>
        <v>4000</v>
      </c>
      <c r="Y131" s="2">
        <f t="shared" si="22"/>
        <v>11999</v>
      </c>
      <c r="Z131" s="2">
        <f t="shared" si="23"/>
        <v>13449</v>
      </c>
      <c r="AA131" s="2">
        <f t="shared" si="24"/>
        <v>2564</v>
      </c>
      <c r="AB131" s="2">
        <f t="shared" si="25"/>
        <v>1765</v>
      </c>
      <c r="AC131" s="2">
        <f t="shared" si="26"/>
        <v>1365</v>
      </c>
      <c r="AD131" s="2">
        <f t="shared" si="27"/>
        <v>1125</v>
      </c>
      <c r="AE131" s="2">
        <f t="shared" si="28"/>
        <v>965</v>
      </c>
      <c r="AF131" s="2">
        <f t="shared" si="29"/>
        <v>766</v>
      </c>
      <c r="AG131" s="2">
        <f t="shared" si="30"/>
        <v>5600</v>
      </c>
      <c r="AH131" s="2">
        <f t="shared" si="31"/>
        <v>10399</v>
      </c>
      <c r="AI131" s="2">
        <f t="shared" si="32"/>
        <v>11849</v>
      </c>
      <c r="AJ131" s="2">
        <f t="shared" si="33"/>
        <v>2259</v>
      </c>
      <c r="AK131" s="2">
        <f t="shared" si="34"/>
        <v>1555</v>
      </c>
      <c r="AL131" s="2">
        <f t="shared" si="35"/>
        <v>1203</v>
      </c>
      <c r="AM131" s="2">
        <f t="shared" si="36"/>
        <v>992</v>
      </c>
      <c r="AN131" s="2">
        <f t="shared" si="37"/>
        <v>851</v>
      </c>
      <c r="AO131" s="2">
        <f t="shared" si="38"/>
        <v>675</v>
      </c>
      <c r="AP131" s="2">
        <f t="shared" si="39"/>
        <v>6400</v>
      </c>
      <c r="AQ131" s="2">
        <f t="shared" si="40"/>
        <v>9599</v>
      </c>
      <c r="AR131" s="2">
        <f t="shared" si="41"/>
        <v>11049</v>
      </c>
      <c r="AS131" s="2">
        <f t="shared" si="42"/>
        <v>2107</v>
      </c>
      <c r="AT131" s="2">
        <f t="shared" si="43"/>
        <v>1450</v>
      </c>
      <c r="AU131" s="2">
        <f t="shared" si="44"/>
        <v>1122</v>
      </c>
      <c r="AV131" s="2">
        <f t="shared" si="45"/>
        <v>925</v>
      </c>
      <c r="AW131" s="2">
        <f t="shared" si="46"/>
        <v>793</v>
      </c>
      <c r="AX131" s="2">
        <f t="shared" si="47"/>
        <v>629</v>
      </c>
    </row>
    <row r="132" ht="14.25" customHeight="1">
      <c r="A132" s="2" t="str">
        <f t="array" ref="A132">IFERROR(INDEX('Product Price'!A:A,SMALL('Product Price'!$D:$D,130)),"")</f>
        <v>TECNO POVA8 Pro 5G 8/256 GB</v>
      </c>
      <c r="B132" s="2">
        <f t="array" ref="B132">IFERROR(INDEX('Product Price'!B:B,SMALL('Product Price'!$D:$D,130)),"")</f>
        <v>14999</v>
      </c>
      <c r="C132" s="2">
        <f t="array" ref="C132">IFERROR(INDEX('Product Price'!C:C,SMALL('Product Price'!$D:$D,130)),"")</f>
        <v>122</v>
      </c>
      <c r="D132" s="2">
        <f t="shared" si="1"/>
        <v>1450</v>
      </c>
      <c r="E132" s="2">
        <f t="shared" si="2"/>
        <v>16449</v>
      </c>
      <c r="F132" s="2">
        <f t="shared" si="48"/>
        <v>2250</v>
      </c>
      <c r="G132" s="2">
        <f t="shared" si="4"/>
        <v>12749</v>
      </c>
      <c r="H132" s="2">
        <f t="shared" si="5"/>
        <v>14199</v>
      </c>
      <c r="I132" s="2">
        <f t="shared" si="6"/>
        <v>2707</v>
      </c>
      <c r="J132" s="2">
        <f t="shared" si="7"/>
        <v>1863</v>
      </c>
      <c r="K132" s="2">
        <f t="shared" si="8"/>
        <v>1441</v>
      </c>
      <c r="L132" s="2">
        <f t="shared" si="9"/>
        <v>1188</v>
      </c>
      <c r="M132" s="2">
        <f t="shared" si="10"/>
        <v>1019</v>
      </c>
      <c r="N132" s="2">
        <f t="shared" si="11"/>
        <v>808</v>
      </c>
      <c r="O132" s="2">
        <f t="shared" si="12"/>
        <v>3000</v>
      </c>
      <c r="P132" s="2">
        <f t="shared" si="13"/>
        <v>11999</v>
      </c>
      <c r="Q132" s="2">
        <f t="shared" si="14"/>
        <v>13449</v>
      </c>
      <c r="R132" s="2">
        <f t="shared" si="15"/>
        <v>2564</v>
      </c>
      <c r="S132" s="2">
        <f t="shared" si="16"/>
        <v>1765</v>
      </c>
      <c r="T132" s="2">
        <f t="shared" si="17"/>
        <v>1365</v>
      </c>
      <c r="U132" s="2">
        <f t="shared" si="18"/>
        <v>1125</v>
      </c>
      <c r="V132" s="2">
        <f t="shared" si="19"/>
        <v>965</v>
      </c>
      <c r="W132" s="2">
        <f t="shared" si="20"/>
        <v>766</v>
      </c>
      <c r="X132" s="2">
        <f t="shared" si="21"/>
        <v>3750</v>
      </c>
      <c r="Y132" s="2">
        <f t="shared" si="22"/>
        <v>11249</v>
      </c>
      <c r="Z132" s="2">
        <f t="shared" si="23"/>
        <v>12699</v>
      </c>
      <c r="AA132" s="2">
        <f t="shared" si="24"/>
        <v>2421</v>
      </c>
      <c r="AB132" s="2">
        <f t="shared" si="25"/>
        <v>1667</v>
      </c>
      <c r="AC132" s="2">
        <f t="shared" si="26"/>
        <v>1289</v>
      </c>
      <c r="AD132" s="2">
        <f t="shared" si="27"/>
        <v>1063</v>
      </c>
      <c r="AE132" s="2">
        <f t="shared" si="28"/>
        <v>912</v>
      </c>
      <c r="AF132" s="2">
        <f t="shared" si="29"/>
        <v>723</v>
      </c>
      <c r="AG132" s="2">
        <f t="shared" si="30"/>
        <v>5250</v>
      </c>
      <c r="AH132" s="2">
        <f t="shared" si="31"/>
        <v>9749</v>
      </c>
      <c r="AI132" s="2">
        <f t="shared" si="32"/>
        <v>11199</v>
      </c>
      <c r="AJ132" s="2">
        <f t="shared" si="33"/>
        <v>2135</v>
      </c>
      <c r="AK132" s="2">
        <f t="shared" si="34"/>
        <v>1470</v>
      </c>
      <c r="AL132" s="2">
        <f t="shared" si="35"/>
        <v>1137</v>
      </c>
      <c r="AM132" s="2">
        <f t="shared" si="36"/>
        <v>937</v>
      </c>
      <c r="AN132" s="2">
        <f t="shared" si="37"/>
        <v>804</v>
      </c>
      <c r="AO132" s="2">
        <f t="shared" si="38"/>
        <v>638</v>
      </c>
      <c r="AP132" s="2">
        <f t="shared" si="39"/>
        <v>6000</v>
      </c>
      <c r="AQ132" s="2">
        <f t="shared" si="40"/>
        <v>8999</v>
      </c>
      <c r="AR132" s="2">
        <f t="shared" si="41"/>
        <v>10449</v>
      </c>
      <c r="AS132" s="2">
        <f t="shared" si="42"/>
        <v>1992</v>
      </c>
      <c r="AT132" s="2">
        <f t="shared" si="43"/>
        <v>1371</v>
      </c>
      <c r="AU132" s="2">
        <f t="shared" si="44"/>
        <v>1061</v>
      </c>
      <c r="AV132" s="2">
        <f t="shared" si="45"/>
        <v>874</v>
      </c>
      <c r="AW132" s="2">
        <f t="shared" si="46"/>
        <v>750</v>
      </c>
      <c r="AX132" s="2">
        <f t="shared" si="47"/>
        <v>595</v>
      </c>
    </row>
    <row r="133" ht="14.25" customHeight="1">
      <c r="A133" s="2" t="str">
        <f t="array" ref="A133">IFERROR(INDEX('Product Price'!A:A,SMALL('Product Price'!$D:$D,131)),"")</f>
        <v>TECNO POVA8 Pro 5G 12/256 GB</v>
      </c>
      <c r="B133" s="2">
        <f t="array" ref="B133">IFERROR(INDEX('Product Price'!B:B,SMALL('Product Price'!$D:$D,131)),"")</f>
        <v>16999</v>
      </c>
      <c r="C133" s="2">
        <f t="array" ref="C133">IFERROR(INDEX('Product Price'!C:C,SMALL('Product Price'!$D:$D,131)),"")</f>
        <v>123</v>
      </c>
      <c r="D133" s="2">
        <f t="shared" si="1"/>
        <v>1450</v>
      </c>
      <c r="E133" s="2">
        <f t="shared" si="2"/>
        <v>18449</v>
      </c>
      <c r="F133" s="2">
        <f t="shared" si="48"/>
        <v>2550</v>
      </c>
      <c r="G133" s="2">
        <f t="shared" si="4"/>
        <v>14449</v>
      </c>
      <c r="H133" s="2">
        <f t="shared" si="5"/>
        <v>15899</v>
      </c>
      <c r="I133" s="2">
        <f t="shared" si="6"/>
        <v>3031</v>
      </c>
      <c r="J133" s="2">
        <f t="shared" si="7"/>
        <v>2086</v>
      </c>
      <c r="K133" s="2">
        <f t="shared" si="8"/>
        <v>1614</v>
      </c>
      <c r="L133" s="2">
        <f t="shared" si="9"/>
        <v>1330</v>
      </c>
      <c r="M133" s="2">
        <f t="shared" si="10"/>
        <v>1141</v>
      </c>
      <c r="N133" s="2">
        <f t="shared" si="11"/>
        <v>905</v>
      </c>
      <c r="O133" s="2">
        <f t="shared" si="12"/>
        <v>3400</v>
      </c>
      <c r="P133" s="2">
        <f t="shared" si="13"/>
        <v>13599</v>
      </c>
      <c r="Q133" s="2">
        <f t="shared" si="14"/>
        <v>15049</v>
      </c>
      <c r="R133" s="2">
        <f t="shared" si="15"/>
        <v>2869</v>
      </c>
      <c r="S133" s="2">
        <f t="shared" si="16"/>
        <v>1975</v>
      </c>
      <c r="T133" s="2">
        <f t="shared" si="17"/>
        <v>1528</v>
      </c>
      <c r="U133" s="2">
        <f t="shared" si="18"/>
        <v>1259</v>
      </c>
      <c r="V133" s="2">
        <f t="shared" si="19"/>
        <v>1080</v>
      </c>
      <c r="W133" s="2">
        <f t="shared" si="20"/>
        <v>857</v>
      </c>
      <c r="X133" s="2">
        <f t="shared" si="21"/>
        <v>4250</v>
      </c>
      <c r="Y133" s="2">
        <f t="shared" si="22"/>
        <v>12749</v>
      </c>
      <c r="Z133" s="2">
        <f t="shared" si="23"/>
        <v>14199</v>
      </c>
      <c r="AA133" s="2">
        <f t="shared" si="24"/>
        <v>2707</v>
      </c>
      <c r="AB133" s="2">
        <f t="shared" si="25"/>
        <v>1863</v>
      </c>
      <c r="AC133" s="2">
        <f t="shared" si="26"/>
        <v>1441</v>
      </c>
      <c r="AD133" s="2">
        <f t="shared" si="27"/>
        <v>1188</v>
      </c>
      <c r="AE133" s="2">
        <f t="shared" si="28"/>
        <v>1019</v>
      </c>
      <c r="AF133" s="2">
        <f t="shared" si="29"/>
        <v>808</v>
      </c>
      <c r="AG133" s="2">
        <f t="shared" si="30"/>
        <v>5950</v>
      </c>
      <c r="AH133" s="2">
        <f t="shared" si="31"/>
        <v>11049</v>
      </c>
      <c r="AI133" s="2">
        <f t="shared" si="32"/>
        <v>12499</v>
      </c>
      <c r="AJ133" s="2">
        <f t="shared" si="33"/>
        <v>2383</v>
      </c>
      <c r="AK133" s="2">
        <f t="shared" si="34"/>
        <v>1640</v>
      </c>
      <c r="AL133" s="2">
        <f t="shared" si="35"/>
        <v>1269</v>
      </c>
      <c r="AM133" s="2">
        <f t="shared" si="36"/>
        <v>1046</v>
      </c>
      <c r="AN133" s="2">
        <f t="shared" si="37"/>
        <v>897</v>
      </c>
      <c r="AO133" s="2">
        <f t="shared" si="38"/>
        <v>712</v>
      </c>
      <c r="AP133" s="2">
        <f t="shared" si="39"/>
        <v>6800</v>
      </c>
      <c r="AQ133" s="2">
        <f t="shared" si="40"/>
        <v>10199</v>
      </c>
      <c r="AR133" s="2">
        <f t="shared" si="41"/>
        <v>11649</v>
      </c>
      <c r="AS133" s="2">
        <f t="shared" si="42"/>
        <v>2221</v>
      </c>
      <c r="AT133" s="2">
        <f t="shared" si="43"/>
        <v>1529</v>
      </c>
      <c r="AU133" s="2">
        <f t="shared" si="44"/>
        <v>1183</v>
      </c>
      <c r="AV133" s="2">
        <f t="shared" si="45"/>
        <v>975</v>
      </c>
      <c r="AW133" s="2">
        <f t="shared" si="46"/>
        <v>836</v>
      </c>
      <c r="AX133" s="2">
        <f t="shared" si="47"/>
        <v>663</v>
      </c>
    </row>
    <row r="134" ht="14.25" customHeight="1">
      <c r="A134" s="2" t="str">
        <f t="array" ref="A134">IFERROR(INDEX('Product Price'!A:A,SMALL('Product Price'!$D:$D,132)),"")</f>
        <v>TECNO POVA8 Pro 5G 12/512 GB</v>
      </c>
      <c r="B134" s="2">
        <f t="array" ref="B134">IFERROR(INDEX('Product Price'!B:B,SMALL('Product Price'!$D:$D,132)),"")</f>
        <v>18999</v>
      </c>
      <c r="C134" s="2">
        <f t="array" ref="C134">IFERROR(INDEX('Product Price'!C:C,SMALL('Product Price'!$D:$D,132)),"")</f>
        <v>124</v>
      </c>
      <c r="D134" s="2">
        <f t="shared" si="1"/>
        <v>1450</v>
      </c>
      <c r="E134" s="2">
        <f t="shared" si="2"/>
        <v>20449</v>
      </c>
      <c r="F134" s="2">
        <f t="shared" si="48"/>
        <v>2850</v>
      </c>
      <c r="G134" s="2">
        <f t="shared" si="4"/>
        <v>16149</v>
      </c>
      <c r="H134" s="2">
        <f t="shared" si="5"/>
        <v>17599</v>
      </c>
      <c r="I134" s="2">
        <f t="shared" si="6"/>
        <v>3356</v>
      </c>
      <c r="J134" s="2">
        <f t="shared" si="7"/>
        <v>2309</v>
      </c>
      <c r="K134" s="2">
        <f t="shared" si="8"/>
        <v>1786</v>
      </c>
      <c r="L134" s="2">
        <f t="shared" si="9"/>
        <v>1472</v>
      </c>
      <c r="M134" s="2">
        <f t="shared" si="10"/>
        <v>1263</v>
      </c>
      <c r="N134" s="2">
        <f t="shared" si="11"/>
        <v>1002</v>
      </c>
      <c r="O134" s="2">
        <f t="shared" si="12"/>
        <v>3800</v>
      </c>
      <c r="P134" s="2">
        <f t="shared" si="13"/>
        <v>15199</v>
      </c>
      <c r="Q134" s="2">
        <f t="shared" si="14"/>
        <v>16649</v>
      </c>
      <c r="R134" s="2">
        <f t="shared" si="15"/>
        <v>3174</v>
      </c>
      <c r="S134" s="2">
        <f t="shared" si="16"/>
        <v>2185</v>
      </c>
      <c r="T134" s="2">
        <f t="shared" si="17"/>
        <v>1690</v>
      </c>
      <c r="U134" s="2">
        <f t="shared" si="18"/>
        <v>1393</v>
      </c>
      <c r="V134" s="2">
        <f t="shared" si="19"/>
        <v>1195</v>
      </c>
      <c r="W134" s="2">
        <f t="shared" si="20"/>
        <v>948</v>
      </c>
      <c r="X134" s="2">
        <f t="shared" si="21"/>
        <v>4750</v>
      </c>
      <c r="Y134" s="2">
        <f t="shared" si="22"/>
        <v>14249</v>
      </c>
      <c r="Z134" s="2">
        <f t="shared" si="23"/>
        <v>15699</v>
      </c>
      <c r="AA134" s="2">
        <f t="shared" si="24"/>
        <v>2993</v>
      </c>
      <c r="AB134" s="2">
        <f t="shared" si="25"/>
        <v>2060</v>
      </c>
      <c r="AC134" s="2">
        <f t="shared" si="26"/>
        <v>1594</v>
      </c>
      <c r="AD134" s="2">
        <f t="shared" si="27"/>
        <v>1314</v>
      </c>
      <c r="AE134" s="2">
        <f t="shared" si="28"/>
        <v>1127</v>
      </c>
      <c r="AF134" s="2">
        <f t="shared" si="29"/>
        <v>894</v>
      </c>
      <c r="AG134" s="2">
        <f t="shared" si="30"/>
        <v>6650</v>
      </c>
      <c r="AH134" s="2">
        <f t="shared" si="31"/>
        <v>12349</v>
      </c>
      <c r="AI134" s="2">
        <f t="shared" si="32"/>
        <v>13799</v>
      </c>
      <c r="AJ134" s="2">
        <f t="shared" si="33"/>
        <v>2631</v>
      </c>
      <c r="AK134" s="2">
        <f t="shared" si="34"/>
        <v>1811</v>
      </c>
      <c r="AL134" s="2">
        <f t="shared" si="35"/>
        <v>1401</v>
      </c>
      <c r="AM134" s="2">
        <f t="shared" si="36"/>
        <v>1155</v>
      </c>
      <c r="AN134" s="2">
        <f t="shared" si="37"/>
        <v>991</v>
      </c>
      <c r="AO134" s="2">
        <f t="shared" si="38"/>
        <v>786</v>
      </c>
      <c r="AP134" s="2">
        <f t="shared" si="39"/>
        <v>7600</v>
      </c>
      <c r="AQ134" s="2">
        <f t="shared" si="40"/>
        <v>11399</v>
      </c>
      <c r="AR134" s="2">
        <f t="shared" si="41"/>
        <v>12849</v>
      </c>
      <c r="AS134" s="2">
        <f t="shared" si="42"/>
        <v>2450</v>
      </c>
      <c r="AT134" s="2">
        <f t="shared" si="43"/>
        <v>1686</v>
      </c>
      <c r="AU134" s="2">
        <f t="shared" si="44"/>
        <v>1304</v>
      </c>
      <c r="AV134" s="2">
        <f t="shared" si="45"/>
        <v>1075</v>
      </c>
      <c r="AW134" s="2">
        <f t="shared" si="46"/>
        <v>922</v>
      </c>
      <c r="AX134" s="2">
        <f t="shared" si="47"/>
        <v>731</v>
      </c>
    </row>
    <row r="135" ht="14.25" customHeight="1">
      <c r="A135" s="2" t="str">
        <f t="array" ref="A135">IFERROR(INDEX('Product Price'!A:A,SMALL('Product Price'!$D:$D,133)),"")</f>
        <v>TECNO POVA8 5G 6/128 GB</v>
      </c>
      <c r="B135" s="2">
        <f t="array" ref="B135">IFERROR(INDEX('Product Price'!B:B,SMALL('Product Price'!$D:$D,133)),"")</f>
        <v>9999</v>
      </c>
      <c r="C135" s="2">
        <f t="array" ref="C135">IFERROR(INDEX('Product Price'!C:C,SMALL('Product Price'!$D:$D,133)),"")</f>
        <v>125</v>
      </c>
      <c r="D135" s="2">
        <f t="shared" si="1"/>
        <v>795</v>
      </c>
      <c r="E135" s="2">
        <f t="shared" si="2"/>
        <v>10794</v>
      </c>
      <c r="F135" s="2">
        <f t="shared" si="48"/>
        <v>1500</v>
      </c>
      <c r="G135" s="2">
        <f t="shared" si="4"/>
        <v>8499</v>
      </c>
      <c r="H135" s="2">
        <f t="shared" si="5"/>
        <v>9294</v>
      </c>
      <c r="I135" s="2">
        <f t="shared" si="6"/>
        <v>1772</v>
      </c>
      <c r="J135" s="2">
        <f t="shared" si="7"/>
        <v>1220</v>
      </c>
      <c r="K135" s="2">
        <f t="shared" si="8"/>
        <v>944</v>
      </c>
      <c r="L135" s="2">
        <f t="shared" si="9"/>
        <v>778</v>
      </c>
      <c r="M135" s="2">
        <f t="shared" si="10"/>
        <v>667</v>
      </c>
      <c r="N135" s="2">
        <f t="shared" si="11"/>
        <v>529</v>
      </c>
      <c r="O135" s="2">
        <f t="shared" si="12"/>
        <v>2000</v>
      </c>
      <c r="P135" s="2">
        <f t="shared" si="13"/>
        <v>7999</v>
      </c>
      <c r="Q135" s="2">
        <f t="shared" si="14"/>
        <v>8794</v>
      </c>
      <c r="R135" s="2">
        <f t="shared" si="15"/>
        <v>1677</v>
      </c>
      <c r="S135" s="2">
        <f t="shared" si="16"/>
        <v>1154</v>
      </c>
      <c r="T135" s="2">
        <f t="shared" si="17"/>
        <v>893</v>
      </c>
      <c r="U135" s="2">
        <f t="shared" si="18"/>
        <v>736</v>
      </c>
      <c r="V135" s="2">
        <f t="shared" si="19"/>
        <v>631</v>
      </c>
      <c r="W135" s="2">
        <f t="shared" si="20"/>
        <v>501</v>
      </c>
      <c r="X135" s="2">
        <f t="shared" si="21"/>
        <v>2500</v>
      </c>
      <c r="Y135" s="2">
        <f t="shared" si="22"/>
        <v>7499</v>
      </c>
      <c r="Z135" s="2">
        <f t="shared" si="23"/>
        <v>8294</v>
      </c>
      <c r="AA135" s="2">
        <f t="shared" si="24"/>
        <v>1582</v>
      </c>
      <c r="AB135" s="2">
        <f t="shared" si="25"/>
        <v>1089</v>
      </c>
      <c r="AC135" s="2">
        <f t="shared" si="26"/>
        <v>842</v>
      </c>
      <c r="AD135" s="2">
        <f t="shared" si="27"/>
        <v>694</v>
      </c>
      <c r="AE135" s="2">
        <f t="shared" si="28"/>
        <v>596</v>
      </c>
      <c r="AF135" s="2">
        <f t="shared" si="29"/>
        <v>472</v>
      </c>
      <c r="AG135" s="2">
        <f t="shared" si="30"/>
        <v>3500</v>
      </c>
      <c r="AH135" s="2">
        <f t="shared" si="31"/>
        <v>6499</v>
      </c>
      <c r="AI135" s="2">
        <f t="shared" si="32"/>
        <v>7294</v>
      </c>
      <c r="AJ135" s="2">
        <f t="shared" si="33"/>
        <v>1391</v>
      </c>
      <c r="AK135" s="2">
        <f t="shared" si="34"/>
        <v>957</v>
      </c>
      <c r="AL135" s="2">
        <f t="shared" si="35"/>
        <v>741</v>
      </c>
      <c r="AM135" s="2">
        <f t="shared" si="36"/>
        <v>611</v>
      </c>
      <c r="AN135" s="2">
        <f t="shared" si="37"/>
        <v>524</v>
      </c>
      <c r="AO135" s="2">
        <f t="shared" si="38"/>
        <v>415</v>
      </c>
      <c r="AP135" s="2">
        <f t="shared" si="39"/>
        <v>4000</v>
      </c>
      <c r="AQ135" s="2">
        <f t="shared" si="40"/>
        <v>5999</v>
      </c>
      <c r="AR135" s="2">
        <f t="shared" si="41"/>
        <v>6794</v>
      </c>
      <c r="AS135" s="2">
        <f t="shared" si="42"/>
        <v>1296</v>
      </c>
      <c r="AT135" s="2">
        <f t="shared" si="43"/>
        <v>892</v>
      </c>
      <c r="AU135" s="2">
        <f t="shared" si="44"/>
        <v>690</v>
      </c>
      <c r="AV135" s="2">
        <f t="shared" si="45"/>
        <v>569</v>
      </c>
      <c r="AW135" s="2">
        <f t="shared" si="46"/>
        <v>488</v>
      </c>
      <c r="AX135" s="2" t="str">
        <f t="shared" si="47"/>
        <v>-</v>
      </c>
    </row>
    <row r="136" ht="14.25" customHeight="1">
      <c r="A136" s="2" t="str">
        <f t="array" ref="A136">IFERROR(INDEX('Product Price'!A:A,SMALL('Product Price'!$D:$D,134)),"")</f>
        <v>TECNO POVA8 5G 8/128 GB</v>
      </c>
      <c r="B136" s="2">
        <f t="array" ref="B136">IFERROR(INDEX('Product Price'!B:B,SMALL('Product Price'!$D:$D,134)),"")</f>
        <v>10999</v>
      </c>
      <c r="C136" s="2">
        <f t="array" ref="C136">IFERROR(INDEX('Product Price'!C:C,SMALL('Product Price'!$D:$D,134)),"")</f>
        <v>126</v>
      </c>
      <c r="D136" s="2">
        <f t="shared" si="1"/>
        <v>1450</v>
      </c>
      <c r="E136" s="2">
        <f t="shared" si="2"/>
        <v>12449</v>
      </c>
      <c r="F136" s="2">
        <f t="shared" si="48"/>
        <v>1650</v>
      </c>
      <c r="G136" s="2">
        <f t="shared" si="4"/>
        <v>9349</v>
      </c>
      <c r="H136" s="2">
        <f t="shared" si="5"/>
        <v>10799</v>
      </c>
      <c r="I136" s="2">
        <f t="shared" si="6"/>
        <v>2059</v>
      </c>
      <c r="J136" s="2">
        <f t="shared" si="7"/>
        <v>1417</v>
      </c>
      <c r="K136" s="2">
        <f t="shared" si="8"/>
        <v>1096</v>
      </c>
      <c r="L136" s="2">
        <f t="shared" si="9"/>
        <v>904</v>
      </c>
      <c r="M136" s="2">
        <f t="shared" si="10"/>
        <v>775</v>
      </c>
      <c r="N136" s="2">
        <f t="shared" si="11"/>
        <v>615</v>
      </c>
      <c r="O136" s="2">
        <f t="shared" si="12"/>
        <v>2200</v>
      </c>
      <c r="P136" s="2">
        <f t="shared" si="13"/>
        <v>8799</v>
      </c>
      <c r="Q136" s="2">
        <f t="shared" si="14"/>
        <v>10249</v>
      </c>
      <c r="R136" s="2">
        <f t="shared" si="15"/>
        <v>1954</v>
      </c>
      <c r="S136" s="2">
        <f t="shared" si="16"/>
        <v>1345</v>
      </c>
      <c r="T136" s="2">
        <f t="shared" si="17"/>
        <v>1040</v>
      </c>
      <c r="U136" s="2">
        <f t="shared" si="18"/>
        <v>858</v>
      </c>
      <c r="V136" s="2">
        <f t="shared" si="19"/>
        <v>736</v>
      </c>
      <c r="W136" s="2">
        <f t="shared" si="20"/>
        <v>584</v>
      </c>
      <c r="X136" s="2">
        <f t="shared" si="21"/>
        <v>2750</v>
      </c>
      <c r="Y136" s="2">
        <f t="shared" si="22"/>
        <v>8249</v>
      </c>
      <c r="Z136" s="2">
        <f t="shared" si="23"/>
        <v>9699</v>
      </c>
      <c r="AA136" s="2">
        <f t="shared" si="24"/>
        <v>1850</v>
      </c>
      <c r="AB136" s="2">
        <f t="shared" si="25"/>
        <v>1273</v>
      </c>
      <c r="AC136" s="2">
        <f t="shared" si="26"/>
        <v>985</v>
      </c>
      <c r="AD136" s="2">
        <f t="shared" si="27"/>
        <v>812</v>
      </c>
      <c r="AE136" s="2">
        <f t="shared" si="28"/>
        <v>696</v>
      </c>
      <c r="AF136" s="2">
        <f t="shared" si="29"/>
        <v>552</v>
      </c>
      <c r="AG136" s="2">
        <f t="shared" si="30"/>
        <v>3850</v>
      </c>
      <c r="AH136" s="2">
        <f t="shared" si="31"/>
        <v>7149</v>
      </c>
      <c r="AI136" s="2">
        <f t="shared" si="32"/>
        <v>8599</v>
      </c>
      <c r="AJ136" s="2">
        <f t="shared" si="33"/>
        <v>1640</v>
      </c>
      <c r="AK136" s="2">
        <f t="shared" si="34"/>
        <v>1129</v>
      </c>
      <c r="AL136" s="2">
        <f t="shared" si="35"/>
        <v>873</v>
      </c>
      <c r="AM136" s="2">
        <f t="shared" si="36"/>
        <v>720</v>
      </c>
      <c r="AN136" s="2">
        <f t="shared" si="37"/>
        <v>617</v>
      </c>
      <c r="AO136" s="2">
        <f t="shared" si="38"/>
        <v>490</v>
      </c>
      <c r="AP136" s="2">
        <f t="shared" si="39"/>
        <v>4400</v>
      </c>
      <c r="AQ136" s="2">
        <f t="shared" si="40"/>
        <v>6599</v>
      </c>
      <c r="AR136" s="2">
        <f t="shared" si="41"/>
        <v>8049</v>
      </c>
      <c r="AS136" s="2">
        <f t="shared" si="42"/>
        <v>1535</v>
      </c>
      <c r="AT136" s="2">
        <f t="shared" si="43"/>
        <v>1056</v>
      </c>
      <c r="AU136" s="2">
        <f t="shared" si="44"/>
        <v>817</v>
      </c>
      <c r="AV136" s="2">
        <f t="shared" si="45"/>
        <v>674</v>
      </c>
      <c r="AW136" s="2">
        <f t="shared" si="46"/>
        <v>578</v>
      </c>
      <c r="AX136" s="2">
        <f t="shared" si="47"/>
        <v>458</v>
      </c>
    </row>
    <row r="137" ht="14.25" customHeight="1">
      <c r="A137" s="2" t="str">
        <f t="array" ref="A137">IFERROR(INDEX('Product Price'!A:A,SMALL('Product Price'!$D:$D,135)),"")</f>
        <v>TECNO POVA8 5G 8/256 GB</v>
      </c>
      <c r="B137" s="2">
        <f t="array" ref="B137">IFERROR(INDEX('Product Price'!B:B,SMALL('Product Price'!$D:$D,135)),"")</f>
        <v>11999</v>
      </c>
      <c r="C137" s="2">
        <f t="array" ref="C137">IFERROR(INDEX('Product Price'!C:C,SMALL('Product Price'!$D:$D,135)),"")</f>
        <v>127</v>
      </c>
      <c r="D137" s="2">
        <f t="shared" si="1"/>
        <v>1450</v>
      </c>
      <c r="E137" s="2">
        <f t="shared" si="2"/>
        <v>13449</v>
      </c>
      <c r="F137" s="2">
        <f t="shared" si="48"/>
        <v>1800</v>
      </c>
      <c r="G137" s="2">
        <f t="shared" si="4"/>
        <v>10199</v>
      </c>
      <c r="H137" s="2">
        <f t="shared" si="5"/>
        <v>11649</v>
      </c>
      <c r="I137" s="2">
        <f t="shared" si="6"/>
        <v>2221</v>
      </c>
      <c r="J137" s="2">
        <f t="shared" si="7"/>
        <v>1529</v>
      </c>
      <c r="K137" s="2">
        <f t="shared" si="8"/>
        <v>1183</v>
      </c>
      <c r="L137" s="2">
        <f t="shared" si="9"/>
        <v>975</v>
      </c>
      <c r="M137" s="2">
        <f t="shared" si="10"/>
        <v>836</v>
      </c>
      <c r="N137" s="2">
        <f t="shared" si="11"/>
        <v>663</v>
      </c>
      <c r="O137" s="2">
        <f t="shared" si="12"/>
        <v>2400</v>
      </c>
      <c r="P137" s="2">
        <f t="shared" si="13"/>
        <v>9599</v>
      </c>
      <c r="Q137" s="2">
        <f t="shared" si="14"/>
        <v>11049</v>
      </c>
      <c r="R137" s="2">
        <f t="shared" si="15"/>
        <v>2107</v>
      </c>
      <c r="S137" s="2">
        <f t="shared" si="16"/>
        <v>1450</v>
      </c>
      <c r="T137" s="2">
        <f t="shared" si="17"/>
        <v>1122</v>
      </c>
      <c r="U137" s="2">
        <f t="shared" si="18"/>
        <v>925</v>
      </c>
      <c r="V137" s="2">
        <f t="shared" si="19"/>
        <v>793</v>
      </c>
      <c r="W137" s="2">
        <f t="shared" si="20"/>
        <v>629</v>
      </c>
      <c r="X137" s="2">
        <f t="shared" si="21"/>
        <v>3000</v>
      </c>
      <c r="Y137" s="2">
        <f t="shared" si="22"/>
        <v>8999</v>
      </c>
      <c r="Z137" s="2">
        <f t="shared" si="23"/>
        <v>10449</v>
      </c>
      <c r="AA137" s="2">
        <f t="shared" si="24"/>
        <v>1992</v>
      </c>
      <c r="AB137" s="2">
        <f t="shared" si="25"/>
        <v>1371</v>
      </c>
      <c r="AC137" s="2">
        <f t="shared" si="26"/>
        <v>1061</v>
      </c>
      <c r="AD137" s="2">
        <f t="shared" si="27"/>
        <v>874</v>
      </c>
      <c r="AE137" s="2">
        <f t="shared" si="28"/>
        <v>750</v>
      </c>
      <c r="AF137" s="2">
        <f t="shared" si="29"/>
        <v>595</v>
      </c>
      <c r="AG137" s="2">
        <f t="shared" si="30"/>
        <v>4200</v>
      </c>
      <c r="AH137" s="2">
        <f t="shared" si="31"/>
        <v>7799</v>
      </c>
      <c r="AI137" s="2">
        <f t="shared" si="32"/>
        <v>9249</v>
      </c>
      <c r="AJ137" s="2">
        <f t="shared" si="33"/>
        <v>1764</v>
      </c>
      <c r="AK137" s="2">
        <f t="shared" si="34"/>
        <v>1214</v>
      </c>
      <c r="AL137" s="2">
        <f t="shared" si="35"/>
        <v>939</v>
      </c>
      <c r="AM137" s="2">
        <f t="shared" si="36"/>
        <v>774</v>
      </c>
      <c r="AN137" s="2">
        <f t="shared" si="37"/>
        <v>664</v>
      </c>
      <c r="AO137" s="2">
        <f t="shared" si="38"/>
        <v>527</v>
      </c>
      <c r="AP137" s="2">
        <f t="shared" si="39"/>
        <v>4800</v>
      </c>
      <c r="AQ137" s="2">
        <f t="shared" si="40"/>
        <v>7199</v>
      </c>
      <c r="AR137" s="2">
        <f t="shared" si="41"/>
        <v>8649</v>
      </c>
      <c r="AS137" s="2">
        <f t="shared" si="42"/>
        <v>1649</v>
      </c>
      <c r="AT137" s="2">
        <f t="shared" si="43"/>
        <v>1135</v>
      </c>
      <c r="AU137" s="2">
        <f t="shared" si="44"/>
        <v>878</v>
      </c>
      <c r="AV137" s="2">
        <f t="shared" si="45"/>
        <v>724</v>
      </c>
      <c r="AW137" s="2">
        <f t="shared" si="46"/>
        <v>621</v>
      </c>
      <c r="AX137" s="2">
        <f t="shared" si="47"/>
        <v>493</v>
      </c>
    </row>
    <row r="138" ht="14.25" customHeight="1">
      <c r="A138" s="2" t="str">
        <f t="array" ref="A138">IFERROR(INDEX('Product Price'!A:A,SMALL('Product Price'!$D:$D,136)),"")</f>
        <v>TECNO POVA7 Ultra 5G 12/256 GB</v>
      </c>
      <c r="B138" s="2">
        <f t="array" ref="B138">IFERROR(INDEX('Product Price'!B:B,SMALL('Product Price'!$D:$D,136)),"")</f>
        <v>13999</v>
      </c>
      <c r="C138" s="2">
        <f t="array" ref="C138">IFERROR(INDEX('Product Price'!C:C,SMALL('Product Price'!$D:$D,136)),"")</f>
        <v>117</v>
      </c>
      <c r="D138" s="2">
        <f t="shared" si="1"/>
        <v>1450</v>
      </c>
      <c r="E138" s="2">
        <f t="shared" si="2"/>
        <v>15449</v>
      </c>
      <c r="F138" s="2">
        <f t="shared" si="48"/>
        <v>2100</v>
      </c>
      <c r="G138" s="2">
        <f t="shared" si="4"/>
        <v>11899</v>
      </c>
      <c r="H138" s="2">
        <f t="shared" si="5"/>
        <v>13349</v>
      </c>
      <c r="I138" s="2">
        <f t="shared" si="6"/>
        <v>2545</v>
      </c>
      <c r="J138" s="2">
        <f t="shared" si="7"/>
        <v>1752</v>
      </c>
      <c r="K138" s="2">
        <f t="shared" si="8"/>
        <v>1355</v>
      </c>
      <c r="L138" s="2">
        <f t="shared" si="9"/>
        <v>1117</v>
      </c>
      <c r="M138" s="2">
        <f t="shared" si="10"/>
        <v>958</v>
      </c>
      <c r="N138" s="2">
        <f t="shared" si="11"/>
        <v>760</v>
      </c>
      <c r="O138" s="2">
        <f t="shared" si="12"/>
        <v>2800</v>
      </c>
      <c r="P138" s="2">
        <f t="shared" si="13"/>
        <v>11199</v>
      </c>
      <c r="Q138" s="2">
        <f t="shared" si="14"/>
        <v>12649</v>
      </c>
      <c r="R138" s="2">
        <f t="shared" si="15"/>
        <v>2412</v>
      </c>
      <c r="S138" s="2">
        <f t="shared" si="16"/>
        <v>1660</v>
      </c>
      <c r="T138" s="2">
        <f t="shared" si="17"/>
        <v>1284</v>
      </c>
      <c r="U138" s="2">
        <f t="shared" si="18"/>
        <v>1058</v>
      </c>
      <c r="V138" s="2">
        <f t="shared" si="19"/>
        <v>908</v>
      </c>
      <c r="W138" s="2">
        <f t="shared" si="20"/>
        <v>720</v>
      </c>
      <c r="X138" s="2">
        <f t="shared" si="21"/>
        <v>3500</v>
      </c>
      <c r="Y138" s="2">
        <f t="shared" si="22"/>
        <v>10499</v>
      </c>
      <c r="Z138" s="2">
        <f t="shared" si="23"/>
        <v>11949</v>
      </c>
      <c r="AA138" s="2">
        <f t="shared" si="24"/>
        <v>2278</v>
      </c>
      <c r="AB138" s="2">
        <f t="shared" si="25"/>
        <v>1568</v>
      </c>
      <c r="AC138" s="2">
        <f t="shared" si="26"/>
        <v>1213</v>
      </c>
      <c r="AD138" s="2">
        <f t="shared" si="27"/>
        <v>1000</v>
      </c>
      <c r="AE138" s="2">
        <f t="shared" si="28"/>
        <v>858</v>
      </c>
      <c r="AF138" s="2">
        <f t="shared" si="29"/>
        <v>680</v>
      </c>
      <c r="AG138" s="2">
        <f t="shared" si="30"/>
        <v>4900</v>
      </c>
      <c r="AH138" s="2">
        <f t="shared" si="31"/>
        <v>9099</v>
      </c>
      <c r="AI138" s="2">
        <f t="shared" si="32"/>
        <v>10549</v>
      </c>
      <c r="AJ138" s="2">
        <f t="shared" si="33"/>
        <v>2012</v>
      </c>
      <c r="AK138" s="2">
        <f t="shared" si="34"/>
        <v>1384</v>
      </c>
      <c r="AL138" s="2">
        <f t="shared" si="35"/>
        <v>1071</v>
      </c>
      <c r="AM138" s="2">
        <f t="shared" si="36"/>
        <v>883</v>
      </c>
      <c r="AN138" s="2">
        <f t="shared" si="37"/>
        <v>757</v>
      </c>
      <c r="AO138" s="2">
        <f t="shared" si="38"/>
        <v>601</v>
      </c>
      <c r="AP138" s="2">
        <f t="shared" si="39"/>
        <v>5600</v>
      </c>
      <c r="AQ138" s="2">
        <f t="shared" si="40"/>
        <v>8399</v>
      </c>
      <c r="AR138" s="2">
        <f t="shared" si="41"/>
        <v>9849</v>
      </c>
      <c r="AS138" s="2">
        <f t="shared" si="42"/>
        <v>1878</v>
      </c>
      <c r="AT138" s="2">
        <f t="shared" si="43"/>
        <v>1293</v>
      </c>
      <c r="AU138" s="2">
        <f t="shared" si="44"/>
        <v>1000</v>
      </c>
      <c r="AV138" s="2">
        <f t="shared" si="45"/>
        <v>824</v>
      </c>
      <c r="AW138" s="2">
        <f t="shared" si="46"/>
        <v>707</v>
      </c>
      <c r="AX138" s="2">
        <f t="shared" si="47"/>
        <v>561</v>
      </c>
    </row>
    <row r="139" ht="14.25" customHeight="1">
      <c r="A139" s="2" t="str">
        <f t="array" ref="A139">IFERROR(INDEX('Product Price'!A:A,SMALL('Product Price'!$D:$D,137)),"")</f>
        <v>TECNO POVA7 5G 8/256 GB</v>
      </c>
      <c r="B139" s="2">
        <f t="array" ref="B139">IFERROR(INDEX('Product Price'!B:B,SMALL('Product Price'!$D:$D,137)),"")</f>
        <v>7999</v>
      </c>
      <c r="C139" s="2">
        <f t="array" ref="C139">IFERROR(INDEX('Product Price'!C:C,SMALL('Product Price'!$D:$D,137)),"")</f>
        <v>118</v>
      </c>
      <c r="D139" s="2">
        <f t="shared" si="1"/>
        <v>795</v>
      </c>
      <c r="E139" s="2">
        <f t="shared" si="2"/>
        <v>8794</v>
      </c>
      <c r="F139" s="2">
        <f t="shared" si="48"/>
        <v>1200</v>
      </c>
      <c r="G139" s="2">
        <f t="shared" si="4"/>
        <v>6799</v>
      </c>
      <c r="H139" s="2">
        <f t="shared" si="5"/>
        <v>7594</v>
      </c>
      <c r="I139" s="2">
        <f t="shared" si="6"/>
        <v>1448</v>
      </c>
      <c r="J139" s="2">
        <f t="shared" si="7"/>
        <v>997</v>
      </c>
      <c r="K139" s="2">
        <f t="shared" si="8"/>
        <v>771</v>
      </c>
      <c r="L139" s="2">
        <f t="shared" si="9"/>
        <v>636</v>
      </c>
      <c r="M139" s="2">
        <f t="shared" si="10"/>
        <v>545</v>
      </c>
      <c r="N139" s="2">
        <f t="shared" si="11"/>
        <v>433</v>
      </c>
      <c r="O139" s="2">
        <f t="shared" si="12"/>
        <v>1600</v>
      </c>
      <c r="P139" s="2">
        <f t="shared" si="13"/>
        <v>6399</v>
      </c>
      <c r="Q139" s="2">
        <f t="shared" si="14"/>
        <v>7194</v>
      </c>
      <c r="R139" s="2">
        <f t="shared" si="15"/>
        <v>1372</v>
      </c>
      <c r="S139" s="2">
        <f t="shared" si="16"/>
        <v>944</v>
      </c>
      <c r="T139" s="2">
        <f t="shared" si="17"/>
        <v>730</v>
      </c>
      <c r="U139" s="2">
        <f t="shared" si="18"/>
        <v>602</v>
      </c>
      <c r="V139" s="2">
        <f t="shared" si="19"/>
        <v>517</v>
      </c>
      <c r="W139" s="2">
        <f t="shared" si="20"/>
        <v>410</v>
      </c>
      <c r="X139" s="2">
        <f t="shared" si="21"/>
        <v>2000</v>
      </c>
      <c r="Y139" s="2">
        <f t="shared" si="22"/>
        <v>5999</v>
      </c>
      <c r="Z139" s="2">
        <f t="shared" si="23"/>
        <v>6794</v>
      </c>
      <c r="AA139" s="2">
        <f t="shared" si="24"/>
        <v>1296</v>
      </c>
      <c r="AB139" s="2">
        <f t="shared" si="25"/>
        <v>892</v>
      </c>
      <c r="AC139" s="2">
        <f t="shared" si="26"/>
        <v>690</v>
      </c>
      <c r="AD139" s="2">
        <f t="shared" si="27"/>
        <v>569</v>
      </c>
      <c r="AE139" s="2">
        <f t="shared" si="28"/>
        <v>488</v>
      </c>
      <c r="AF139" s="2" t="str">
        <f t="shared" si="29"/>
        <v>-</v>
      </c>
      <c r="AG139" s="2">
        <f t="shared" si="30"/>
        <v>2800</v>
      </c>
      <c r="AH139" s="2">
        <f t="shared" si="31"/>
        <v>5199</v>
      </c>
      <c r="AI139" s="2">
        <f t="shared" si="32"/>
        <v>5994</v>
      </c>
      <c r="AJ139" s="2">
        <f t="shared" si="33"/>
        <v>1143</v>
      </c>
      <c r="AK139" s="2">
        <f t="shared" si="34"/>
        <v>787</v>
      </c>
      <c r="AL139" s="2">
        <f t="shared" si="35"/>
        <v>609</v>
      </c>
      <c r="AM139" s="2">
        <f t="shared" si="36"/>
        <v>502</v>
      </c>
      <c r="AN139" s="2">
        <f t="shared" si="37"/>
        <v>431</v>
      </c>
      <c r="AO139" s="2" t="str">
        <f t="shared" si="38"/>
        <v>-</v>
      </c>
      <c r="AP139" s="2">
        <f t="shared" si="39"/>
        <v>3200</v>
      </c>
      <c r="AQ139" s="2">
        <f t="shared" si="40"/>
        <v>4799</v>
      </c>
      <c r="AR139" s="2">
        <f t="shared" si="41"/>
        <v>5594</v>
      </c>
      <c r="AS139" s="2">
        <f t="shared" si="42"/>
        <v>1067</v>
      </c>
      <c r="AT139" s="2">
        <f t="shared" si="43"/>
        <v>734</v>
      </c>
      <c r="AU139" s="2">
        <f t="shared" si="44"/>
        <v>568</v>
      </c>
      <c r="AV139" s="2">
        <f t="shared" si="45"/>
        <v>468</v>
      </c>
      <c r="AW139" s="2">
        <f t="shared" si="46"/>
        <v>402</v>
      </c>
      <c r="AX139" s="2" t="str">
        <f t="shared" si="47"/>
        <v>-</v>
      </c>
    </row>
    <row r="140" ht="14.25" customHeight="1">
      <c r="A140" s="2" t="str">
        <f t="array" ref="A140">IFERROR(INDEX('Product Price'!A:A,SMALL('Product Price'!$D:$D,138)),"")</f>
        <v>TECNO SLIM 5G 8/256 GB</v>
      </c>
      <c r="B140" s="2">
        <f t="array" ref="B140">IFERROR(INDEX('Product Price'!B:B,SMALL('Product Price'!$D:$D,138)),"")</f>
        <v>8999</v>
      </c>
      <c r="C140" s="2">
        <f t="array" ref="C140">IFERROR(INDEX('Product Price'!C:C,SMALL('Product Price'!$D:$D,138)),"")</f>
        <v>119</v>
      </c>
      <c r="D140" s="2">
        <f t="shared" si="1"/>
        <v>795</v>
      </c>
      <c r="E140" s="2">
        <f t="shared" si="2"/>
        <v>9794</v>
      </c>
      <c r="F140" s="2">
        <f t="shared" si="48"/>
        <v>1350</v>
      </c>
      <c r="G140" s="2">
        <f t="shared" si="4"/>
        <v>7649</v>
      </c>
      <c r="H140" s="2">
        <f t="shared" si="5"/>
        <v>8444</v>
      </c>
      <c r="I140" s="2">
        <f t="shared" si="6"/>
        <v>1610</v>
      </c>
      <c r="J140" s="2">
        <f t="shared" si="7"/>
        <v>1108</v>
      </c>
      <c r="K140" s="2">
        <f t="shared" si="8"/>
        <v>857</v>
      </c>
      <c r="L140" s="2">
        <f t="shared" si="9"/>
        <v>707</v>
      </c>
      <c r="M140" s="2">
        <f t="shared" si="10"/>
        <v>606</v>
      </c>
      <c r="N140" s="2">
        <f t="shared" si="11"/>
        <v>481</v>
      </c>
      <c r="O140" s="2">
        <f t="shared" si="12"/>
        <v>1800</v>
      </c>
      <c r="P140" s="2">
        <f t="shared" si="13"/>
        <v>7199</v>
      </c>
      <c r="Q140" s="2">
        <f t="shared" si="14"/>
        <v>7994</v>
      </c>
      <c r="R140" s="2">
        <f t="shared" si="15"/>
        <v>1524</v>
      </c>
      <c r="S140" s="2">
        <f t="shared" si="16"/>
        <v>1049</v>
      </c>
      <c r="T140" s="2">
        <f t="shared" si="17"/>
        <v>812</v>
      </c>
      <c r="U140" s="2">
        <f t="shared" si="18"/>
        <v>669</v>
      </c>
      <c r="V140" s="2">
        <f t="shared" si="19"/>
        <v>574</v>
      </c>
      <c r="W140" s="2">
        <f t="shared" si="20"/>
        <v>455</v>
      </c>
      <c r="X140" s="2">
        <f t="shared" si="21"/>
        <v>2250</v>
      </c>
      <c r="Y140" s="2">
        <f t="shared" si="22"/>
        <v>6749</v>
      </c>
      <c r="Z140" s="2">
        <f t="shared" si="23"/>
        <v>7544</v>
      </c>
      <c r="AA140" s="2">
        <f t="shared" si="24"/>
        <v>1439</v>
      </c>
      <c r="AB140" s="2">
        <f t="shared" si="25"/>
        <v>990</v>
      </c>
      <c r="AC140" s="2">
        <f t="shared" si="26"/>
        <v>766</v>
      </c>
      <c r="AD140" s="2">
        <f t="shared" si="27"/>
        <v>631</v>
      </c>
      <c r="AE140" s="2">
        <f t="shared" si="28"/>
        <v>542</v>
      </c>
      <c r="AF140" s="2">
        <f t="shared" si="29"/>
        <v>430</v>
      </c>
      <c r="AG140" s="2">
        <f t="shared" si="30"/>
        <v>3150</v>
      </c>
      <c r="AH140" s="2">
        <f t="shared" si="31"/>
        <v>5849</v>
      </c>
      <c r="AI140" s="2">
        <f t="shared" si="32"/>
        <v>6644</v>
      </c>
      <c r="AJ140" s="2">
        <f t="shared" si="33"/>
        <v>1267</v>
      </c>
      <c r="AK140" s="2">
        <f t="shared" si="34"/>
        <v>872</v>
      </c>
      <c r="AL140" s="2">
        <f t="shared" si="35"/>
        <v>675</v>
      </c>
      <c r="AM140" s="2">
        <f t="shared" si="36"/>
        <v>556</v>
      </c>
      <c r="AN140" s="2">
        <f t="shared" si="37"/>
        <v>477</v>
      </c>
      <c r="AO140" s="2" t="str">
        <f t="shared" si="38"/>
        <v>-</v>
      </c>
      <c r="AP140" s="2">
        <f t="shared" si="39"/>
        <v>3600</v>
      </c>
      <c r="AQ140" s="2">
        <f t="shared" si="40"/>
        <v>5399</v>
      </c>
      <c r="AR140" s="2">
        <f t="shared" si="41"/>
        <v>6194</v>
      </c>
      <c r="AS140" s="2">
        <f t="shared" si="42"/>
        <v>1181</v>
      </c>
      <c r="AT140" s="2">
        <f t="shared" si="43"/>
        <v>813</v>
      </c>
      <c r="AU140" s="2">
        <f t="shared" si="44"/>
        <v>629</v>
      </c>
      <c r="AV140" s="2">
        <f t="shared" si="45"/>
        <v>519</v>
      </c>
      <c r="AW140" s="2">
        <f t="shared" si="46"/>
        <v>445</v>
      </c>
      <c r="AX140" s="2" t="str">
        <f t="shared" si="47"/>
        <v>-</v>
      </c>
    </row>
    <row r="141" ht="14.25" customHeight="1">
      <c r="A141" s="2" t="str">
        <f t="array" ref="A141">IFERROR(INDEX('Product Price'!A:A,SMALL('Product Price'!$D:$D,139)),"")</f>
        <v>TECNO SPARK 50 5G 4/128 GB</v>
      </c>
      <c r="B141" s="2">
        <f t="array" ref="B141">IFERROR(INDEX('Product Price'!B:B,SMALL('Product Price'!$D:$D,139)),"")</f>
        <v>6999</v>
      </c>
      <c r="C141" s="2">
        <f t="array" ref="C141">IFERROR(INDEX('Product Price'!C:C,SMALL('Product Price'!$D:$D,139)),"")</f>
        <v>120</v>
      </c>
      <c r="D141" s="2">
        <f t="shared" si="1"/>
        <v>795</v>
      </c>
      <c r="E141" s="2">
        <f t="shared" si="2"/>
        <v>7794</v>
      </c>
      <c r="F141" s="2">
        <f t="shared" si="48"/>
        <v>1050</v>
      </c>
      <c r="G141" s="2">
        <f t="shared" si="4"/>
        <v>5949</v>
      </c>
      <c r="H141" s="2">
        <f t="shared" si="5"/>
        <v>6744</v>
      </c>
      <c r="I141" s="2">
        <f t="shared" si="6"/>
        <v>1286</v>
      </c>
      <c r="J141" s="2">
        <f t="shared" si="7"/>
        <v>885</v>
      </c>
      <c r="K141" s="2">
        <f t="shared" si="8"/>
        <v>685</v>
      </c>
      <c r="L141" s="2">
        <f t="shared" si="9"/>
        <v>565</v>
      </c>
      <c r="M141" s="2">
        <f t="shared" si="10"/>
        <v>484</v>
      </c>
      <c r="N141" s="2" t="str">
        <f t="shared" si="11"/>
        <v>-</v>
      </c>
      <c r="O141" s="2">
        <f t="shared" si="12"/>
        <v>1400</v>
      </c>
      <c r="P141" s="2">
        <f t="shared" si="13"/>
        <v>5599</v>
      </c>
      <c r="Q141" s="2">
        <f t="shared" si="14"/>
        <v>6394</v>
      </c>
      <c r="R141" s="2">
        <f t="shared" si="15"/>
        <v>1219</v>
      </c>
      <c r="S141" s="2">
        <f t="shared" si="16"/>
        <v>839</v>
      </c>
      <c r="T141" s="2">
        <f t="shared" si="17"/>
        <v>649</v>
      </c>
      <c r="U141" s="2">
        <f t="shared" si="18"/>
        <v>535</v>
      </c>
      <c r="V141" s="2">
        <f t="shared" si="19"/>
        <v>459</v>
      </c>
      <c r="W141" s="2" t="str">
        <f t="shared" si="20"/>
        <v>-</v>
      </c>
      <c r="X141" s="2">
        <f t="shared" si="21"/>
        <v>1750</v>
      </c>
      <c r="Y141" s="2">
        <f t="shared" si="22"/>
        <v>5249</v>
      </c>
      <c r="Z141" s="2">
        <f t="shared" si="23"/>
        <v>6044</v>
      </c>
      <c r="AA141" s="2">
        <f t="shared" si="24"/>
        <v>1153</v>
      </c>
      <c r="AB141" s="2">
        <f t="shared" si="25"/>
        <v>793</v>
      </c>
      <c r="AC141" s="2">
        <f t="shared" si="26"/>
        <v>614</v>
      </c>
      <c r="AD141" s="2">
        <f t="shared" si="27"/>
        <v>506</v>
      </c>
      <c r="AE141" s="2">
        <f t="shared" si="28"/>
        <v>434</v>
      </c>
      <c r="AF141" s="2" t="str">
        <f t="shared" si="29"/>
        <v>-</v>
      </c>
      <c r="AG141" s="2">
        <f t="shared" si="30"/>
        <v>2450</v>
      </c>
      <c r="AH141" s="2">
        <f t="shared" si="31"/>
        <v>4549</v>
      </c>
      <c r="AI141" s="2">
        <f t="shared" si="32"/>
        <v>5344</v>
      </c>
      <c r="AJ141" s="2">
        <f t="shared" si="33"/>
        <v>1019</v>
      </c>
      <c r="AK141" s="2">
        <f t="shared" si="34"/>
        <v>702</v>
      </c>
      <c r="AL141" s="2">
        <f t="shared" si="35"/>
        <v>543</v>
      </c>
      <c r="AM141" s="2">
        <f t="shared" si="36"/>
        <v>447</v>
      </c>
      <c r="AN141" s="2" t="str">
        <f t="shared" si="37"/>
        <v>-</v>
      </c>
      <c r="AO141" s="2" t="str">
        <f t="shared" si="38"/>
        <v>-</v>
      </c>
      <c r="AP141" s="2">
        <f t="shared" si="39"/>
        <v>2800</v>
      </c>
      <c r="AQ141" s="2">
        <f t="shared" si="40"/>
        <v>4199</v>
      </c>
      <c r="AR141" s="2">
        <f t="shared" si="41"/>
        <v>4994</v>
      </c>
      <c r="AS141" s="2">
        <f t="shared" si="42"/>
        <v>953</v>
      </c>
      <c r="AT141" s="2">
        <f t="shared" si="43"/>
        <v>656</v>
      </c>
      <c r="AU141" s="2">
        <f t="shared" si="44"/>
        <v>507</v>
      </c>
      <c r="AV141" s="2">
        <f t="shared" si="45"/>
        <v>418</v>
      </c>
      <c r="AW141" s="2" t="str">
        <f t="shared" si="46"/>
        <v>-</v>
      </c>
      <c r="AX141" s="2" t="str">
        <f t="shared" si="47"/>
        <v>-</v>
      </c>
    </row>
    <row r="142" ht="14.25" customHeight="1">
      <c r="A142" s="2" t="str">
        <f t="array" ref="A142">IFERROR(INDEX('Product Price'!A:A,SMALL('Product Price'!$D:$D,140)),"")</f>
        <v>TECNO SPARK 50 5G 6/128 GB</v>
      </c>
      <c r="B142" s="2">
        <f t="array" ref="B142">IFERROR(INDEX('Product Price'!B:B,SMALL('Product Price'!$D:$D,140)),"")</f>
        <v>7499</v>
      </c>
      <c r="C142" s="2">
        <f t="array" ref="C142">IFERROR(INDEX('Product Price'!C:C,SMALL('Product Price'!$D:$D,140)),"")</f>
        <v>121</v>
      </c>
      <c r="D142" s="2">
        <f t="shared" si="1"/>
        <v>795</v>
      </c>
      <c r="E142" s="2">
        <f t="shared" si="2"/>
        <v>8294</v>
      </c>
      <c r="F142" s="2">
        <f t="shared" si="48"/>
        <v>1125</v>
      </c>
      <c r="G142" s="2">
        <f t="shared" si="4"/>
        <v>6374</v>
      </c>
      <c r="H142" s="2">
        <f t="shared" si="5"/>
        <v>7169</v>
      </c>
      <c r="I142" s="2">
        <f t="shared" si="6"/>
        <v>1367</v>
      </c>
      <c r="J142" s="2">
        <f t="shared" si="7"/>
        <v>941</v>
      </c>
      <c r="K142" s="2">
        <f t="shared" si="8"/>
        <v>728</v>
      </c>
      <c r="L142" s="2">
        <f t="shared" si="9"/>
        <v>600</v>
      </c>
      <c r="M142" s="2">
        <f t="shared" si="10"/>
        <v>515</v>
      </c>
      <c r="N142" s="2">
        <f t="shared" si="11"/>
        <v>408</v>
      </c>
      <c r="O142" s="2">
        <f t="shared" si="12"/>
        <v>1500</v>
      </c>
      <c r="P142" s="2">
        <f t="shared" si="13"/>
        <v>5999</v>
      </c>
      <c r="Q142" s="2">
        <f t="shared" si="14"/>
        <v>6794</v>
      </c>
      <c r="R142" s="2">
        <f t="shared" si="15"/>
        <v>1296</v>
      </c>
      <c r="S142" s="2">
        <f t="shared" si="16"/>
        <v>892</v>
      </c>
      <c r="T142" s="2">
        <f t="shared" si="17"/>
        <v>690</v>
      </c>
      <c r="U142" s="2">
        <f t="shared" si="18"/>
        <v>569</v>
      </c>
      <c r="V142" s="2">
        <f t="shared" si="19"/>
        <v>488</v>
      </c>
      <c r="W142" s="2" t="str">
        <f t="shared" si="20"/>
        <v>-</v>
      </c>
      <c r="X142" s="2">
        <f t="shared" si="21"/>
        <v>1875</v>
      </c>
      <c r="Y142" s="2">
        <f t="shared" si="22"/>
        <v>5624</v>
      </c>
      <c r="Z142" s="2">
        <f t="shared" si="23"/>
        <v>6419</v>
      </c>
      <c r="AA142" s="2">
        <f t="shared" si="24"/>
        <v>1224</v>
      </c>
      <c r="AB142" s="2">
        <f t="shared" si="25"/>
        <v>843</v>
      </c>
      <c r="AC142" s="2">
        <f t="shared" si="26"/>
        <v>652</v>
      </c>
      <c r="AD142" s="2">
        <f t="shared" si="27"/>
        <v>537</v>
      </c>
      <c r="AE142" s="2">
        <f t="shared" si="28"/>
        <v>461</v>
      </c>
      <c r="AF142" s="2" t="str">
        <f t="shared" si="29"/>
        <v>-</v>
      </c>
      <c r="AG142" s="2">
        <f t="shared" si="30"/>
        <v>2625</v>
      </c>
      <c r="AH142" s="2">
        <f t="shared" si="31"/>
        <v>4874</v>
      </c>
      <c r="AI142" s="2">
        <f t="shared" si="32"/>
        <v>5669</v>
      </c>
      <c r="AJ142" s="2">
        <f t="shared" si="33"/>
        <v>1081</v>
      </c>
      <c r="AK142" s="2">
        <f t="shared" si="34"/>
        <v>744</v>
      </c>
      <c r="AL142" s="2">
        <f t="shared" si="35"/>
        <v>576</v>
      </c>
      <c r="AM142" s="2">
        <f t="shared" si="36"/>
        <v>475</v>
      </c>
      <c r="AN142" s="2">
        <f t="shared" si="37"/>
        <v>407</v>
      </c>
      <c r="AO142" s="2" t="str">
        <f t="shared" si="38"/>
        <v>-</v>
      </c>
      <c r="AP142" s="2">
        <f t="shared" si="39"/>
        <v>3000</v>
      </c>
      <c r="AQ142" s="2">
        <f t="shared" si="40"/>
        <v>4499</v>
      </c>
      <c r="AR142" s="2">
        <f t="shared" si="41"/>
        <v>5294</v>
      </c>
      <c r="AS142" s="2">
        <f t="shared" si="42"/>
        <v>1010</v>
      </c>
      <c r="AT142" s="2">
        <f t="shared" si="43"/>
        <v>695</v>
      </c>
      <c r="AU142" s="2">
        <f t="shared" si="44"/>
        <v>538</v>
      </c>
      <c r="AV142" s="2">
        <f t="shared" si="45"/>
        <v>443</v>
      </c>
      <c r="AW142" s="2" t="str">
        <f t="shared" si="46"/>
        <v>-</v>
      </c>
      <c r="AX142" s="2" t="str">
        <f t="shared" si="47"/>
        <v>-</v>
      </c>
    </row>
    <row r="143" ht="14.25" customHeight="1">
      <c r="A143" s="2" t="str">
        <f t="array" ref="A143">IFERROR(INDEX('Product Price'!A:A,SMALL('Product Price'!$D:$D,141)),"")</f>
        <v>TECNO MEGAPAD Pro 8/256 GB</v>
      </c>
      <c r="B143" s="2">
        <f t="array" ref="B143">IFERROR(INDEX('Product Price'!B:B,SMALL('Product Price'!$D:$D,141)),"")</f>
        <v>9999</v>
      </c>
      <c r="C143" s="2">
        <f t="array" ref="C143">IFERROR(INDEX('Product Price'!C:C,SMALL('Product Price'!$D:$D,141)),"")</f>
        <v>128</v>
      </c>
      <c r="D143" s="2">
        <f t="shared" si="1"/>
        <v>795</v>
      </c>
      <c r="E143" s="2">
        <f t="shared" si="2"/>
        <v>10794</v>
      </c>
      <c r="F143" s="2">
        <f t="shared" si="48"/>
        <v>1500</v>
      </c>
      <c r="G143" s="2">
        <f t="shared" si="4"/>
        <v>8499</v>
      </c>
      <c r="H143" s="2">
        <f t="shared" si="5"/>
        <v>9294</v>
      </c>
      <c r="I143" s="2">
        <f t="shared" si="6"/>
        <v>1772</v>
      </c>
      <c r="J143" s="2">
        <f t="shared" si="7"/>
        <v>1220</v>
      </c>
      <c r="K143" s="2">
        <f t="shared" si="8"/>
        <v>944</v>
      </c>
      <c r="L143" s="2">
        <f t="shared" si="9"/>
        <v>778</v>
      </c>
      <c r="M143" s="2">
        <f t="shared" si="10"/>
        <v>667</v>
      </c>
      <c r="N143" s="2">
        <f t="shared" si="11"/>
        <v>529</v>
      </c>
      <c r="O143" s="2">
        <f t="shared" si="12"/>
        <v>2000</v>
      </c>
      <c r="P143" s="2">
        <f t="shared" si="13"/>
        <v>7999</v>
      </c>
      <c r="Q143" s="2">
        <f t="shared" si="14"/>
        <v>8794</v>
      </c>
      <c r="R143" s="2">
        <f t="shared" si="15"/>
        <v>1677</v>
      </c>
      <c r="S143" s="2">
        <f t="shared" si="16"/>
        <v>1154</v>
      </c>
      <c r="T143" s="2">
        <f t="shared" si="17"/>
        <v>893</v>
      </c>
      <c r="U143" s="2">
        <f t="shared" si="18"/>
        <v>736</v>
      </c>
      <c r="V143" s="2">
        <f t="shared" si="19"/>
        <v>631</v>
      </c>
      <c r="W143" s="2">
        <f t="shared" si="20"/>
        <v>501</v>
      </c>
      <c r="X143" s="2">
        <f t="shared" si="21"/>
        <v>2500</v>
      </c>
      <c r="Y143" s="2">
        <f t="shared" si="22"/>
        <v>7499</v>
      </c>
      <c r="Z143" s="2">
        <f t="shared" si="23"/>
        <v>8294</v>
      </c>
      <c r="AA143" s="2">
        <f t="shared" si="24"/>
        <v>1582</v>
      </c>
      <c r="AB143" s="2">
        <f t="shared" si="25"/>
        <v>1089</v>
      </c>
      <c r="AC143" s="2">
        <f t="shared" si="26"/>
        <v>842</v>
      </c>
      <c r="AD143" s="2">
        <f t="shared" si="27"/>
        <v>694</v>
      </c>
      <c r="AE143" s="2">
        <f t="shared" si="28"/>
        <v>596</v>
      </c>
      <c r="AF143" s="2">
        <f t="shared" si="29"/>
        <v>472</v>
      </c>
      <c r="AG143" s="2">
        <f t="shared" si="30"/>
        <v>3500</v>
      </c>
      <c r="AH143" s="2">
        <f t="shared" si="31"/>
        <v>6499</v>
      </c>
      <c r="AI143" s="2">
        <f t="shared" si="32"/>
        <v>7294</v>
      </c>
      <c r="AJ143" s="2">
        <f t="shared" si="33"/>
        <v>1391</v>
      </c>
      <c r="AK143" s="2">
        <f t="shared" si="34"/>
        <v>957</v>
      </c>
      <c r="AL143" s="2">
        <f t="shared" si="35"/>
        <v>741</v>
      </c>
      <c r="AM143" s="2">
        <f t="shared" si="36"/>
        <v>611</v>
      </c>
      <c r="AN143" s="2">
        <f t="shared" si="37"/>
        <v>524</v>
      </c>
      <c r="AO143" s="2">
        <f t="shared" si="38"/>
        <v>415</v>
      </c>
      <c r="AP143" s="2">
        <f t="shared" si="39"/>
        <v>4000</v>
      </c>
      <c r="AQ143" s="2">
        <f t="shared" si="40"/>
        <v>5999</v>
      </c>
      <c r="AR143" s="2">
        <f t="shared" si="41"/>
        <v>6794</v>
      </c>
      <c r="AS143" s="2">
        <f t="shared" si="42"/>
        <v>1296</v>
      </c>
      <c r="AT143" s="2">
        <f t="shared" si="43"/>
        <v>892</v>
      </c>
      <c r="AU143" s="2">
        <f t="shared" si="44"/>
        <v>690</v>
      </c>
      <c r="AV143" s="2">
        <f t="shared" si="45"/>
        <v>569</v>
      </c>
      <c r="AW143" s="2">
        <f t="shared" si="46"/>
        <v>488</v>
      </c>
      <c r="AX143" s="2" t="str">
        <f t="shared" si="47"/>
        <v>-</v>
      </c>
    </row>
    <row r="144" ht="14.25" customHeight="1">
      <c r="A144" s="2" t="str">
        <f t="array" ref="A144">IFERROR(INDEX('Product Price'!A:A,SMALL('Product Price'!$D:$D,142)),"")</f>
        <v>TECNO MEGAPAD Pro 8/128 GB</v>
      </c>
      <c r="B144" s="2">
        <f t="array" ref="B144">IFERROR(INDEX('Product Price'!B:B,SMALL('Product Price'!$D:$D,142)),"")</f>
        <v>9499</v>
      </c>
      <c r="C144" s="2">
        <f t="array" ref="C144">IFERROR(INDEX('Product Price'!C:C,SMALL('Product Price'!$D:$D,142)),"")</f>
        <v>129</v>
      </c>
      <c r="D144" s="2">
        <f t="shared" si="1"/>
        <v>795</v>
      </c>
      <c r="E144" s="2">
        <f t="shared" si="2"/>
        <v>10294</v>
      </c>
      <c r="F144" s="2">
        <f t="shared" si="48"/>
        <v>1425</v>
      </c>
      <c r="G144" s="2">
        <f t="shared" si="4"/>
        <v>8074</v>
      </c>
      <c r="H144" s="2">
        <f t="shared" si="5"/>
        <v>8869</v>
      </c>
      <c r="I144" s="2">
        <f t="shared" si="6"/>
        <v>1691</v>
      </c>
      <c r="J144" s="2">
        <f t="shared" si="7"/>
        <v>1164</v>
      </c>
      <c r="K144" s="2">
        <f t="shared" si="8"/>
        <v>900</v>
      </c>
      <c r="L144" s="2">
        <f t="shared" si="9"/>
        <v>742</v>
      </c>
      <c r="M144" s="2">
        <f t="shared" si="10"/>
        <v>637</v>
      </c>
      <c r="N144" s="2">
        <f t="shared" si="11"/>
        <v>505</v>
      </c>
      <c r="O144" s="2">
        <f t="shared" si="12"/>
        <v>1900</v>
      </c>
      <c r="P144" s="2">
        <f t="shared" si="13"/>
        <v>7599</v>
      </c>
      <c r="Q144" s="2">
        <f t="shared" si="14"/>
        <v>8394</v>
      </c>
      <c r="R144" s="2">
        <f t="shared" si="15"/>
        <v>1601</v>
      </c>
      <c r="S144" s="2">
        <f t="shared" si="16"/>
        <v>1102</v>
      </c>
      <c r="T144" s="2">
        <f t="shared" si="17"/>
        <v>852</v>
      </c>
      <c r="U144" s="2">
        <f t="shared" si="18"/>
        <v>703</v>
      </c>
      <c r="V144" s="2">
        <f t="shared" si="19"/>
        <v>603</v>
      </c>
      <c r="W144" s="2">
        <f t="shared" si="20"/>
        <v>478</v>
      </c>
      <c r="X144" s="2">
        <f t="shared" si="21"/>
        <v>2375</v>
      </c>
      <c r="Y144" s="2">
        <f t="shared" si="22"/>
        <v>7124</v>
      </c>
      <c r="Z144" s="2">
        <f t="shared" si="23"/>
        <v>7919</v>
      </c>
      <c r="AA144" s="2">
        <f t="shared" si="24"/>
        <v>1510</v>
      </c>
      <c r="AB144" s="2">
        <f t="shared" si="25"/>
        <v>1039</v>
      </c>
      <c r="AC144" s="2">
        <f t="shared" si="26"/>
        <v>804</v>
      </c>
      <c r="AD144" s="2">
        <f t="shared" si="27"/>
        <v>663</v>
      </c>
      <c r="AE144" s="2">
        <f t="shared" si="28"/>
        <v>569</v>
      </c>
      <c r="AF144" s="2">
        <f t="shared" si="29"/>
        <v>451</v>
      </c>
      <c r="AG144" s="2">
        <f t="shared" si="30"/>
        <v>3325</v>
      </c>
      <c r="AH144" s="2">
        <f t="shared" si="31"/>
        <v>6174</v>
      </c>
      <c r="AI144" s="2">
        <f t="shared" si="32"/>
        <v>6969</v>
      </c>
      <c r="AJ144" s="2">
        <f t="shared" si="33"/>
        <v>1329</v>
      </c>
      <c r="AK144" s="2">
        <f t="shared" si="34"/>
        <v>915</v>
      </c>
      <c r="AL144" s="2">
        <f t="shared" si="35"/>
        <v>708</v>
      </c>
      <c r="AM144" s="2">
        <f t="shared" si="36"/>
        <v>583</v>
      </c>
      <c r="AN144" s="2">
        <f t="shared" si="37"/>
        <v>501</v>
      </c>
      <c r="AO144" s="2" t="str">
        <f t="shared" si="38"/>
        <v>-</v>
      </c>
      <c r="AP144" s="2">
        <f t="shared" si="39"/>
        <v>3800</v>
      </c>
      <c r="AQ144" s="2">
        <f t="shared" si="40"/>
        <v>5699</v>
      </c>
      <c r="AR144" s="2">
        <f t="shared" si="41"/>
        <v>6494</v>
      </c>
      <c r="AS144" s="2">
        <f t="shared" si="42"/>
        <v>1239</v>
      </c>
      <c r="AT144" s="2">
        <f t="shared" si="43"/>
        <v>852</v>
      </c>
      <c r="AU144" s="2">
        <f t="shared" si="44"/>
        <v>659</v>
      </c>
      <c r="AV144" s="2">
        <f t="shared" si="45"/>
        <v>544</v>
      </c>
      <c r="AW144" s="2">
        <f t="shared" si="46"/>
        <v>466</v>
      </c>
      <c r="AX144" s="2" t="str">
        <f t="shared" si="47"/>
        <v>-</v>
      </c>
    </row>
    <row r="145" ht="14.25" customHeight="1">
      <c r="A145" s="2" t="str">
        <f t="array" ref="A145">IFERROR(INDEX('Product Price'!A:A,SMALL('Product Price'!$D:$D,143)),"")</f>
        <v>TECNO MEGAPAD SE 4/128 GB</v>
      </c>
      <c r="B145" s="2">
        <f t="array" ref="B145">IFERROR(INDEX('Product Price'!B:B,SMALL('Product Price'!$D:$D,143)),"")</f>
        <v>6499</v>
      </c>
      <c r="C145" s="2">
        <f t="array" ref="C145">IFERROR(INDEX('Product Price'!C:C,SMALL('Product Price'!$D:$D,143)),"")</f>
        <v>130</v>
      </c>
      <c r="D145" s="2">
        <f t="shared" si="1"/>
        <v>795</v>
      </c>
      <c r="E145" s="2">
        <f t="shared" si="2"/>
        <v>7294</v>
      </c>
      <c r="F145" s="2">
        <f t="shared" si="48"/>
        <v>975</v>
      </c>
      <c r="G145" s="2">
        <f t="shared" si="4"/>
        <v>5524</v>
      </c>
      <c r="H145" s="2">
        <f t="shared" si="5"/>
        <v>6319</v>
      </c>
      <c r="I145" s="2">
        <f t="shared" si="6"/>
        <v>1205</v>
      </c>
      <c r="J145" s="2">
        <f t="shared" si="7"/>
        <v>830</v>
      </c>
      <c r="K145" s="2">
        <f t="shared" si="8"/>
        <v>642</v>
      </c>
      <c r="L145" s="2">
        <f t="shared" si="9"/>
        <v>529</v>
      </c>
      <c r="M145" s="2">
        <f t="shared" si="10"/>
        <v>454</v>
      </c>
      <c r="N145" s="2" t="str">
        <f t="shared" si="11"/>
        <v>-</v>
      </c>
      <c r="O145" s="2">
        <f t="shared" si="12"/>
        <v>1300</v>
      </c>
      <c r="P145" s="2">
        <f t="shared" si="13"/>
        <v>5199</v>
      </c>
      <c r="Q145" s="2">
        <f t="shared" si="14"/>
        <v>5994</v>
      </c>
      <c r="R145" s="2">
        <f t="shared" si="15"/>
        <v>1143</v>
      </c>
      <c r="S145" s="2">
        <f t="shared" si="16"/>
        <v>787</v>
      </c>
      <c r="T145" s="2">
        <f t="shared" si="17"/>
        <v>609</v>
      </c>
      <c r="U145" s="2">
        <f t="shared" si="18"/>
        <v>502</v>
      </c>
      <c r="V145" s="2">
        <f t="shared" si="19"/>
        <v>431</v>
      </c>
      <c r="W145" s="2" t="str">
        <f t="shared" si="20"/>
        <v>-</v>
      </c>
      <c r="X145" s="2">
        <f t="shared" si="21"/>
        <v>1625</v>
      </c>
      <c r="Y145" s="2">
        <f t="shared" si="22"/>
        <v>4874</v>
      </c>
      <c r="Z145" s="2">
        <f t="shared" si="23"/>
        <v>5669</v>
      </c>
      <c r="AA145" s="2">
        <f t="shared" si="24"/>
        <v>1081</v>
      </c>
      <c r="AB145" s="2">
        <f t="shared" si="25"/>
        <v>744</v>
      </c>
      <c r="AC145" s="2">
        <f t="shared" si="26"/>
        <v>576</v>
      </c>
      <c r="AD145" s="2">
        <f t="shared" si="27"/>
        <v>475</v>
      </c>
      <c r="AE145" s="2">
        <f t="shared" si="28"/>
        <v>407</v>
      </c>
      <c r="AF145" s="2" t="str">
        <f t="shared" si="29"/>
        <v>-</v>
      </c>
      <c r="AG145" s="2">
        <f t="shared" si="30"/>
        <v>2275</v>
      </c>
      <c r="AH145" s="2">
        <f t="shared" si="31"/>
        <v>4224</v>
      </c>
      <c r="AI145" s="2">
        <f t="shared" si="32"/>
        <v>5019</v>
      </c>
      <c r="AJ145" s="2">
        <f t="shared" si="33"/>
        <v>957</v>
      </c>
      <c r="AK145" s="2">
        <f t="shared" si="34"/>
        <v>659</v>
      </c>
      <c r="AL145" s="2">
        <f t="shared" si="35"/>
        <v>510</v>
      </c>
      <c r="AM145" s="2">
        <f t="shared" si="36"/>
        <v>420</v>
      </c>
      <c r="AN145" s="2" t="str">
        <f t="shared" si="37"/>
        <v>-</v>
      </c>
      <c r="AO145" s="2" t="str">
        <f t="shared" si="38"/>
        <v>-</v>
      </c>
      <c r="AP145" s="2">
        <f t="shared" si="39"/>
        <v>2600</v>
      </c>
      <c r="AQ145" s="2">
        <f t="shared" si="40"/>
        <v>3899</v>
      </c>
      <c r="AR145" s="2">
        <f t="shared" si="41"/>
        <v>4694</v>
      </c>
      <c r="AS145" s="2">
        <f t="shared" si="42"/>
        <v>895</v>
      </c>
      <c r="AT145" s="2">
        <f t="shared" si="43"/>
        <v>616</v>
      </c>
      <c r="AU145" s="2">
        <f t="shared" si="44"/>
        <v>477</v>
      </c>
      <c r="AV145" s="2" t="str">
        <f t="shared" si="45"/>
        <v>-</v>
      </c>
      <c r="AW145" s="2" t="str">
        <f t="shared" si="46"/>
        <v>-</v>
      </c>
      <c r="AX145" s="2" t="str">
        <f t="shared" si="47"/>
        <v>-</v>
      </c>
    </row>
    <row r="146" ht="14.25" customHeight="1">
      <c r="A146" s="2" t="str">
        <f t="array" ref="A146">IFERROR(INDEX('Product Price'!A:A,SMALL('Product Price'!$D:$D,144)),"")</f>
        <v>REDMI Note 17 Pro Max 5G 8/512 GB</v>
      </c>
      <c r="B146" s="2">
        <f t="array" ref="B146">IFERROR(INDEX('Product Price'!B:B,SMALL('Product Price'!$D:$D,144)),"")</f>
        <v>19999</v>
      </c>
      <c r="C146" s="2">
        <f t="array" ref="C146">IFERROR(INDEX('Product Price'!C:C,SMALL('Product Price'!$D:$D,144)),"")</f>
        <v>163</v>
      </c>
      <c r="D146" s="2">
        <f t="shared" si="1"/>
        <v>1450</v>
      </c>
      <c r="E146" s="2">
        <f t="shared" si="2"/>
        <v>21449</v>
      </c>
      <c r="F146" s="2">
        <f t="shared" si="48"/>
        <v>3000</v>
      </c>
      <c r="G146" s="2">
        <f t="shared" si="4"/>
        <v>16999</v>
      </c>
      <c r="H146" s="2">
        <f t="shared" si="5"/>
        <v>18449</v>
      </c>
      <c r="I146" s="2">
        <f t="shared" si="6"/>
        <v>3518</v>
      </c>
      <c r="J146" s="2">
        <f t="shared" si="7"/>
        <v>2421</v>
      </c>
      <c r="K146" s="2">
        <f t="shared" si="8"/>
        <v>1873</v>
      </c>
      <c r="L146" s="2">
        <f t="shared" si="9"/>
        <v>1544</v>
      </c>
      <c r="M146" s="2">
        <f t="shared" si="10"/>
        <v>1324</v>
      </c>
      <c r="N146" s="2">
        <f t="shared" si="11"/>
        <v>1050</v>
      </c>
      <c r="O146" s="2">
        <f t="shared" si="12"/>
        <v>4000</v>
      </c>
      <c r="P146" s="2">
        <f t="shared" si="13"/>
        <v>15999</v>
      </c>
      <c r="Q146" s="2">
        <f t="shared" si="14"/>
        <v>17449</v>
      </c>
      <c r="R146" s="2">
        <f t="shared" si="15"/>
        <v>3327</v>
      </c>
      <c r="S146" s="2">
        <f t="shared" si="16"/>
        <v>2290</v>
      </c>
      <c r="T146" s="2">
        <f t="shared" si="17"/>
        <v>1771</v>
      </c>
      <c r="U146" s="2">
        <f t="shared" si="18"/>
        <v>1460</v>
      </c>
      <c r="V146" s="2">
        <f t="shared" si="19"/>
        <v>1252</v>
      </c>
      <c r="W146" s="2">
        <f t="shared" si="20"/>
        <v>993</v>
      </c>
      <c r="X146" s="2">
        <f t="shared" si="21"/>
        <v>5000</v>
      </c>
      <c r="Y146" s="2">
        <f t="shared" si="22"/>
        <v>14999</v>
      </c>
      <c r="Z146" s="2">
        <f t="shared" si="23"/>
        <v>16449</v>
      </c>
      <c r="AA146" s="2">
        <f t="shared" si="24"/>
        <v>3136</v>
      </c>
      <c r="AB146" s="2">
        <f t="shared" si="25"/>
        <v>2159</v>
      </c>
      <c r="AC146" s="2">
        <f t="shared" si="26"/>
        <v>1670</v>
      </c>
      <c r="AD146" s="2">
        <f t="shared" si="27"/>
        <v>1376</v>
      </c>
      <c r="AE146" s="2">
        <f t="shared" si="28"/>
        <v>1181</v>
      </c>
      <c r="AF146" s="2">
        <f t="shared" si="29"/>
        <v>936</v>
      </c>
      <c r="AG146" s="2">
        <f t="shared" si="30"/>
        <v>7000</v>
      </c>
      <c r="AH146" s="2">
        <f t="shared" si="31"/>
        <v>12999</v>
      </c>
      <c r="AI146" s="2">
        <f t="shared" si="32"/>
        <v>14449</v>
      </c>
      <c r="AJ146" s="2">
        <f t="shared" si="33"/>
        <v>2755</v>
      </c>
      <c r="AK146" s="2">
        <f t="shared" si="34"/>
        <v>1896</v>
      </c>
      <c r="AL146" s="2">
        <f t="shared" si="35"/>
        <v>1467</v>
      </c>
      <c r="AM146" s="2">
        <f t="shared" si="36"/>
        <v>1209</v>
      </c>
      <c r="AN146" s="2">
        <f t="shared" si="37"/>
        <v>1037</v>
      </c>
      <c r="AO146" s="2">
        <f t="shared" si="38"/>
        <v>822</v>
      </c>
      <c r="AP146" s="2">
        <f t="shared" si="39"/>
        <v>8000</v>
      </c>
      <c r="AQ146" s="2">
        <f t="shared" si="40"/>
        <v>11999</v>
      </c>
      <c r="AR146" s="2">
        <f t="shared" si="41"/>
        <v>13449</v>
      </c>
      <c r="AS146" s="2">
        <f t="shared" si="42"/>
        <v>2564</v>
      </c>
      <c r="AT146" s="2">
        <f t="shared" si="43"/>
        <v>1765</v>
      </c>
      <c r="AU146" s="2">
        <f t="shared" si="44"/>
        <v>1365</v>
      </c>
      <c r="AV146" s="2">
        <f t="shared" si="45"/>
        <v>1125</v>
      </c>
      <c r="AW146" s="2">
        <f t="shared" si="46"/>
        <v>965</v>
      </c>
      <c r="AX146" s="2">
        <f t="shared" si="47"/>
        <v>766</v>
      </c>
    </row>
    <row r="147" ht="14.25" customHeight="1">
      <c r="A147" s="2" t="str">
        <f t="array" ref="A147">IFERROR(INDEX('Product Price'!A:A,SMALL('Product Price'!$D:$D,145)),"")</f>
        <v>REDMI Note 17 Pro Max 5G 8/256 GB</v>
      </c>
      <c r="B147" s="2">
        <f t="array" ref="B147">IFERROR(INDEX('Product Price'!B:B,SMALL('Product Price'!$D:$D,145)),"")</f>
        <v>17999</v>
      </c>
      <c r="C147" s="2">
        <f t="array" ref="C147">IFERROR(INDEX('Product Price'!C:C,SMALL('Product Price'!$D:$D,145)),"")</f>
        <v>164</v>
      </c>
      <c r="D147" s="2">
        <f t="shared" si="1"/>
        <v>1450</v>
      </c>
      <c r="E147" s="2">
        <f t="shared" si="2"/>
        <v>19449</v>
      </c>
      <c r="F147" s="2">
        <f t="shared" si="48"/>
        <v>2700</v>
      </c>
      <c r="G147" s="2">
        <f t="shared" si="4"/>
        <v>15299</v>
      </c>
      <c r="H147" s="2">
        <f t="shared" si="5"/>
        <v>16749</v>
      </c>
      <c r="I147" s="2">
        <f t="shared" si="6"/>
        <v>3194</v>
      </c>
      <c r="J147" s="2">
        <f t="shared" si="7"/>
        <v>2198</v>
      </c>
      <c r="K147" s="2">
        <f t="shared" si="8"/>
        <v>1700</v>
      </c>
      <c r="L147" s="2">
        <f t="shared" si="9"/>
        <v>1401</v>
      </c>
      <c r="M147" s="2">
        <f t="shared" si="10"/>
        <v>1202</v>
      </c>
      <c r="N147" s="2">
        <f t="shared" si="11"/>
        <v>953</v>
      </c>
      <c r="O147" s="2">
        <f t="shared" si="12"/>
        <v>3600</v>
      </c>
      <c r="P147" s="2">
        <f t="shared" si="13"/>
        <v>14399</v>
      </c>
      <c r="Q147" s="2">
        <f t="shared" si="14"/>
        <v>15849</v>
      </c>
      <c r="R147" s="2">
        <f t="shared" si="15"/>
        <v>3022</v>
      </c>
      <c r="S147" s="2">
        <f t="shared" si="16"/>
        <v>2080</v>
      </c>
      <c r="T147" s="2">
        <f t="shared" si="17"/>
        <v>1609</v>
      </c>
      <c r="U147" s="2">
        <f t="shared" si="18"/>
        <v>1326</v>
      </c>
      <c r="V147" s="2">
        <f t="shared" si="19"/>
        <v>1138</v>
      </c>
      <c r="W147" s="2">
        <f t="shared" si="20"/>
        <v>902</v>
      </c>
      <c r="X147" s="2">
        <f t="shared" si="21"/>
        <v>4500</v>
      </c>
      <c r="Y147" s="2">
        <f t="shared" si="22"/>
        <v>13499</v>
      </c>
      <c r="Z147" s="2">
        <f t="shared" si="23"/>
        <v>14949</v>
      </c>
      <c r="AA147" s="2">
        <f t="shared" si="24"/>
        <v>2850</v>
      </c>
      <c r="AB147" s="2">
        <f t="shared" si="25"/>
        <v>1962</v>
      </c>
      <c r="AC147" s="2">
        <f t="shared" si="26"/>
        <v>1517</v>
      </c>
      <c r="AD147" s="2">
        <f t="shared" si="27"/>
        <v>1251</v>
      </c>
      <c r="AE147" s="2">
        <f t="shared" si="28"/>
        <v>1073</v>
      </c>
      <c r="AF147" s="2">
        <f t="shared" si="29"/>
        <v>851</v>
      </c>
      <c r="AG147" s="2">
        <f t="shared" si="30"/>
        <v>6300</v>
      </c>
      <c r="AH147" s="2">
        <f t="shared" si="31"/>
        <v>11699</v>
      </c>
      <c r="AI147" s="2">
        <f t="shared" si="32"/>
        <v>13149</v>
      </c>
      <c r="AJ147" s="2">
        <f t="shared" si="33"/>
        <v>2507</v>
      </c>
      <c r="AK147" s="2">
        <f t="shared" si="34"/>
        <v>1726</v>
      </c>
      <c r="AL147" s="2">
        <f t="shared" si="35"/>
        <v>1335</v>
      </c>
      <c r="AM147" s="2">
        <f t="shared" si="36"/>
        <v>1100</v>
      </c>
      <c r="AN147" s="2">
        <f t="shared" si="37"/>
        <v>944</v>
      </c>
      <c r="AO147" s="2">
        <f t="shared" si="38"/>
        <v>749</v>
      </c>
      <c r="AP147" s="2">
        <f t="shared" si="39"/>
        <v>7200</v>
      </c>
      <c r="AQ147" s="2">
        <f t="shared" si="40"/>
        <v>10799</v>
      </c>
      <c r="AR147" s="2">
        <f t="shared" si="41"/>
        <v>12249</v>
      </c>
      <c r="AS147" s="2">
        <f t="shared" si="42"/>
        <v>2336</v>
      </c>
      <c r="AT147" s="2">
        <f t="shared" si="43"/>
        <v>1607</v>
      </c>
      <c r="AU147" s="2">
        <f t="shared" si="44"/>
        <v>1243</v>
      </c>
      <c r="AV147" s="2">
        <f t="shared" si="45"/>
        <v>1025</v>
      </c>
      <c r="AW147" s="2">
        <f t="shared" si="46"/>
        <v>879</v>
      </c>
      <c r="AX147" s="2">
        <f t="shared" si="47"/>
        <v>697</v>
      </c>
    </row>
    <row r="148" ht="14.25" customHeight="1">
      <c r="A148" s="2" t="str">
        <f t="array" ref="A148">IFERROR(INDEX('Product Price'!A:A,SMALL('Product Price'!$D:$D,146)),"")</f>
        <v>REDMI Note 17 Pro 5G 8/256 GB</v>
      </c>
      <c r="B148" s="2">
        <f t="array" ref="B148">IFERROR(INDEX('Product Price'!B:B,SMALL('Product Price'!$D:$D,146)),"")</f>
        <v>15999</v>
      </c>
      <c r="C148" s="2">
        <f t="array" ref="C148">IFERROR(INDEX('Product Price'!C:C,SMALL('Product Price'!$D:$D,146)),"")</f>
        <v>165</v>
      </c>
      <c r="D148" s="2">
        <f t="shared" si="1"/>
        <v>1450</v>
      </c>
      <c r="E148" s="2">
        <f t="shared" si="2"/>
        <v>17449</v>
      </c>
      <c r="F148" s="2">
        <f t="shared" si="48"/>
        <v>2400</v>
      </c>
      <c r="G148" s="2">
        <f t="shared" si="4"/>
        <v>13599</v>
      </c>
      <c r="H148" s="2">
        <f t="shared" si="5"/>
        <v>15049</v>
      </c>
      <c r="I148" s="2">
        <f t="shared" si="6"/>
        <v>2869</v>
      </c>
      <c r="J148" s="2">
        <f t="shared" si="7"/>
        <v>1975</v>
      </c>
      <c r="K148" s="2">
        <f t="shared" si="8"/>
        <v>1528</v>
      </c>
      <c r="L148" s="2">
        <f t="shared" si="9"/>
        <v>1259</v>
      </c>
      <c r="M148" s="2">
        <f t="shared" si="10"/>
        <v>1080</v>
      </c>
      <c r="N148" s="2">
        <f t="shared" si="11"/>
        <v>857</v>
      </c>
      <c r="O148" s="2">
        <f t="shared" si="12"/>
        <v>3200</v>
      </c>
      <c r="P148" s="2">
        <f t="shared" si="13"/>
        <v>12799</v>
      </c>
      <c r="Q148" s="2">
        <f t="shared" si="14"/>
        <v>14249</v>
      </c>
      <c r="R148" s="2">
        <f t="shared" si="15"/>
        <v>2717</v>
      </c>
      <c r="S148" s="2">
        <f t="shared" si="16"/>
        <v>1870</v>
      </c>
      <c r="T148" s="2">
        <f t="shared" si="17"/>
        <v>1446</v>
      </c>
      <c r="U148" s="2">
        <f t="shared" si="18"/>
        <v>1192</v>
      </c>
      <c r="V148" s="2">
        <f t="shared" si="19"/>
        <v>1023</v>
      </c>
      <c r="W148" s="2">
        <f t="shared" si="20"/>
        <v>811</v>
      </c>
      <c r="X148" s="2">
        <f t="shared" si="21"/>
        <v>4000</v>
      </c>
      <c r="Y148" s="2">
        <f t="shared" si="22"/>
        <v>11999</v>
      </c>
      <c r="Z148" s="2">
        <f t="shared" si="23"/>
        <v>13449</v>
      </c>
      <c r="AA148" s="2">
        <f t="shared" si="24"/>
        <v>2564</v>
      </c>
      <c r="AB148" s="2">
        <f t="shared" si="25"/>
        <v>1765</v>
      </c>
      <c r="AC148" s="2">
        <f t="shared" si="26"/>
        <v>1365</v>
      </c>
      <c r="AD148" s="2">
        <f t="shared" si="27"/>
        <v>1125</v>
      </c>
      <c r="AE148" s="2">
        <f t="shared" si="28"/>
        <v>965</v>
      </c>
      <c r="AF148" s="2">
        <f t="shared" si="29"/>
        <v>766</v>
      </c>
      <c r="AG148" s="2">
        <f t="shared" si="30"/>
        <v>5600</v>
      </c>
      <c r="AH148" s="2">
        <f t="shared" si="31"/>
        <v>10399</v>
      </c>
      <c r="AI148" s="2">
        <f t="shared" si="32"/>
        <v>11849</v>
      </c>
      <c r="AJ148" s="2">
        <f t="shared" si="33"/>
        <v>2259</v>
      </c>
      <c r="AK148" s="2">
        <f t="shared" si="34"/>
        <v>1555</v>
      </c>
      <c r="AL148" s="2">
        <f t="shared" si="35"/>
        <v>1203</v>
      </c>
      <c r="AM148" s="2">
        <f t="shared" si="36"/>
        <v>992</v>
      </c>
      <c r="AN148" s="2">
        <f t="shared" si="37"/>
        <v>851</v>
      </c>
      <c r="AO148" s="2">
        <f t="shared" si="38"/>
        <v>675</v>
      </c>
      <c r="AP148" s="2">
        <f t="shared" si="39"/>
        <v>6400</v>
      </c>
      <c r="AQ148" s="2">
        <f t="shared" si="40"/>
        <v>9599</v>
      </c>
      <c r="AR148" s="2">
        <f t="shared" si="41"/>
        <v>11049</v>
      </c>
      <c r="AS148" s="2">
        <f t="shared" si="42"/>
        <v>2107</v>
      </c>
      <c r="AT148" s="2">
        <f t="shared" si="43"/>
        <v>1450</v>
      </c>
      <c r="AU148" s="2">
        <f t="shared" si="44"/>
        <v>1122</v>
      </c>
      <c r="AV148" s="2">
        <f t="shared" si="45"/>
        <v>925</v>
      </c>
      <c r="AW148" s="2">
        <f t="shared" si="46"/>
        <v>793</v>
      </c>
      <c r="AX148" s="2">
        <f t="shared" si="47"/>
        <v>629</v>
      </c>
    </row>
    <row r="149" ht="14.25" customHeight="1">
      <c r="A149" s="2" t="str">
        <f t="array" ref="A149">IFERROR(INDEX('Product Price'!A:A,SMALL('Product Price'!$D:$D,147)),"")</f>
        <v>REDMI Note 17 Pro 5G 6/256 GB</v>
      </c>
      <c r="B149" s="2">
        <f t="array" ref="B149">IFERROR(INDEX('Product Price'!B:B,SMALL('Product Price'!$D:$D,147)),"")</f>
        <v>14999</v>
      </c>
      <c r="C149" s="2">
        <f t="array" ref="C149">IFERROR(INDEX('Product Price'!C:C,SMALL('Product Price'!$D:$D,147)),"")</f>
        <v>166</v>
      </c>
      <c r="D149" s="2">
        <f t="shared" si="1"/>
        <v>1450</v>
      </c>
      <c r="E149" s="2">
        <f t="shared" si="2"/>
        <v>16449</v>
      </c>
      <c r="F149" s="2">
        <f t="shared" si="48"/>
        <v>2250</v>
      </c>
      <c r="G149" s="2">
        <f t="shared" si="4"/>
        <v>12749</v>
      </c>
      <c r="H149" s="2">
        <f t="shared" si="5"/>
        <v>14199</v>
      </c>
      <c r="I149" s="2">
        <f t="shared" si="6"/>
        <v>2707</v>
      </c>
      <c r="J149" s="2">
        <f t="shared" si="7"/>
        <v>1863</v>
      </c>
      <c r="K149" s="2">
        <f t="shared" si="8"/>
        <v>1441</v>
      </c>
      <c r="L149" s="2">
        <f t="shared" si="9"/>
        <v>1188</v>
      </c>
      <c r="M149" s="2">
        <f t="shared" si="10"/>
        <v>1019</v>
      </c>
      <c r="N149" s="2">
        <f t="shared" si="11"/>
        <v>808</v>
      </c>
      <c r="O149" s="2">
        <f t="shared" si="12"/>
        <v>3000</v>
      </c>
      <c r="P149" s="2">
        <f t="shared" si="13"/>
        <v>11999</v>
      </c>
      <c r="Q149" s="2">
        <f t="shared" si="14"/>
        <v>13449</v>
      </c>
      <c r="R149" s="2">
        <f t="shared" si="15"/>
        <v>2564</v>
      </c>
      <c r="S149" s="2">
        <f t="shared" si="16"/>
        <v>1765</v>
      </c>
      <c r="T149" s="2">
        <f t="shared" si="17"/>
        <v>1365</v>
      </c>
      <c r="U149" s="2">
        <f t="shared" si="18"/>
        <v>1125</v>
      </c>
      <c r="V149" s="2">
        <f t="shared" si="19"/>
        <v>965</v>
      </c>
      <c r="W149" s="2">
        <f t="shared" si="20"/>
        <v>766</v>
      </c>
      <c r="X149" s="2">
        <f t="shared" si="21"/>
        <v>3750</v>
      </c>
      <c r="Y149" s="2">
        <f t="shared" si="22"/>
        <v>11249</v>
      </c>
      <c r="Z149" s="2">
        <f t="shared" si="23"/>
        <v>12699</v>
      </c>
      <c r="AA149" s="2">
        <f t="shared" si="24"/>
        <v>2421</v>
      </c>
      <c r="AB149" s="2">
        <f t="shared" si="25"/>
        <v>1667</v>
      </c>
      <c r="AC149" s="2">
        <f t="shared" si="26"/>
        <v>1289</v>
      </c>
      <c r="AD149" s="2">
        <f t="shared" si="27"/>
        <v>1063</v>
      </c>
      <c r="AE149" s="2">
        <f t="shared" si="28"/>
        <v>912</v>
      </c>
      <c r="AF149" s="2">
        <f t="shared" si="29"/>
        <v>723</v>
      </c>
      <c r="AG149" s="2">
        <f t="shared" si="30"/>
        <v>5250</v>
      </c>
      <c r="AH149" s="2">
        <f t="shared" si="31"/>
        <v>9749</v>
      </c>
      <c r="AI149" s="2">
        <f t="shared" si="32"/>
        <v>11199</v>
      </c>
      <c r="AJ149" s="2">
        <f t="shared" si="33"/>
        <v>2135</v>
      </c>
      <c r="AK149" s="2">
        <f t="shared" si="34"/>
        <v>1470</v>
      </c>
      <c r="AL149" s="2">
        <f t="shared" si="35"/>
        <v>1137</v>
      </c>
      <c r="AM149" s="2">
        <f t="shared" si="36"/>
        <v>937</v>
      </c>
      <c r="AN149" s="2">
        <f t="shared" si="37"/>
        <v>804</v>
      </c>
      <c r="AO149" s="2">
        <f t="shared" si="38"/>
        <v>638</v>
      </c>
      <c r="AP149" s="2">
        <f t="shared" si="39"/>
        <v>6000</v>
      </c>
      <c r="AQ149" s="2">
        <f t="shared" si="40"/>
        <v>8999</v>
      </c>
      <c r="AR149" s="2">
        <f t="shared" si="41"/>
        <v>10449</v>
      </c>
      <c r="AS149" s="2">
        <f t="shared" si="42"/>
        <v>1992</v>
      </c>
      <c r="AT149" s="2">
        <f t="shared" si="43"/>
        <v>1371</v>
      </c>
      <c r="AU149" s="2">
        <f t="shared" si="44"/>
        <v>1061</v>
      </c>
      <c r="AV149" s="2">
        <f t="shared" si="45"/>
        <v>874</v>
      </c>
      <c r="AW149" s="2">
        <f t="shared" si="46"/>
        <v>750</v>
      </c>
      <c r="AX149" s="2">
        <f t="shared" si="47"/>
        <v>595</v>
      </c>
    </row>
    <row r="150" ht="14.25" customHeight="1">
      <c r="A150" s="2" t="str">
        <f t="array" ref="A150">IFERROR(INDEX('Product Price'!A:A,SMALL('Product Price'!$D:$D,148)),"")</f>
        <v>REDMI Note 17 5G 8/256 GB</v>
      </c>
      <c r="B150" s="2">
        <f t="array" ref="B150">IFERROR(INDEX('Product Price'!B:B,SMALL('Product Price'!$D:$D,148)),"")</f>
        <v>12999</v>
      </c>
      <c r="C150" s="2">
        <f t="array" ref="C150">IFERROR(INDEX('Product Price'!C:C,SMALL('Product Price'!$D:$D,148)),"")</f>
        <v>167</v>
      </c>
      <c r="D150" s="2">
        <f t="shared" si="1"/>
        <v>1450</v>
      </c>
      <c r="E150" s="2">
        <f t="shared" si="2"/>
        <v>14449</v>
      </c>
      <c r="F150" s="2">
        <f t="shared" si="48"/>
        <v>1950</v>
      </c>
      <c r="G150" s="2">
        <f t="shared" si="4"/>
        <v>11049</v>
      </c>
      <c r="H150" s="2">
        <f t="shared" si="5"/>
        <v>12499</v>
      </c>
      <c r="I150" s="2">
        <f t="shared" si="6"/>
        <v>2383</v>
      </c>
      <c r="J150" s="2">
        <f t="shared" si="7"/>
        <v>1640</v>
      </c>
      <c r="K150" s="2">
        <f t="shared" si="8"/>
        <v>1269</v>
      </c>
      <c r="L150" s="2">
        <f t="shared" si="9"/>
        <v>1046</v>
      </c>
      <c r="M150" s="2">
        <f t="shared" si="10"/>
        <v>897</v>
      </c>
      <c r="N150" s="2">
        <f t="shared" si="11"/>
        <v>712</v>
      </c>
      <c r="O150" s="2">
        <f t="shared" si="12"/>
        <v>2600</v>
      </c>
      <c r="P150" s="2">
        <f t="shared" si="13"/>
        <v>10399</v>
      </c>
      <c r="Q150" s="2">
        <f t="shared" si="14"/>
        <v>11849</v>
      </c>
      <c r="R150" s="2">
        <f t="shared" si="15"/>
        <v>2259</v>
      </c>
      <c r="S150" s="2">
        <f t="shared" si="16"/>
        <v>1555</v>
      </c>
      <c r="T150" s="2">
        <f t="shared" si="17"/>
        <v>1203</v>
      </c>
      <c r="U150" s="2">
        <f t="shared" si="18"/>
        <v>992</v>
      </c>
      <c r="V150" s="2">
        <f t="shared" si="19"/>
        <v>851</v>
      </c>
      <c r="W150" s="2">
        <f t="shared" si="20"/>
        <v>675</v>
      </c>
      <c r="X150" s="2">
        <f t="shared" si="21"/>
        <v>3250</v>
      </c>
      <c r="Y150" s="2">
        <f t="shared" si="22"/>
        <v>9749</v>
      </c>
      <c r="Z150" s="2">
        <f t="shared" si="23"/>
        <v>11199</v>
      </c>
      <c r="AA150" s="2">
        <f t="shared" si="24"/>
        <v>2135</v>
      </c>
      <c r="AB150" s="2">
        <f t="shared" si="25"/>
        <v>1470</v>
      </c>
      <c r="AC150" s="2">
        <f t="shared" si="26"/>
        <v>1137</v>
      </c>
      <c r="AD150" s="2">
        <f t="shared" si="27"/>
        <v>937</v>
      </c>
      <c r="AE150" s="2">
        <f t="shared" si="28"/>
        <v>804</v>
      </c>
      <c r="AF150" s="2">
        <f t="shared" si="29"/>
        <v>638</v>
      </c>
      <c r="AG150" s="2">
        <f t="shared" si="30"/>
        <v>4550</v>
      </c>
      <c r="AH150" s="2">
        <f t="shared" si="31"/>
        <v>8449</v>
      </c>
      <c r="AI150" s="2">
        <f t="shared" si="32"/>
        <v>9899</v>
      </c>
      <c r="AJ150" s="2">
        <f t="shared" si="33"/>
        <v>1888</v>
      </c>
      <c r="AK150" s="2">
        <f t="shared" si="34"/>
        <v>1299</v>
      </c>
      <c r="AL150" s="2">
        <f t="shared" si="35"/>
        <v>1005</v>
      </c>
      <c r="AM150" s="2">
        <f t="shared" si="36"/>
        <v>828</v>
      </c>
      <c r="AN150" s="2">
        <f t="shared" si="37"/>
        <v>711</v>
      </c>
      <c r="AO150" s="2">
        <f t="shared" si="38"/>
        <v>564</v>
      </c>
      <c r="AP150" s="2">
        <f t="shared" si="39"/>
        <v>5200</v>
      </c>
      <c r="AQ150" s="2">
        <f t="shared" si="40"/>
        <v>7799</v>
      </c>
      <c r="AR150" s="2">
        <f t="shared" si="41"/>
        <v>9249</v>
      </c>
      <c r="AS150" s="2">
        <f t="shared" si="42"/>
        <v>1764</v>
      </c>
      <c r="AT150" s="2">
        <f t="shared" si="43"/>
        <v>1214</v>
      </c>
      <c r="AU150" s="2">
        <f t="shared" si="44"/>
        <v>939</v>
      </c>
      <c r="AV150" s="2">
        <f t="shared" si="45"/>
        <v>774</v>
      </c>
      <c r="AW150" s="2">
        <f t="shared" si="46"/>
        <v>664</v>
      </c>
      <c r="AX150" s="2">
        <f t="shared" si="47"/>
        <v>527</v>
      </c>
    </row>
    <row r="151" ht="14.25" customHeight="1">
      <c r="A151" s="2" t="str">
        <f t="array" ref="A151">IFERROR(INDEX('Product Price'!A:A,SMALL('Product Price'!$D:$D,149)),"")</f>
        <v>REDMI Note 17 5G 6/256 GB</v>
      </c>
      <c r="B151" s="2">
        <f t="array" ref="B151">IFERROR(INDEX('Product Price'!B:B,SMALL('Product Price'!$D:$D,149)),"")</f>
        <v>11999</v>
      </c>
      <c r="C151" s="2">
        <f t="array" ref="C151">IFERROR(INDEX('Product Price'!C:C,SMALL('Product Price'!$D:$D,149)),"")</f>
        <v>168</v>
      </c>
      <c r="D151" s="2">
        <f t="shared" si="1"/>
        <v>1450</v>
      </c>
      <c r="E151" s="2">
        <f t="shared" si="2"/>
        <v>13449</v>
      </c>
      <c r="F151" s="2">
        <f t="shared" si="48"/>
        <v>1800</v>
      </c>
      <c r="G151" s="2">
        <f t="shared" si="4"/>
        <v>10199</v>
      </c>
      <c r="H151" s="2">
        <f t="shared" si="5"/>
        <v>11649</v>
      </c>
      <c r="I151" s="2">
        <f t="shared" si="6"/>
        <v>2221</v>
      </c>
      <c r="J151" s="2">
        <f t="shared" si="7"/>
        <v>1529</v>
      </c>
      <c r="K151" s="2">
        <f t="shared" si="8"/>
        <v>1183</v>
      </c>
      <c r="L151" s="2">
        <f t="shared" si="9"/>
        <v>975</v>
      </c>
      <c r="M151" s="2">
        <f t="shared" si="10"/>
        <v>836</v>
      </c>
      <c r="N151" s="2">
        <f t="shared" si="11"/>
        <v>663</v>
      </c>
      <c r="O151" s="2">
        <f t="shared" si="12"/>
        <v>2400</v>
      </c>
      <c r="P151" s="2">
        <f t="shared" si="13"/>
        <v>9599</v>
      </c>
      <c r="Q151" s="2">
        <f t="shared" si="14"/>
        <v>11049</v>
      </c>
      <c r="R151" s="2">
        <f t="shared" si="15"/>
        <v>2107</v>
      </c>
      <c r="S151" s="2">
        <f t="shared" si="16"/>
        <v>1450</v>
      </c>
      <c r="T151" s="2">
        <f t="shared" si="17"/>
        <v>1122</v>
      </c>
      <c r="U151" s="2">
        <f t="shared" si="18"/>
        <v>925</v>
      </c>
      <c r="V151" s="2">
        <f t="shared" si="19"/>
        <v>793</v>
      </c>
      <c r="W151" s="2">
        <f t="shared" si="20"/>
        <v>629</v>
      </c>
      <c r="X151" s="2">
        <f t="shared" si="21"/>
        <v>3000</v>
      </c>
      <c r="Y151" s="2">
        <f t="shared" si="22"/>
        <v>8999</v>
      </c>
      <c r="Z151" s="2">
        <f t="shared" si="23"/>
        <v>10449</v>
      </c>
      <c r="AA151" s="2">
        <f t="shared" si="24"/>
        <v>1992</v>
      </c>
      <c r="AB151" s="2">
        <f t="shared" si="25"/>
        <v>1371</v>
      </c>
      <c r="AC151" s="2">
        <f t="shared" si="26"/>
        <v>1061</v>
      </c>
      <c r="AD151" s="2">
        <f t="shared" si="27"/>
        <v>874</v>
      </c>
      <c r="AE151" s="2">
        <f t="shared" si="28"/>
        <v>750</v>
      </c>
      <c r="AF151" s="2">
        <f t="shared" si="29"/>
        <v>595</v>
      </c>
      <c r="AG151" s="2">
        <f t="shared" si="30"/>
        <v>4200</v>
      </c>
      <c r="AH151" s="2">
        <f t="shared" si="31"/>
        <v>7799</v>
      </c>
      <c r="AI151" s="2">
        <f t="shared" si="32"/>
        <v>9249</v>
      </c>
      <c r="AJ151" s="2">
        <f t="shared" si="33"/>
        <v>1764</v>
      </c>
      <c r="AK151" s="2">
        <f t="shared" si="34"/>
        <v>1214</v>
      </c>
      <c r="AL151" s="2">
        <f t="shared" si="35"/>
        <v>939</v>
      </c>
      <c r="AM151" s="2">
        <f t="shared" si="36"/>
        <v>774</v>
      </c>
      <c r="AN151" s="2">
        <f t="shared" si="37"/>
        <v>664</v>
      </c>
      <c r="AO151" s="2">
        <f t="shared" si="38"/>
        <v>527</v>
      </c>
      <c r="AP151" s="2">
        <f t="shared" si="39"/>
        <v>4800</v>
      </c>
      <c r="AQ151" s="2">
        <f t="shared" si="40"/>
        <v>7199</v>
      </c>
      <c r="AR151" s="2">
        <f t="shared" si="41"/>
        <v>8649</v>
      </c>
      <c r="AS151" s="2">
        <f t="shared" si="42"/>
        <v>1649</v>
      </c>
      <c r="AT151" s="2">
        <f t="shared" si="43"/>
        <v>1135</v>
      </c>
      <c r="AU151" s="2">
        <f t="shared" si="44"/>
        <v>878</v>
      </c>
      <c r="AV151" s="2">
        <f t="shared" si="45"/>
        <v>724</v>
      </c>
      <c r="AW151" s="2">
        <f t="shared" si="46"/>
        <v>621</v>
      </c>
      <c r="AX151" s="2">
        <f t="shared" si="47"/>
        <v>493</v>
      </c>
    </row>
    <row r="152" ht="14.25" customHeight="1">
      <c r="A152" s="2" t="str">
        <f t="array" ref="A152">IFERROR(INDEX('Product Price'!A:A,SMALL('Product Price'!$D:$D,150)),"")</f>
        <v>REDMI Note 17 6/128 GB</v>
      </c>
      <c r="B152" s="2">
        <f t="array" ref="B152">IFERROR(INDEX('Product Price'!B:B,SMALL('Product Price'!$D:$D,150)),"")</f>
        <v>8499</v>
      </c>
      <c r="C152" s="2">
        <f t="array" ref="C152">IFERROR(INDEX('Product Price'!C:C,SMALL('Product Price'!$D:$D,150)),"")</f>
        <v>169</v>
      </c>
      <c r="D152" s="2">
        <f t="shared" si="1"/>
        <v>795</v>
      </c>
      <c r="E152" s="2">
        <f t="shared" si="2"/>
        <v>9294</v>
      </c>
      <c r="F152" s="2">
        <f t="shared" si="48"/>
        <v>1275</v>
      </c>
      <c r="G152" s="2">
        <f t="shared" si="4"/>
        <v>7224</v>
      </c>
      <c r="H152" s="2">
        <f t="shared" si="5"/>
        <v>8019</v>
      </c>
      <c r="I152" s="2">
        <f t="shared" si="6"/>
        <v>1529</v>
      </c>
      <c r="J152" s="2">
        <f t="shared" si="7"/>
        <v>1053</v>
      </c>
      <c r="K152" s="2">
        <f t="shared" si="8"/>
        <v>814</v>
      </c>
      <c r="L152" s="2">
        <f t="shared" si="9"/>
        <v>671</v>
      </c>
      <c r="M152" s="2">
        <f t="shared" si="10"/>
        <v>576</v>
      </c>
      <c r="N152" s="2">
        <f t="shared" si="11"/>
        <v>457</v>
      </c>
      <c r="O152" s="2">
        <f t="shared" si="12"/>
        <v>1700</v>
      </c>
      <c r="P152" s="2">
        <f t="shared" si="13"/>
        <v>6799</v>
      </c>
      <c r="Q152" s="2">
        <f t="shared" si="14"/>
        <v>7594</v>
      </c>
      <c r="R152" s="2">
        <f t="shared" si="15"/>
        <v>1448</v>
      </c>
      <c r="S152" s="2">
        <f t="shared" si="16"/>
        <v>997</v>
      </c>
      <c r="T152" s="2">
        <f t="shared" si="17"/>
        <v>771</v>
      </c>
      <c r="U152" s="2">
        <f t="shared" si="18"/>
        <v>636</v>
      </c>
      <c r="V152" s="2">
        <f t="shared" si="19"/>
        <v>545</v>
      </c>
      <c r="W152" s="2">
        <f t="shared" si="20"/>
        <v>433</v>
      </c>
      <c r="X152" s="2">
        <f t="shared" si="21"/>
        <v>2125</v>
      </c>
      <c r="Y152" s="2">
        <f t="shared" si="22"/>
        <v>6374</v>
      </c>
      <c r="Z152" s="2">
        <f t="shared" si="23"/>
        <v>7169</v>
      </c>
      <c r="AA152" s="2">
        <f t="shared" si="24"/>
        <v>1367</v>
      </c>
      <c r="AB152" s="2">
        <f t="shared" si="25"/>
        <v>941</v>
      </c>
      <c r="AC152" s="2">
        <f t="shared" si="26"/>
        <v>728</v>
      </c>
      <c r="AD152" s="2">
        <f t="shared" si="27"/>
        <v>600</v>
      </c>
      <c r="AE152" s="2">
        <f t="shared" si="28"/>
        <v>515</v>
      </c>
      <c r="AF152" s="2">
        <f t="shared" si="29"/>
        <v>408</v>
      </c>
      <c r="AG152" s="2">
        <f t="shared" si="30"/>
        <v>2975</v>
      </c>
      <c r="AH152" s="2">
        <f t="shared" si="31"/>
        <v>5524</v>
      </c>
      <c r="AI152" s="2">
        <f t="shared" si="32"/>
        <v>6319</v>
      </c>
      <c r="AJ152" s="2">
        <f t="shared" si="33"/>
        <v>1205</v>
      </c>
      <c r="AK152" s="2">
        <f t="shared" si="34"/>
        <v>830</v>
      </c>
      <c r="AL152" s="2">
        <f t="shared" si="35"/>
        <v>642</v>
      </c>
      <c r="AM152" s="2">
        <f t="shared" si="36"/>
        <v>529</v>
      </c>
      <c r="AN152" s="2">
        <f t="shared" si="37"/>
        <v>454</v>
      </c>
      <c r="AO152" s="2" t="str">
        <f t="shared" si="38"/>
        <v>-</v>
      </c>
      <c r="AP152" s="2">
        <f t="shared" si="39"/>
        <v>3400</v>
      </c>
      <c r="AQ152" s="2">
        <f t="shared" si="40"/>
        <v>5099</v>
      </c>
      <c r="AR152" s="2">
        <f t="shared" si="41"/>
        <v>5894</v>
      </c>
      <c r="AS152" s="2">
        <f t="shared" si="42"/>
        <v>1124</v>
      </c>
      <c r="AT152" s="2">
        <f t="shared" si="43"/>
        <v>774</v>
      </c>
      <c r="AU152" s="2">
        <f t="shared" si="44"/>
        <v>599</v>
      </c>
      <c r="AV152" s="2">
        <f t="shared" si="45"/>
        <v>493</v>
      </c>
      <c r="AW152" s="2">
        <f t="shared" si="46"/>
        <v>423</v>
      </c>
      <c r="AX152" s="2" t="str">
        <f t="shared" si="47"/>
        <v>-</v>
      </c>
    </row>
    <row r="153" ht="14.25" customHeight="1">
      <c r="A153" s="2" t="str">
        <f t="array" ref="A153">IFERROR(INDEX('Product Price'!A:A,SMALL('Product Price'!$D:$D,151)),"")</f>
        <v>REDMI Note 15 Pro+ 5G 12/512 GB</v>
      </c>
      <c r="B153" s="2">
        <f t="array" ref="B153">IFERROR(INDEX('Product Price'!B:B,SMALL('Product Price'!$D:$D,151)),"")</f>
        <v>16990</v>
      </c>
      <c r="C153" s="2">
        <f t="array" ref="C153">IFERROR(INDEX('Product Price'!C:C,SMALL('Product Price'!$D:$D,151)),"")</f>
        <v>131</v>
      </c>
      <c r="D153" s="2">
        <f t="shared" si="1"/>
        <v>1450</v>
      </c>
      <c r="E153" s="2">
        <f t="shared" si="2"/>
        <v>18440</v>
      </c>
      <c r="F153" s="2">
        <f t="shared" si="48"/>
        <v>2549</v>
      </c>
      <c r="G153" s="2">
        <f t="shared" si="4"/>
        <v>14441</v>
      </c>
      <c r="H153" s="2">
        <f t="shared" si="5"/>
        <v>15891</v>
      </c>
      <c r="I153" s="2">
        <f t="shared" si="6"/>
        <v>3030</v>
      </c>
      <c r="J153" s="2">
        <f t="shared" si="7"/>
        <v>2085</v>
      </c>
      <c r="K153" s="2">
        <f t="shared" si="8"/>
        <v>1613</v>
      </c>
      <c r="L153" s="2">
        <f t="shared" si="9"/>
        <v>1330</v>
      </c>
      <c r="M153" s="2">
        <f t="shared" si="10"/>
        <v>1141</v>
      </c>
      <c r="N153" s="2">
        <f t="shared" si="11"/>
        <v>905</v>
      </c>
      <c r="O153" s="2">
        <f t="shared" si="12"/>
        <v>3398</v>
      </c>
      <c r="P153" s="2">
        <f t="shared" si="13"/>
        <v>13592</v>
      </c>
      <c r="Q153" s="2">
        <f t="shared" si="14"/>
        <v>15042</v>
      </c>
      <c r="R153" s="2">
        <f t="shared" si="15"/>
        <v>2868</v>
      </c>
      <c r="S153" s="2">
        <f t="shared" si="16"/>
        <v>1974</v>
      </c>
      <c r="T153" s="2">
        <f t="shared" si="17"/>
        <v>1527</v>
      </c>
      <c r="U153" s="2">
        <f t="shared" si="18"/>
        <v>1259</v>
      </c>
      <c r="V153" s="2">
        <f t="shared" si="19"/>
        <v>1080</v>
      </c>
      <c r="W153" s="2">
        <f t="shared" si="20"/>
        <v>856</v>
      </c>
      <c r="X153" s="2">
        <f t="shared" si="21"/>
        <v>4248</v>
      </c>
      <c r="Y153" s="2">
        <f t="shared" si="22"/>
        <v>12742</v>
      </c>
      <c r="Z153" s="2">
        <f t="shared" si="23"/>
        <v>14192</v>
      </c>
      <c r="AA153" s="2">
        <f t="shared" si="24"/>
        <v>2706</v>
      </c>
      <c r="AB153" s="2">
        <f t="shared" si="25"/>
        <v>1862</v>
      </c>
      <c r="AC153" s="2">
        <f t="shared" si="26"/>
        <v>1441</v>
      </c>
      <c r="AD153" s="2">
        <f t="shared" si="27"/>
        <v>1187</v>
      </c>
      <c r="AE153" s="2">
        <f t="shared" si="28"/>
        <v>1019</v>
      </c>
      <c r="AF153" s="2">
        <f t="shared" si="29"/>
        <v>808</v>
      </c>
      <c r="AG153" s="2">
        <f t="shared" si="30"/>
        <v>5947</v>
      </c>
      <c r="AH153" s="2">
        <f t="shared" si="31"/>
        <v>11043</v>
      </c>
      <c r="AI153" s="2">
        <f t="shared" si="32"/>
        <v>12493</v>
      </c>
      <c r="AJ153" s="2">
        <f t="shared" si="33"/>
        <v>2382</v>
      </c>
      <c r="AK153" s="2">
        <f t="shared" si="34"/>
        <v>1640</v>
      </c>
      <c r="AL153" s="2">
        <f t="shared" si="35"/>
        <v>1268</v>
      </c>
      <c r="AM153" s="2">
        <f t="shared" si="36"/>
        <v>1045</v>
      </c>
      <c r="AN153" s="2">
        <f t="shared" si="37"/>
        <v>897</v>
      </c>
      <c r="AO153" s="2">
        <f t="shared" si="38"/>
        <v>711</v>
      </c>
      <c r="AP153" s="2">
        <f t="shared" si="39"/>
        <v>6796</v>
      </c>
      <c r="AQ153" s="2">
        <f t="shared" si="40"/>
        <v>10194</v>
      </c>
      <c r="AR153" s="2">
        <f t="shared" si="41"/>
        <v>11644</v>
      </c>
      <c r="AS153" s="2">
        <f t="shared" si="42"/>
        <v>2220</v>
      </c>
      <c r="AT153" s="2">
        <f t="shared" si="43"/>
        <v>1528</v>
      </c>
      <c r="AU153" s="2">
        <f t="shared" si="44"/>
        <v>1182</v>
      </c>
      <c r="AV153" s="2">
        <f t="shared" si="45"/>
        <v>974</v>
      </c>
      <c r="AW153" s="2">
        <f t="shared" si="46"/>
        <v>836</v>
      </c>
      <c r="AX153" s="2">
        <f t="shared" si="47"/>
        <v>663</v>
      </c>
    </row>
    <row r="154" ht="14.25" customHeight="1">
      <c r="A154" s="2" t="str">
        <f t="array" ref="A154">IFERROR(INDEX('Product Price'!A:A,SMALL('Product Price'!$D:$D,152)),"")</f>
        <v>REDMI Note 15 Pro+ 5G 12/256 GB</v>
      </c>
      <c r="B154" s="2">
        <f t="array" ref="B154">IFERROR(INDEX('Product Price'!B:B,SMALL('Product Price'!$D:$D,152)),"")</f>
        <v>14990</v>
      </c>
      <c r="C154" s="2">
        <f t="array" ref="C154">IFERROR(INDEX('Product Price'!C:C,SMALL('Product Price'!$D:$D,152)),"")</f>
        <v>132</v>
      </c>
      <c r="D154" s="2">
        <f t="shared" si="1"/>
        <v>1450</v>
      </c>
      <c r="E154" s="2">
        <f t="shared" si="2"/>
        <v>16440</v>
      </c>
      <c r="F154" s="2">
        <f t="shared" si="48"/>
        <v>2249</v>
      </c>
      <c r="G154" s="2">
        <f t="shared" si="4"/>
        <v>12741</v>
      </c>
      <c r="H154" s="2">
        <f t="shared" si="5"/>
        <v>14191</v>
      </c>
      <c r="I154" s="2">
        <f t="shared" si="6"/>
        <v>2706</v>
      </c>
      <c r="J154" s="2">
        <f t="shared" si="7"/>
        <v>1862</v>
      </c>
      <c r="K154" s="2">
        <f t="shared" si="8"/>
        <v>1440</v>
      </c>
      <c r="L154" s="2">
        <f t="shared" si="9"/>
        <v>1187</v>
      </c>
      <c r="M154" s="2">
        <f t="shared" si="10"/>
        <v>1019</v>
      </c>
      <c r="N154" s="2">
        <f t="shared" si="11"/>
        <v>808</v>
      </c>
      <c r="O154" s="2">
        <f t="shared" si="12"/>
        <v>2998</v>
      </c>
      <c r="P154" s="2">
        <f t="shared" si="13"/>
        <v>11992</v>
      </c>
      <c r="Q154" s="2">
        <f t="shared" si="14"/>
        <v>13442</v>
      </c>
      <c r="R154" s="2">
        <f t="shared" si="15"/>
        <v>2563</v>
      </c>
      <c r="S154" s="2">
        <f t="shared" si="16"/>
        <v>1764</v>
      </c>
      <c r="T154" s="2">
        <f t="shared" si="17"/>
        <v>1364</v>
      </c>
      <c r="U154" s="2">
        <f t="shared" si="18"/>
        <v>1125</v>
      </c>
      <c r="V154" s="2">
        <f t="shared" si="19"/>
        <v>965</v>
      </c>
      <c r="W154" s="2">
        <f t="shared" si="20"/>
        <v>765</v>
      </c>
      <c r="X154" s="2">
        <f t="shared" si="21"/>
        <v>3748</v>
      </c>
      <c r="Y154" s="2">
        <f t="shared" si="22"/>
        <v>11242</v>
      </c>
      <c r="Z154" s="2">
        <f t="shared" si="23"/>
        <v>12692</v>
      </c>
      <c r="AA154" s="2">
        <f t="shared" si="24"/>
        <v>2420</v>
      </c>
      <c r="AB154" s="2">
        <f t="shared" si="25"/>
        <v>1666</v>
      </c>
      <c r="AC154" s="2">
        <f t="shared" si="26"/>
        <v>1288</v>
      </c>
      <c r="AD154" s="2">
        <f t="shared" si="27"/>
        <v>1062</v>
      </c>
      <c r="AE154" s="2">
        <f t="shared" si="28"/>
        <v>911</v>
      </c>
      <c r="AF154" s="2">
        <f t="shared" si="29"/>
        <v>723</v>
      </c>
      <c r="AG154" s="2">
        <f t="shared" si="30"/>
        <v>5247</v>
      </c>
      <c r="AH154" s="2">
        <f t="shared" si="31"/>
        <v>9743</v>
      </c>
      <c r="AI154" s="2">
        <f t="shared" si="32"/>
        <v>11193</v>
      </c>
      <c r="AJ154" s="2">
        <f t="shared" si="33"/>
        <v>2134</v>
      </c>
      <c r="AK154" s="2">
        <f t="shared" si="34"/>
        <v>1469</v>
      </c>
      <c r="AL154" s="2">
        <f t="shared" si="35"/>
        <v>1136</v>
      </c>
      <c r="AM154" s="2">
        <f t="shared" si="36"/>
        <v>937</v>
      </c>
      <c r="AN154" s="2">
        <f t="shared" si="37"/>
        <v>804</v>
      </c>
      <c r="AO154" s="2">
        <f t="shared" si="38"/>
        <v>637</v>
      </c>
      <c r="AP154" s="2">
        <f t="shared" si="39"/>
        <v>5996</v>
      </c>
      <c r="AQ154" s="2">
        <f t="shared" si="40"/>
        <v>8994</v>
      </c>
      <c r="AR154" s="2">
        <f t="shared" si="41"/>
        <v>10444</v>
      </c>
      <c r="AS154" s="2">
        <f t="shared" si="42"/>
        <v>1992</v>
      </c>
      <c r="AT154" s="2">
        <f t="shared" si="43"/>
        <v>1371</v>
      </c>
      <c r="AU154" s="2">
        <f t="shared" si="44"/>
        <v>1060</v>
      </c>
      <c r="AV154" s="2">
        <f t="shared" si="45"/>
        <v>874</v>
      </c>
      <c r="AW154" s="2">
        <f t="shared" si="46"/>
        <v>750</v>
      </c>
      <c r="AX154" s="2">
        <f t="shared" si="47"/>
        <v>595</v>
      </c>
    </row>
    <row r="155" ht="14.25" customHeight="1">
      <c r="A155" s="2" t="str">
        <f t="array" ref="A155">IFERROR(INDEX('Product Price'!A:A,SMALL('Product Price'!$D:$D,153)),"")</f>
        <v>REDMI Note 15 Pro 5G 12/512 GB</v>
      </c>
      <c r="B155" s="2">
        <f t="array" ref="B155">IFERROR(INDEX('Product Price'!B:B,SMALL('Product Price'!$D:$D,153)),"")</f>
        <v>14990</v>
      </c>
      <c r="C155" s="2">
        <f t="array" ref="C155">IFERROR(INDEX('Product Price'!C:C,SMALL('Product Price'!$D:$D,153)),"")</f>
        <v>133</v>
      </c>
      <c r="D155" s="2">
        <f t="shared" si="1"/>
        <v>1450</v>
      </c>
      <c r="E155" s="2">
        <f t="shared" si="2"/>
        <v>16440</v>
      </c>
      <c r="F155" s="2">
        <f t="shared" si="48"/>
        <v>2249</v>
      </c>
      <c r="G155" s="2">
        <f t="shared" si="4"/>
        <v>12741</v>
      </c>
      <c r="H155" s="2">
        <f t="shared" si="5"/>
        <v>14191</v>
      </c>
      <c r="I155" s="2">
        <f t="shared" si="6"/>
        <v>2706</v>
      </c>
      <c r="J155" s="2">
        <f t="shared" si="7"/>
        <v>1862</v>
      </c>
      <c r="K155" s="2">
        <f t="shared" si="8"/>
        <v>1440</v>
      </c>
      <c r="L155" s="2">
        <f t="shared" si="9"/>
        <v>1187</v>
      </c>
      <c r="M155" s="2">
        <f t="shared" si="10"/>
        <v>1019</v>
      </c>
      <c r="N155" s="2">
        <f t="shared" si="11"/>
        <v>808</v>
      </c>
      <c r="O155" s="2">
        <f t="shared" si="12"/>
        <v>2998</v>
      </c>
      <c r="P155" s="2">
        <f t="shared" si="13"/>
        <v>11992</v>
      </c>
      <c r="Q155" s="2">
        <f t="shared" si="14"/>
        <v>13442</v>
      </c>
      <c r="R155" s="2">
        <f t="shared" si="15"/>
        <v>2563</v>
      </c>
      <c r="S155" s="2">
        <f t="shared" si="16"/>
        <v>1764</v>
      </c>
      <c r="T155" s="2">
        <f t="shared" si="17"/>
        <v>1364</v>
      </c>
      <c r="U155" s="2">
        <f t="shared" si="18"/>
        <v>1125</v>
      </c>
      <c r="V155" s="2">
        <f t="shared" si="19"/>
        <v>965</v>
      </c>
      <c r="W155" s="2">
        <f t="shared" si="20"/>
        <v>765</v>
      </c>
      <c r="X155" s="2">
        <f t="shared" si="21"/>
        <v>3748</v>
      </c>
      <c r="Y155" s="2">
        <f t="shared" si="22"/>
        <v>11242</v>
      </c>
      <c r="Z155" s="2">
        <f t="shared" si="23"/>
        <v>12692</v>
      </c>
      <c r="AA155" s="2">
        <f t="shared" si="24"/>
        <v>2420</v>
      </c>
      <c r="AB155" s="2">
        <f t="shared" si="25"/>
        <v>1666</v>
      </c>
      <c r="AC155" s="2">
        <f t="shared" si="26"/>
        <v>1288</v>
      </c>
      <c r="AD155" s="2">
        <f t="shared" si="27"/>
        <v>1062</v>
      </c>
      <c r="AE155" s="2">
        <f t="shared" si="28"/>
        <v>911</v>
      </c>
      <c r="AF155" s="2">
        <f t="shared" si="29"/>
        <v>723</v>
      </c>
      <c r="AG155" s="2">
        <f t="shared" si="30"/>
        <v>5247</v>
      </c>
      <c r="AH155" s="2">
        <f t="shared" si="31"/>
        <v>9743</v>
      </c>
      <c r="AI155" s="2">
        <f t="shared" si="32"/>
        <v>11193</v>
      </c>
      <c r="AJ155" s="2">
        <f t="shared" si="33"/>
        <v>2134</v>
      </c>
      <c r="AK155" s="2">
        <f t="shared" si="34"/>
        <v>1469</v>
      </c>
      <c r="AL155" s="2">
        <f t="shared" si="35"/>
        <v>1136</v>
      </c>
      <c r="AM155" s="2">
        <f t="shared" si="36"/>
        <v>937</v>
      </c>
      <c r="AN155" s="2">
        <f t="shared" si="37"/>
        <v>804</v>
      </c>
      <c r="AO155" s="2">
        <f t="shared" si="38"/>
        <v>637</v>
      </c>
      <c r="AP155" s="2">
        <f t="shared" si="39"/>
        <v>5996</v>
      </c>
      <c r="AQ155" s="2">
        <f t="shared" si="40"/>
        <v>8994</v>
      </c>
      <c r="AR155" s="2">
        <f t="shared" si="41"/>
        <v>10444</v>
      </c>
      <c r="AS155" s="2">
        <f t="shared" si="42"/>
        <v>1992</v>
      </c>
      <c r="AT155" s="2">
        <f t="shared" si="43"/>
        <v>1371</v>
      </c>
      <c r="AU155" s="2">
        <f t="shared" si="44"/>
        <v>1060</v>
      </c>
      <c r="AV155" s="2">
        <f t="shared" si="45"/>
        <v>874</v>
      </c>
      <c r="AW155" s="2">
        <f t="shared" si="46"/>
        <v>750</v>
      </c>
      <c r="AX155" s="2">
        <f t="shared" si="47"/>
        <v>595</v>
      </c>
    </row>
    <row r="156" ht="14.25" customHeight="1">
      <c r="A156" s="2" t="str">
        <f t="array" ref="A156">IFERROR(INDEX('Product Price'!A:A,SMALL('Product Price'!$D:$D,154)),"")</f>
        <v>REDMI Note 15 Pro 5G 8/256 GB</v>
      </c>
      <c r="B156" s="2">
        <f t="array" ref="B156">IFERROR(INDEX('Product Price'!B:B,SMALL('Product Price'!$D:$D,154)),"")</f>
        <v>11990</v>
      </c>
      <c r="C156" s="2">
        <f t="array" ref="C156">IFERROR(INDEX('Product Price'!C:C,SMALL('Product Price'!$D:$D,154)),"")</f>
        <v>134</v>
      </c>
      <c r="D156" s="2">
        <f t="shared" si="1"/>
        <v>1450</v>
      </c>
      <c r="E156" s="2">
        <f t="shared" si="2"/>
        <v>13440</v>
      </c>
      <c r="F156" s="2">
        <f t="shared" si="48"/>
        <v>1799</v>
      </c>
      <c r="G156" s="2">
        <f t="shared" si="4"/>
        <v>10191</v>
      </c>
      <c r="H156" s="2">
        <f t="shared" si="5"/>
        <v>11641</v>
      </c>
      <c r="I156" s="2">
        <f t="shared" si="6"/>
        <v>2220</v>
      </c>
      <c r="J156" s="2">
        <f t="shared" si="7"/>
        <v>1528</v>
      </c>
      <c r="K156" s="2">
        <f t="shared" si="8"/>
        <v>1182</v>
      </c>
      <c r="L156" s="2">
        <f t="shared" si="9"/>
        <v>974</v>
      </c>
      <c r="M156" s="2">
        <f t="shared" si="10"/>
        <v>836</v>
      </c>
      <c r="N156" s="2">
        <f t="shared" si="11"/>
        <v>663</v>
      </c>
      <c r="O156" s="2">
        <f t="shared" si="12"/>
        <v>2398</v>
      </c>
      <c r="P156" s="2">
        <f t="shared" si="13"/>
        <v>9592</v>
      </c>
      <c r="Q156" s="2">
        <f t="shared" si="14"/>
        <v>11042</v>
      </c>
      <c r="R156" s="2">
        <f t="shared" si="15"/>
        <v>2106</v>
      </c>
      <c r="S156" s="2">
        <f t="shared" si="16"/>
        <v>1449</v>
      </c>
      <c r="T156" s="2">
        <f t="shared" si="17"/>
        <v>1121</v>
      </c>
      <c r="U156" s="2">
        <f t="shared" si="18"/>
        <v>924</v>
      </c>
      <c r="V156" s="2">
        <f t="shared" si="19"/>
        <v>793</v>
      </c>
      <c r="W156" s="2">
        <f t="shared" si="20"/>
        <v>629</v>
      </c>
      <c r="X156" s="2">
        <f t="shared" si="21"/>
        <v>2998</v>
      </c>
      <c r="Y156" s="2">
        <f t="shared" si="22"/>
        <v>8992</v>
      </c>
      <c r="Z156" s="2">
        <f t="shared" si="23"/>
        <v>10442</v>
      </c>
      <c r="AA156" s="2">
        <f t="shared" si="24"/>
        <v>1991</v>
      </c>
      <c r="AB156" s="2">
        <f t="shared" si="25"/>
        <v>1370</v>
      </c>
      <c r="AC156" s="2">
        <f t="shared" si="26"/>
        <v>1060</v>
      </c>
      <c r="AD156" s="2">
        <f t="shared" si="27"/>
        <v>874</v>
      </c>
      <c r="AE156" s="2">
        <f t="shared" si="28"/>
        <v>750</v>
      </c>
      <c r="AF156" s="2">
        <f t="shared" si="29"/>
        <v>595</v>
      </c>
      <c r="AG156" s="2">
        <f t="shared" si="30"/>
        <v>4197</v>
      </c>
      <c r="AH156" s="2">
        <f t="shared" si="31"/>
        <v>7793</v>
      </c>
      <c r="AI156" s="2">
        <f t="shared" si="32"/>
        <v>9243</v>
      </c>
      <c r="AJ156" s="2">
        <f t="shared" si="33"/>
        <v>1763</v>
      </c>
      <c r="AK156" s="2">
        <f t="shared" si="34"/>
        <v>1213</v>
      </c>
      <c r="AL156" s="2">
        <f t="shared" si="35"/>
        <v>938</v>
      </c>
      <c r="AM156" s="2">
        <f t="shared" si="36"/>
        <v>774</v>
      </c>
      <c r="AN156" s="2">
        <f t="shared" si="37"/>
        <v>664</v>
      </c>
      <c r="AO156" s="2">
        <f t="shared" si="38"/>
        <v>526</v>
      </c>
      <c r="AP156" s="2">
        <f t="shared" si="39"/>
        <v>4796</v>
      </c>
      <c r="AQ156" s="2">
        <f t="shared" si="40"/>
        <v>7194</v>
      </c>
      <c r="AR156" s="2">
        <f t="shared" si="41"/>
        <v>8644</v>
      </c>
      <c r="AS156" s="2">
        <f t="shared" si="42"/>
        <v>1648</v>
      </c>
      <c r="AT156" s="2">
        <f t="shared" si="43"/>
        <v>1135</v>
      </c>
      <c r="AU156" s="2">
        <f t="shared" si="44"/>
        <v>878</v>
      </c>
      <c r="AV156" s="2">
        <f t="shared" si="45"/>
        <v>723</v>
      </c>
      <c r="AW156" s="2">
        <f t="shared" si="46"/>
        <v>621</v>
      </c>
      <c r="AX156" s="2">
        <f t="shared" si="47"/>
        <v>492</v>
      </c>
    </row>
    <row r="157" ht="14.25" customHeight="1">
      <c r="A157" s="2" t="str">
        <f t="array" ref="A157">IFERROR(INDEX('Product Price'!A:A,SMALL('Product Price'!$D:$D,155)),"")</f>
        <v>REDMI Note 15 5G 8/256 GB</v>
      </c>
      <c r="B157" s="2">
        <f t="array" ref="B157">IFERROR(INDEX('Product Price'!B:B,SMALL('Product Price'!$D:$D,155)),"")</f>
        <v>8499</v>
      </c>
      <c r="C157" s="2">
        <f t="array" ref="C157">IFERROR(INDEX('Product Price'!C:C,SMALL('Product Price'!$D:$D,155)),"")</f>
        <v>135</v>
      </c>
      <c r="D157" s="2">
        <f t="shared" si="1"/>
        <v>795</v>
      </c>
      <c r="E157" s="2">
        <f t="shared" si="2"/>
        <v>9294</v>
      </c>
      <c r="F157" s="2">
        <f t="shared" si="48"/>
        <v>1275</v>
      </c>
      <c r="G157" s="2">
        <f t="shared" si="4"/>
        <v>7224</v>
      </c>
      <c r="H157" s="2">
        <f t="shared" si="5"/>
        <v>8019</v>
      </c>
      <c r="I157" s="2">
        <f t="shared" si="6"/>
        <v>1529</v>
      </c>
      <c r="J157" s="2">
        <f t="shared" si="7"/>
        <v>1053</v>
      </c>
      <c r="K157" s="2">
        <f t="shared" si="8"/>
        <v>814</v>
      </c>
      <c r="L157" s="2">
        <f t="shared" si="9"/>
        <v>671</v>
      </c>
      <c r="M157" s="2">
        <f t="shared" si="10"/>
        <v>576</v>
      </c>
      <c r="N157" s="2">
        <f t="shared" si="11"/>
        <v>457</v>
      </c>
      <c r="O157" s="2">
        <f t="shared" si="12"/>
        <v>1700</v>
      </c>
      <c r="P157" s="2">
        <f t="shared" si="13"/>
        <v>6799</v>
      </c>
      <c r="Q157" s="2">
        <f t="shared" si="14"/>
        <v>7594</v>
      </c>
      <c r="R157" s="2">
        <f t="shared" si="15"/>
        <v>1448</v>
      </c>
      <c r="S157" s="2">
        <f t="shared" si="16"/>
        <v>997</v>
      </c>
      <c r="T157" s="2">
        <f t="shared" si="17"/>
        <v>771</v>
      </c>
      <c r="U157" s="2">
        <f t="shared" si="18"/>
        <v>636</v>
      </c>
      <c r="V157" s="2">
        <f t="shared" si="19"/>
        <v>545</v>
      </c>
      <c r="W157" s="2">
        <f t="shared" si="20"/>
        <v>433</v>
      </c>
      <c r="X157" s="2">
        <f t="shared" si="21"/>
        <v>2125</v>
      </c>
      <c r="Y157" s="2">
        <f t="shared" si="22"/>
        <v>6374</v>
      </c>
      <c r="Z157" s="2">
        <f t="shared" si="23"/>
        <v>7169</v>
      </c>
      <c r="AA157" s="2">
        <f t="shared" si="24"/>
        <v>1367</v>
      </c>
      <c r="AB157" s="2">
        <f t="shared" si="25"/>
        <v>941</v>
      </c>
      <c r="AC157" s="2">
        <f t="shared" si="26"/>
        <v>728</v>
      </c>
      <c r="AD157" s="2">
        <f t="shared" si="27"/>
        <v>600</v>
      </c>
      <c r="AE157" s="2">
        <f t="shared" si="28"/>
        <v>515</v>
      </c>
      <c r="AF157" s="2">
        <f t="shared" si="29"/>
        <v>408</v>
      </c>
      <c r="AG157" s="2">
        <f t="shared" si="30"/>
        <v>2975</v>
      </c>
      <c r="AH157" s="2">
        <f t="shared" si="31"/>
        <v>5524</v>
      </c>
      <c r="AI157" s="2">
        <f t="shared" si="32"/>
        <v>6319</v>
      </c>
      <c r="AJ157" s="2">
        <f t="shared" si="33"/>
        <v>1205</v>
      </c>
      <c r="AK157" s="2">
        <f t="shared" si="34"/>
        <v>830</v>
      </c>
      <c r="AL157" s="2">
        <f t="shared" si="35"/>
        <v>642</v>
      </c>
      <c r="AM157" s="2">
        <f t="shared" si="36"/>
        <v>529</v>
      </c>
      <c r="AN157" s="2">
        <f t="shared" si="37"/>
        <v>454</v>
      </c>
      <c r="AO157" s="2" t="str">
        <f t="shared" si="38"/>
        <v>-</v>
      </c>
      <c r="AP157" s="2">
        <f t="shared" si="39"/>
        <v>3400</v>
      </c>
      <c r="AQ157" s="2">
        <f t="shared" si="40"/>
        <v>5099</v>
      </c>
      <c r="AR157" s="2">
        <f t="shared" si="41"/>
        <v>5894</v>
      </c>
      <c r="AS157" s="2">
        <f t="shared" si="42"/>
        <v>1124</v>
      </c>
      <c r="AT157" s="2">
        <f t="shared" si="43"/>
        <v>774</v>
      </c>
      <c r="AU157" s="2">
        <f t="shared" si="44"/>
        <v>599</v>
      </c>
      <c r="AV157" s="2">
        <f t="shared" si="45"/>
        <v>493</v>
      </c>
      <c r="AW157" s="2">
        <f t="shared" si="46"/>
        <v>423</v>
      </c>
      <c r="AX157" s="2" t="str">
        <f t="shared" si="47"/>
        <v>-</v>
      </c>
    </row>
    <row r="158" ht="14.25" customHeight="1">
      <c r="A158" s="2" t="str">
        <f t="array" ref="A158">IFERROR(INDEX('Product Price'!A:A,SMALL('Product Price'!$D:$D,156)),"")</f>
        <v>REDMI Note 15 4G 8/256 GB</v>
      </c>
      <c r="B158" s="2">
        <f t="array" ref="B158">IFERROR(INDEX('Product Price'!B:B,SMALL('Product Price'!$D:$D,156)),"")</f>
        <v>6699</v>
      </c>
      <c r="C158" s="2">
        <f t="array" ref="C158">IFERROR(INDEX('Product Price'!C:C,SMALL('Product Price'!$D:$D,156)),"")</f>
        <v>136</v>
      </c>
      <c r="D158" s="2">
        <f t="shared" si="1"/>
        <v>795</v>
      </c>
      <c r="E158" s="2">
        <f t="shared" si="2"/>
        <v>7494</v>
      </c>
      <c r="F158" s="2">
        <f t="shared" si="48"/>
        <v>1005</v>
      </c>
      <c r="G158" s="2">
        <f t="shared" si="4"/>
        <v>5694</v>
      </c>
      <c r="H158" s="2">
        <f t="shared" si="5"/>
        <v>6489</v>
      </c>
      <c r="I158" s="2">
        <f t="shared" si="6"/>
        <v>1238</v>
      </c>
      <c r="J158" s="2">
        <f t="shared" si="7"/>
        <v>852</v>
      </c>
      <c r="K158" s="2">
        <f t="shared" si="8"/>
        <v>659</v>
      </c>
      <c r="L158" s="2">
        <f t="shared" si="9"/>
        <v>543</v>
      </c>
      <c r="M158" s="2">
        <f t="shared" si="10"/>
        <v>466</v>
      </c>
      <c r="N158" s="2" t="str">
        <f t="shared" si="11"/>
        <v>-</v>
      </c>
      <c r="O158" s="2">
        <f t="shared" si="12"/>
        <v>1340</v>
      </c>
      <c r="P158" s="2">
        <f t="shared" si="13"/>
        <v>5359</v>
      </c>
      <c r="Q158" s="2">
        <f t="shared" si="14"/>
        <v>6154</v>
      </c>
      <c r="R158" s="2">
        <f t="shared" si="15"/>
        <v>1174</v>
      </c>
      <c r="S158" s="2">
        <f t="shared" si="16"/>
        <v>808</v>
      </c>
      <c r="T158" s="2">
        <f t="shared" si="17"/>
        <v>625</v>
      </c>
      <c r="U158" s="2">
        <f t="shared" si="18"/>
        <v>515</v>
      </c>
      <c r="V158" s="2">
        <f t="shared" si="19"/>
        <v>442</v>
      </c>
      <c r="W158" s="2" t="str">
        <f t="shared" si="20"/>
        <v>-</v>
      </c>
      <c r="X158" s="2">
        <f t="shared" si="21"/>
        <v>1675</v>
      </c>
      <c r="Y158" s="2">
        <f t="shared" si="22"/>
        <v>5024</v>
      </c>
      <c r="Z158" s="2">
        <f t="shared" si="23"/>
        <v>5819</v>
      </c>
      <c r="AA158" s="2">
        <f t="shared" si="24"/>
        <v>1110</v>
      </c>
      <c r="AB158" s="2">
        <f t="shared" si="25"/>
        <v>764</v>
      </c>
      <c r="AC158" s="2">
        <f t="shared" si="26"/>
        <v>591</v>
      </c>
      <c r="AD158" s="2">
        <f t="shared" si="27"/>
        <v>487</v>
      </c>
      <c r="AE158" s="2">
        <f t="shared" si="28"/>
        <v>418</v>
      </c>
      <c r="AF158" s="2" t="str">
        <f t="shared" si="29"/>
        <v>-</v>
      </c>
      <c r="AG158" s="2">
        <f t="shared" si="30"/>
        <v>2345</v>
      </c>
      <c r="AH158" s="2">
        <f t="shared" si="31"/>
        <v>4354</v>
      </c>
      <c r="AI158" s="2">
        <f t="shared" si="32"/>
        <v>5149</v>
      </c>
      <c r="AJ158" s="2">
        <f t="shared" si="33"/>
        <v>982</v>
      </c>
      <c r="AK158" s="2">
        <f t="shared" si="34"/>
        <v>676</v>
      </c>
      <c r="AL158" s="2">
        <f t="shared" si="35"/>
        <v>523</v>
      </c>
      <c r="AM158" s="2">
        <f t="shared" si="36"/>
        <v>431</v>
      </c>
      <c r="AN158" s="2" t="str">
        <f t="shared" si="37"/>
        <v>-</v>
      </c>
      <c r="AO158" s="2" t="str">
        <f t="shared" si="38"/>
        <v>-</v>
      </c>
      <c r="AP158" s="2">
        <f t="shared" si="39"/>
        <v>2680</v>
      </c>
      <c r="AQ158" s="2">
        <f t="shared" si="40"/>
        <v>4019</v>
      </c>
      <c r="AR158" s="2">
        <f t="shared" si="41"/>
        <v>4814</v>
      </c>
      <c r="AS158" s="2">
        <f t="shared" si="42"/>
        <v>918</v>
      </c>
      <c r="AT158" s="2">
        <f t="shared" si="43"/>
        <v>632</v>
      </c>
      <c r="AU158" s="2">
        <f t="shared" si="44"/>
        <v>489</v>
      </c>
      <c r="AV158" s="2">
        <f t="shared" si="45"/>
        <v>403</v>
      </c>
      <c r="AW158" s="2" t="str">
        <f t="shared" si="46"/>
        <v>-</v>
      </c>
      <c r="AX158" s="2" t="str">
        <f t="shared" si="47"/>
        <v>-</v>
      </c>
    </row>
    <row r="159" ht="14.25" customHeight="1">
      <c r="A159" s="2" t="str">
        <f t="array" ref="A159">IFERROR(INDEX('Product Price'!A:A,SMALL('Product Price'!$D:$D,157)),"")</f>
        <v>XIAOMI 17T Pro 12/512 GB</v>
      </c>
      <c r="B159" s="2">
        <f t="array" ref="B159">IFERROR(INDEX('Product Price'!B:B,SMALL('Product Price'!$D:$D,157)),"")</f>
        <v>27999</v>
      </c>
      <c r="C159" s="2">
        <f t="array" ref="C159">IFERROR(INDEX('Product Price'!C:C,SMALL('Product Price'!$D:$D,157)),"")</f>
        <v>137</v>
      </c>
      <c r="D159" s="2">
        <f t="shared" si="1"/>
        <v>1900</v>
      </c>
      <c r="E159" s="2">
        <f t="shared" si="2"/>
        <v>29899</v>
      </c>
      <c r="F159" s="2">
        <f t="shared" si="48"/>
        <v>4200</v>
      </c>
      <c r="G159" s="2">
        <f t="shared" si="4"/>
        <v>23799</v>
      </c>
      <c r="H159" s="2">
        <f t="shared" si="5"/>
        <v>25699</v>
      </c>
      <c r="I159" s="2">
        <f t="shared" si="6"/>
        <v>4900</v>
      </c>
      <c r="J159" s="2">
        <f t="shared" si="7"/>
        <v>3372</v>
      </c>
      <c r="K159" s="2">
        <f t="shared" si="8"/>
        <v>2608</v>
      </c>
      <c r="L159" s="2">
        <f t="shared" si="9"/>
        <v>2150</v>
      </c>
      <c r="M159" s="2">
        <f t="shared" si="10"/>
        <v>1844</v>
      </c>
      <c r="N159" s="2">
        <f t="shared" si="11"/>
        <v>1462</v>
      </c>
      <c r="O159" s="2">
        <f t="shared" si="12"/>
        <v>5600</v>
      </c>
      <c r="P159" s="2">
        <f t="shared" si="13"/>
        <v>22399</v>
      </c>
      <c r="Q159" s="2">
        <f t="shared" si="14"/>
        <v>24299</v>
      </c>
      <c r="R159" s="2">
        <f t="shared" si="15"/>
        <v>4633</v>
      </c>
      <c r="S159" s="2">
        <f t="shared" si="16"/>
        <v>3188</v>
      </c>
      <c r="T159" s="2">
        <f t="shared" si="17"/>
        <v>2466</v>
      </c>
      <c r="U159" s="2">
        <f t="shared" si="18"/>
        <v>2033</v>
      </c>
      <c r="V159" s="2">
        <f t="shared" si="19"/>
        <v>1744</v>
      </c>
      <c r="W159" s="2">
        <f t="shared" si="20"/>
        <v>1383</v>
      </c>
      <c r="X159" s="2">
        <f t="shared" si="21"/>
        <v>7000</v>
      </c>
      <c r="Y159" s="2">
        <f t="shared" si="22"/>
        <v>20999</v>
      </c>
      <c r="Z159" s="2">
        <f t="shared" si="23"/>
        <v>22899</v>
      </c>
      <c r="AA159" s="2">
        <f t="shared" si="24"/>
        <v>4366</v>
      </c>
      <c r="AB159" s="2">
        <f t="shared" si="25"/>
        <v>3005</v>
      </c>
      <c r="AC159" s="2">
        <f t="shared" si="26"/>
        <v>2324</v>
      </c>
      <c r="AD159" s="2">
        <f t="shared" si="27"/>
        <v>1916</v>
      </c>
      <c r="AE159" s="2">
        <f t="shared" si="28"/>
        <v>1643</v>
      </c>
      <c r="AF159" s="2">
        <f t="shared" si="29"/>
        <v>1303</v>
      </c>
      <c r="AG159" s="2">
        <f t="shared" si="30"/>
        <v>9800</v>
      </c>
      <c r="AH159" s="2">
        <f t="shared" si="31"/>
        <v>18199</v>
      </c>
      <c r="AI159" s="2">
        <f t="shared" si="32"/>
        <v>20099</v>
      </c>
      <c r="AJ159" s="2">
        <f t="shared" si="33"/>
        <v>3832</v>
      </c>
      <c r="AK159" s="2">
        <f t="shared" si="34"/>
        <v>2637</v>
      </c>
      <c r="AL159" s="2">
        <f t="shared" si="35"/>
        <v>2040</v>
      </c>
      <c r="AM159" s="2">
        <f t="shared" si="36"/>
        <v>1682</v>
      </c>
      <c r="AN159" s="2">
        <f t="shared" si="37"/>
        <v>1443</v>
      </c>
      <c r="AO159" s="2">
        <f t="shared" si="38"/>
        <v>1144</v>
      </c>
      <c r="AP159" s="2">
        <f t="shared" si="39"/>
        <v>11200</v>
      </c>
      <c r="AQ159" s="2">
        <f t="shared" si="40"/>
        <v>16799</v>
      </c>
      <c r="AR159" s="2">
        <f t="shared" si="41"/>
        <v>18699</v>
      </c>
      <c r="AS159" s="2">
        <f t="shared" si="42"/>
        <v>3565</v>
      </c>
      <c r="AT159" s="2">
        <f t="shared" si="43"/>
        <v>2454</v>
      </c>
      <c r="AU159" s="2">
        <f t="shared" si="44"/>
        <v>1898</v>
      </c>
      <c r="AV159" s="2">
        <f t="shared" si="45"/>
        <v>1564</v>
      </c>
      <c r="AW159" s="2">
        <f t="shared" si="46"/>
        <v>1342</v>
      </c>
      <c r="AX159" s="2">
        <f t="shared" si="47"/>
        <v>1064</v>
      </c>
    </row>
    <row r="160" ht="14.25" customHeight="1">
      <c r="A160" s="2" t="str">
        <f t="array" ref="A160">IFERROR(INDEX('Product Price'!A:A,SMALL('Product Price'!$D:$D,158)),"")</f>
        <v>XIAOMI 17T Pro 12/256 GB</v>
      </c>
      <c r="B160" s="2">
        <f t="array" ref="B160">IFERROR(INDEX('Product Price'!B:B,SMALL('Product Price'!$D:$D,158)),"")</f>
        <v>25999</v>
      </c>
      <c r="C160" s="2">
        <f t="array" ref="C160">IFERROR(INDEX('Product Price'!C:C,SMALL('Product Price'!$D:$D,158)),"")</f>
        <v>138</v>
      </c>
      <c r="D160" s="2">
        <f t="shared" si="1"/>
        <v>1900</v>
      </c>
      <c r="E160" s="2">
        <f t="shared" si="2"/>
        <v>27899</v>
      </c>
      <c r="F160" s="2">
        <f t="shared" si="48"/>
        <v>3900</v>
      </c>
      <c r="G160" s="2">
        <f t="shared" si="4"/>
        <v>22099</v>
      </c>
      <c r="H160" s="2">
        <f t="shared" si="5"/>
        <v>23999</v>
      </c>
      <c r="I160" s="2">
        <f t="shared" si="6"/>
        <v>4576</v>
      </c>
      <c r="J160" s="2">
        <f t="shared" si="7"/>
        <v>3149</v>
      </c>
      <c r="K160" s="2">
        <f t="shared" si="8"/>
        <v>2436</v>
      </c>
      <c r="L160" s="2">
        <f t="shared" si="9"/>
        <v>2008</v>
      </c>
      <c r="M160" s="2">
        <f t="shared" si="10"/>
        <v>1722</v>
      </c>
      <c r="N160" s="2">
        <f t="shared" si="11"/>
        <v>1366</v>
      </c>
      <c r="O160" s="2">
        <f t="shared" si="12"/>
        <v>5200</v>
      </c>
      <c r="P160" s="2">
        <f t="shared" si="13"/>
        <v>20799</v>
      </c>
      <c r="Q160" s="2">
        <f t="shared" si="14"/>
        <v>22699</v>
      </c>
      <c r="R160" s="2">
        <f t="shared" si="15"/>
        <v>4328</v>
      </c>
      <c r="S160" s="2">
        <f t="shared" si="16"/>
        <v>2978</v>
      </c>
      <c r="T160" s="2">
        <f t="shared" si="17"/>
        <v>2304</v>
      </c>
      <c r="U160" s="2">
        <f t="shared" si="18"/>
        <v>1899</v>
      </c>
      <c r="V160" s="2">
        <f t="shared" si="19"/>
        <v>1629</v>
      </c>
      <c r="W160" s="2">
        <f t="shared" si="20"/>
        <v>1292</v>
      </c>
      <c r="X160" s="2">
        <f t="shared" si="21"/>
        <v>6500</v>
      </c>
      <c r="Y160" s="2">
        <f t="shared" si="22"/>
        <v>19499</v>
      </c>
      <c r="Z160" s="2">
        <f t="shared" si="23"/>
        <v>21399</v>
      </c>
      <c r="AA160" s="2">
        <f t="shared" si="24"/>
        <v>4080</v>
      </c>
      <c r="AB160" s="2">
        <f t="shared" si="25"/>
        <v>2808</v>
      </c>
      <c r="AC160" s="2">
        <f t="shared" si="26"/>
        <v>2172</v>
      </c>
      <c r="AD160" s="2">
        <f t="shared" si="27"/>
        <v>1790</v>
      </c>
      <c r="AE160" s="2">
        <f t="shared" si="28"/>
        <v>1536</v>
      </c>
      <c r="AF160" s="2">
        <f t="shared" si="29"/>
        <v>1218</v>
      </c>
      <c r="AG160" s="2">
        <f t="shared" si="30"/>
        <v>9100</v>
      </c>
      <c r="AH160" s="2">
        <f t="shared" si="31"/>
        <v>16899</v>
      </c>
      <c r="AI160" s="2">
        <f t="shared" si="32"/>
        <v>18799</v>
      </c>
      <c r="AJ160" s="2">
        <f t="shared" si="33"/>
        <v>3584</v>
      </c>
      <c r="AK160" s="2">
        <f t="shared" si="34"/>
        <v>2467</v>
      </c>
      <c r="AL160" s="2">
        <f t="shared" si="35"/>
        <v>1908</v>
      </c>
      <c r="AM160" s="2">
        <f t="shared" si="36"/>
        <v>1573</v>
      </c>
      <c r="AN160" s="2">
        <f t="shared" si="37"/>
        <v>1349</v>
      </c>
      <c r="AO160" s="2">
        <f t="shared" si="38"/>
        <v>1070</v>
      </c>
      <c r="AP160" s="2">
        <f t="shared" si="39"/>
        <v>10400</v>
      </c>
      <c r="AQ160" s="2">
        <f t="shared" si="40"/>
        <v>15599</v>
      </c>
      <c r="AR160" s="2">
        <f t="shared" si="41"/>
        <v>17499</v>
      </c>
      <c r="AS160" s="2">
        <f t="shared" si="42"/>
        <v>3336</v>
      </c>
      <c r="AT160" s="2">
        <f t="shared" si="43"/>
        <v>2296</v>
      </c>
      <c r="AU160" s="2">
        <f t="shared" si="44"/>
        <v>1776</v>
      </c>
      <c r="AV160" s="2">
        <f t="shared" si="45"/>
        <v>1464</v>
      </c>
      <c r="AW160" s="2">
        <f t="shared" si="46"/>
        <v>1256</v>
      </c>
      <c r="AX160" s="2">
        <f t="shared" si="47"/>
        <v>996</v>
      </c>
    </row>
    <row r="161" ht="14.25" customHeight="1">
      <c r="A161" s="2" t="str">
        <f t="array" ref="A161">IFERROR(INDEX('Product Price'!A:A,SMALL('Product Price'!$D:$D,159)),"")</f>
        <v>XIAOMI 17T 12/512 GB</v>
      </c>
      <c r="B161" s="2">
        <f t="array" ref="B161">IFERROR(INDEX('Product Price'!B:B,SMALL('Product Price'!$D:$D,159)),"")</f>
        <v>22999</v>
      </c>
      <c r="C161" s="2">
        <f t="array" ref="C161">IFERROR(INDEX('Product Price'!C:C,SMALL('Product Price'!$D:$D,159)),"")</f>
        <v>139</v>
      </c>
      <c r="D161" s="2">
        <f t="shared" si="1"/>
        <v>1900</v>
      </c>
      <c r="E161" s="2">
        <f t="shared" si="2"/>
        <v>24899</v>
      </c>
      <c r="F161" s="2">
        <f t="shared" si="48"/>
        <v>3450</v>
      </c>
      <c r="G161" s="2">
        <f t="shared" si="4"/>
        <v>19549</v>
      </c>
      <c r="H161" s="2">
        <f t="shared" si="5"/>
        <v>21449</v>
      </c>
      <c r="I161" s="2">
        <f t="shared" si="6"/>
        <v>4090</v>
      </c>
      <c r="J161" s="2">
        <f t="shared" si="7"/>
        <v>2814</v>
      </c>
      <c r="K161" s="2">
        <f t="shared" si="8"/>
        <v>2177</v>
      </c>
      <c r="L161" s="2">
        <f t="shared" si="9"/>
        <v>1794</v>
      </c>
      <c r="M161" s="2">
        <f t="shared" si="10"/>
        <v>1539</v>
      </c>
      <c r="N161" s="2">
        <f t="shared" si="11"/>
        <v>1221</v>
      </c>
      <c r="O161" s="2">
        <f t="shared" si="12"/>
        <v>4600</v>
      </c>
      <c r="P161" s="2">
        <f t="shared" si="13"/>
        <v>18399</v>
      </c>
      <c r="Q161" s="2">
        <f t="shared" si="14"/>
        <v>20299</v>
      </c>
      <c r="R161" s="2">
        <f t="shared" si="15"/>
        <v>3870</v>
      </c>
      <c r="S161" s="2">
        <f t="shared" si="16"/>
        <v>2664</v>
      </c>
      <c r="T161" s="2">
        <f t="shared" si="17"/>
        <v>2060</v>
      </c>
      <c r="U161" s="2">
        <f t="shared" si="18"/>
        <v>1698</v>
      </c>
      <c r="V161" s="2">
        <f t="shared" si="19"/>
        <v>1457</v>
      </c>
      <c r="W161" s="2">
        <f t="shared" si="20"/>
        <v>1155</v>
      </c>
      <c r="X161" s="2">
        <f t="shared" si="21"/>
        <v>5750</v>
      </c>
      <c r="Y161" s="2">
        <f t="shared" si="22"/>
        <v>17249</v>
      </c>
      <c r="Z161" s="2">
        <f t="shared" si="23"/>
        <v>19149</v>
      </c>
      <c r="AA161" s="2">
        <f t="shared" si="24"/>
        <v>3651</v>
      </c>
      <c r="AB161" s="2">
        <f t="shared" si="25"/>
        <v>2513</v>
      </c>
      <c r="AC161" s="2">
        <f t="shared" si="26"/>
        <v>1944</v>
      </c>
      <c r="AD161" s="2">
        <f t="shared" si="27"/>
        <v>1602</v>
      </c>
      <c r="AE161" s="2">
        <f t="shared" si="28"/>
        <v>1374</v>
      </c>
      <c r="AF161" s="2">
        <f t="shared" si="29"/>
        <v>1090</v>
      </c>
      <c r="AG161" s="2">
        <f t="shared" si="30"/>
        <v>8050</v>
      </c>
      <c r="AH161" s="2">
        <f t="shared" si="31"/>
        <v>14949</v>
      </c>
      <c r="AI161" s="2">
        <f t="shared" si="32"/>
        <v>16849</v>
      </c>
      <c r="AJ161" s="2">
        <f t="shared" si="33"/>
        <v>3213</v>
      </c>
      <c r="AK161" s="2">
        <f t="shared" si="34"/>
        <v>2211</v>
      </c>
      <c r="AL161" s="2">
        <f t="shared" si="35"/>
        <v>1710</v>
      </c>
      <c r="AM161" s="2">
        <f t="shared" si="36"/>
        <v>1410</v>
      </c>
      <c r="AN161" s="2">
        <f t="shared" si="37"/>
        <v>1209</v>
      </c>
      <c r="AO161" s="2">
        <f t="shared" si="38"/>
        <v>959</v>
      </c>
      <c r="AP161" s="2">
        <f t="shared" si="39"/>
        <v>9200</v>
      </c>
      <c r="AQ161" s="2">
        <f t="shared" si="40"/>
        <v>13799</v>
      </c>
      <c r="AR161" s="2">
        <f t="shared" si="41"/>
        <v>15699</v>
      </c>
      <c r="AS161" s="2">
        <f t="shared" si="42"/>
        <v>2993</v>
      </c>
      <c r="AT161" s="2">
        <f t="shared" si="43"/>
        <v>2060</v>
      </c>
      <c r="AU161" s="2">
        <f t="shared" si="44"/>
        <v>1594</v>
      </c>
      <c r="AV161" s="2">
        <f t="shared" si="45"/>
        <v>1314</v>
      </c>
      <c r="AW161" s="2">
        <f t="shared" si="46"/>
        <v>1127</v>
      </c>
      <c r="AX161" s="2">
        <f t="shared" si="47"/>
        <v>894</v>
      </c>
    </row>
    <row r="162" ht="14.25" customHeight="1">
      <c r="A162" s="2" t="str">
        <f t="array" ref="A162">IFERROR(INDEX('Product Price'!A:A,SMALL('Product Price'!$D:$D,160)),"")</f>
        <v>XIAOMI 17T 12/256 GB</v>
      </c>
      <c r="B162" s="2">
        <f t="array" ref="B162">IFERROR(INDEX('Product Price'!B:B,SMALL('Product Price'!$D:$D,160)),"")</f>
        <v>19999</v>
      </c>
      <c r="C162" s="2">
        <f t="array" ref="C162">IFERROR(INDEX('Product Price'!C:C,SMALL('Product Price'!$D:$D,160)),"")</f>
        <v>140</v>
      </c>
      <c r="D162" s="2">
        <f t="shared" si="1"/>
        <v>1450</v>
      </c>
      <c r="E162" s="2">
        <f t="shared" si="2"/>
        <v>21449</v>
      </c>
      <c r="F162" s="2">
        <f t="shared" si="48"/>
        <v>3000</v>
      </c>
      <c r="G162" s="2">
        <f t="shared" si="4"/>
        <v>16999</v>
      </c>
      <c r="H162" s="2">
        <f t="shared" si="5"/>
        <v>18449</v>
      </c>
      <c r="I162" s="2">
        <f t="shared" si="6"/>
        <v>3518</v>
      </c>
      <c r="J162" s="2">
        <f t="shared" si="7"/>
        <v>2421</v>
      </c>
      <c r="K162" s="2">
        <f t="shared" si="8"/>
        <v>1873</v>
      </c>
      <c r="L162" s="2">
        <f t="shared" si="9"/>
        <v>1544</v>
      </c>
      <c r="M162" s="2">
        <f t="shared" si="10"/>
        <v>1324</v>
      </c>
      <c r="N162" s="2">
        <f t="shared" si="11"/>
        <v>1050</v>
      </c>
      <c r="O162" s="2">
        <f t="shared" si="12"/>
        <v>4000</v>
      </c>
      <c r="P162" s="2">
        <f t="shared" si="13"/>
        <v>15999</v>
      </c>
      <c r="Q162" s="2">
        <f t="shared" si="14"/>
        <v>17449</v>
      </c>
      <c r="R162" s="2">
        <f t="shared" si="15"/>
        <v>3327</v>
      </c>
      <c r="S162" s="2">
        <f t="shared" si="16"/>
        <v>2290</v>
      </c>
      <c r="T162" s="2">
        <f t="shared" si="17"/>
        <v>1771</v>
      </c>
      <c r="U162" s="2">
        <f t="shared" si="18"/>
        <v>1460</v>
      </c>
      <c r="V162" s="2">
        <f t="shared" si="19"/>
        <v>1252</v>
      </c>
      <c r="W162" s="2">
        <f t="shared" si="20"/>
        <v>993</v>
      </c>
      <c r="X162" s="2">
        <f t="shared" si="21"/>
        <v>5000</v>
      </c>
      <c r="Y162" s="2">
        <f t="shared" si="22"/>
        <v>14999</v>
      </c>
      <c r="Z162" s="2">
        <f t="shared" si="23"/>
        <v>16449</v>
      </c>
      <c r="AA162" s="2">
        <f t="shared" si="24"/>
        <v>3136</v>
      </c>
      <c r="AB162" s="2">
        <f t="shared" si="25"/>
        <v>2159</v>
      </c>
      <c r="AC162" s="2">
        <f t="shared" si="26"/>
        <v>1670</v>
      </c>
      <c r="AD162" s="2">
        <f t="shared" si="27"/>
        <v>1376</v>
      </c>
      <c r="AE162" s="2">
        <f t="shared" si="28"/>
        <v>1181</v>
      </c>
      <c r="AF162" s="2">
        <f t="shared" si="29"/>
        <v>936</v>
      </c>
      <c r="AG162" s="2">
        <f t="shared" si="30"/>
        <v>7000</v>
      </c>
      <c r="AH162" s="2">
        <f t="shared" si="31"/>
        <v>12999</v>
      </c>
      <c r="AI162" s="2">
        <f t="shared" si="32"/>
        <v>14449</v>
      </c>
      <c r="AJ162" s="2">
        <f t="shared" si="33"/>
        <v>2755</v>
      </c>
      <c r="AK162" s="2">
        <f t="shared" si="34"/>
        <v>1896</v>
      </c>
      <c r="AL162" s="2">
        <f t="shared" si="35"/>
        <v>1467</v>
      </c>
      <c r="AM162" s="2">
        <f t="shared" si="36"/>
        <v>1209</v>
      </c>
      <c r="AN162" s="2">
        <f t="shared" si="37"/>
        <v>1037</v>
      </c>
      <c r="AO162" s="2">
        <f t="shared" si="38"/>
        <v>822</v>
      </c>
      <c r="AP162" s="2">
        <f t="shared" si="39"/>
        <v>8000</v>
      </c>
      <c r="AQ162" s="2">
        <f t="shared" si="40"/>
        <v>11999</v>
      </c>
      <c r="AR162" s="2">
        <f t="shared" si="41"/>
        <v>13449</v>
      </c>
      <c r="AS162" s="2">
        <f t="shared" si="42"/>
        <v>2564</v>
      </c>
      <c r="AT162" s="2">
        <f t="shared" si="43"/>
        <v>1765</v>
      </c>
      <c r="AU162" s="2">
        <f t="shared" si="44"/>
        <v>1365</v>
      </c>
      <c r="AV162" s="2">
        <f t="shared" si="45"/>
        <v>1125</v>
      </c>
      <c r="AW162" s="2">
        <f t="shared" si="46"/>
        <v>965</v>
      </c>
      <c r="AX162" s="2">
        <f t="shared" si="47"/>
        <v>766</v>
      </c>
    </row>
    <row r="163" ht="14.25" customHeight="1">
      <c r="A163" s="2" t="str">
        <f t="array" ref="A163">IFERROR(INDEX('Product Price'!A:A,SMALL('Product Price'!$D:$D,161)),"")</f>
        <v>REDMI Pad 2 9.7 4G 4/128 GB</v>
      </c>
      <c r="B163" s="2">
        <f t="array" ref="B163">IFERROR(INDEX('Product Price'!B:B,SMALL('Product Price'!$D:$D,161)),"")</f>
        <v>5999</v>
      </c>
      <c r="C163" s="2">
        <f t="array" ref="C163">IFERROR(INDEX('Product Price'!C:C,SMALL('Product Price'!$D:$D,161)),"")</f>
        <v>141</v>
      </c>
      <c r="D163" s="2">
        <f t="shared" si="1"/>
        <v>795</v>
      </c>
      <c r="E163" s="2">
        <f t="shared" si="2"/>
        <v>6794</v>
      </c>
      <c r="F163" s="2">
        <f t="shared" si="48"/>
        <v>900</v>
      </c>
      <c r="G163" s="2">
        <f t="shared" si="4"/>
        <v>5099</v>
      </c>
      <c r="H163" s="2">
        <f t="shared" si="5"/>
        <v>5894</v>
      </c>
      <c r="I163" s="2">
        <f t="shared" si="6"/>
        <v>1124</v>
      </c>
      <c r="J163" s="2">
        <f t="shared" si="7"/>
        <v>774</v>
      </c>
      <c r="K163" s="2">
        <f t="shared" si="8"/>
        <v>599</v>
      </c>
      <c r="L163" s="2">
        <f t="shared" si="9"/>
        <v>493</v>
      </c>
      <c r="M163" s="2">
        <f t="shared" si="10"/>
        <v>423</v>
      </c>
      <c r="N163" s="2" t="str">
        <f t="shared" si="11"/>
        <v>-</v>
      </c>
      <c r="O163" s="2">
        <f t="shared" si="12"/>
        <v>1200</v>
      </c>
      <c r="P163" s="2">
        <f t="shared" si="13"/>
        <v>4799</v>
      </c>
      <c r="Q163" s="2">
        <f t="shared" si="14"/>
        <v>5594</v>
      </c>
      <c r="R163" s="2">
        <f t="shared" si="15"/>
        <v>1067</v>
      </c>
      <c r="S163" s="2">
        <f t="shared" si="16"/>
        <v>734</v>
      </c>
      <c r="T163" s="2">
        <f t="shared" si="17"/>
        <v>568</v>
      </c>
      <c r="U163" s="2">
        <f t="shared" si="18"/>
        <v>468</v>
      </c>
      <c r="V163" s="2">
        <f t="shared" si="19"/>
        <v>402</v>
      </c>
      <c r="W163" s="2" t="str">
        <f t="shared" si="20"/>
        <v>-</v>
      </c>
      <c r="X163" s="2">
        <f t="shared" si="21"/>
        <v>1500</v>
      </c>
      <c r="Y163" s="2">
        <f t="shared" si="22"/>
        <v>4499</v>
      </c>
      <c r="Z163" s="2">
        <f t="shared" si="23"/>
        <v>5294</v>
      </c>
      <c r="AA163" s="2">
        <f t="shared" si="24"/>
        <v>1010</v>
      </c>
      <c r="AB163" s="2">
        <f t="shared" si="25"/>
        <v>695</v>
      </c>
      <c r="AC163" s="2">
        <f t="shared" si="26"/>
        <v>538</v>
      </c>
      <c r="AD163" s="2">
        <f t="shared" si="27"/>
        <v>443</v>
      </c>
      <c r="AE163" s="2" t="str">
        <f t="shared" si="28"/>
        <v>-</v>
      </c>
      <c r="AF163" s="2" t="str">
        <f t="shared" si="29"/>
        <v>-</v>
      </c>
      <c r="AG163" s="2">
        <f t="shared" si="30"/>
        <v>2100</v>
      </c>
      <c r="AH163" s="2">
        <f t="shared" si="31"/>
        <v>3899</v>
      </c>
      <c r="AI163" s="2">
        <f t="shared" si="32"/>
        <v>4694</v>
      </c>
      <c r="AJ163" s="2">
        <f t="shared" si="33"/>
        <v>895</v>
      </c>
      <c r="AK163" s="2">
        <f t="shared" si="34"/>
        <v>616</v>
      </c>
      <c r="AL163" s="2">
        <f t="shared" si="35"/>
        <v>477</v>
      </c>
      <c r="AM163" s="2" t="str">
        <f t="shared" si="36"/>
        <v>-</v>
      </c>
      <c r="AN163" s="2" t="str">
        <f t="shared" si="37"/>
        <v>-</v>
      </c>
      <c r="AO163" s="2" t="str">
        <f t="shared" si="38"/>
        <v>-</v>
      </c>
      <c r="AP163" s="2">
        <f t="shared" si="39"/>
        <v>2400</v>
      </c>
      <c r="AQ163" s="2">
        <f t="shared" si="40"/>
        <v>3599</v>
      </c>
      <c r="AR163" s="2">
        <f t="shared" si="41"/>
        <v>4394</v>
      </c>
      <c r="AS163" s="2">
        <f t="shared" si="42"/>
        <v>838</v>
      </c>
      <c r="AT163" s="2">
        <f t="shared" si="43"/>
        <v>577</v>
      </c>
      <c r="AU163" s="2">
        <f t="shared" si="44"/>
        <v>446</v>
      </c>
      <c r="AV163" s="2" t="str">
        <f t="shared" si="45"/>
        <v>-</v>
      </c>
      <c r="AW163" s="2" t="str">
        <f t="shared" si="46"/>
        <v>-</v>
      </c>
      <c r="AX163" s="2" t="str">
        <f t="shared" si="47"/>
        <v>-</v>
      </c>
    </row>
    <row r="164" ht="14.25" customHeight="1">
      <c r="A164" s="2" t="str">
        <f t="array" ref="A164">IFERROR(INDEX('Product Price'!A:A,SMALL('Product Price'!$D:$D,162)),"")</f>
        <v>REDMI Pad 2 9.7 4G 4/64 GB</v>
      </c>
      <c r="B164" s="2">
        <f t="array" ref="B164">IFERROR(INDEX('Product Price'!B:B,SMALL('Product Price'!$D:$D,162)),"")</f>
        <v>5499</v>
      </c>
      <c r="C164" s="2">
        <f t="array" ref="C164">IFERROR(INDEX('Product Price'!C:C,SMALL('Product Price'!$D:$D,162)),"")</f>
        <v>142</v>
      </c>
      <c r="D164" s="2">
        <f t="shared" si="1"/>
        <v>795</v>
      </c>
      <c r="E164" s="2">
        <f t="shared" si="2"/>
        <v>6294</v>
      </c>
      <c r="F164" s="2">
        <f t="shared" si="48"/>
        <v>825</v>
      </c>
      <c r="G164" s="2">
        <f t="shared" si="4"/>
        <v>4674</v>
      </c>
      <c r="H164" s="2">
        <f t="shared" si="5"/>
        <v>5469</v>
      </c>
      <c r="I164" s="2">
        <f t="shared" si="6"/>
        <v>1043</v>
      </c>
      <c r="J164" s="2">
        <f t="shared" si="7"/>
        <v>718</v>
      </c>
      <c r="K164" s="2">
        <f t="shared" si="8"/>
        <v>555</v>
      </c>
      <c r="L164" s="2">
        <f t="shared" si="9"/>
        <v>458</v>
      </c>
      <c r="M164" s="2" t="str">
        <f t="shared" si="10"/>
        <v>-</v>
      </c>
      <c r="N164" s="2" t="str">
        <f t="shared" si="11"/>
        <v>-</v>
      </c>
      <c r="O164" s="2">
        <f t="shared" si="12"/>
        <v>1100</v>
      </c>
      <c r="P164" s="2">
        <f t="shared" si="13"/>
        <v>4399</v>
      </c>
      <c r="Q164" s="2">
        <f t="shared" si="14"/>
        <v>5194</v>
      </c>
      <c r="R164" s="2">
        <f t="shared" si="15"/>
        <v>991</v>
      </c>
      <c r="S164" s="2">
        <f t="shared" si="16"/>
        <v>682</v>
      </c>
      <c r="T164" s="2">
        <f t="shared" si="17"/>
        <v>528</v>
      </c>
      <c r="U164" s="2">
        <f t="shared" si="18"/>
        <v>435</v>
      </c>
      <c r="V164" s="2" t="str">
        <f t="shared" si="19"/>
        <v>-</v>
      </c>
      <c r="W164" s="2" t="str">
        <f t="shared" si="20"/>
        <v>-</v>
      </c>
      <c r="X164" s="2">
        <f t="shared" si="21"/>
        <v>1375</v>
      </c>
      <c r="Y164" s="2">
        <f t="shared" si="22"/>
        <v>4124</v>
      </c>
      <c r="Z164" s="2">
        <f t="shared" si="23"/>
        <v>4919</v>
      </c>
      <c r="AA164" s="2">
        <f t="shared" si="24"/>
        <v>938</v>
      </c>
      <c r="AB164" s="2">
        <f t="shared" si="25"/>
        <v>646</v>
      </c>
      <c r="AC164" s="2">
        <f t="shared" si="26"/>
        <v>500</v>
      </c>
      <c r="AD164" s="2">
        <f t="shared" si="27"/>
        <v>412</v>
      </c>
      <c r="AE164" s="2" t="str">
        <f t="shared" si="28"/>
        <v>-</v>
      </c>
      <c r="AF164" s="2" t="str">
        <f t="shared" si="29"/>
        <v>-</v>
      </c>
      <c r="AG164" s="2">
        <f t="shared" si="30"/>
        <v>1925</v>
      </c>
      <c r="AH164" s="2">
        <f t="shared" si="31"/>
        <v>3574</v>
      </c>
      <c r="AI164" s="2">
        <f t="shared" si="32"/>
        <v>4369</v>
      </c>
      <c r="AJ164" s="2">
        <f t="shared" si="33"/>
        <v>833</v>
      </c>
      <c r="AK164" s="2">
        <f t="shared" si="34"/>
        <v>574</v>
      </c>
      <c r="AL164" s="2">
        <f t="shared" si="35"/>
        <v>444</v>
      </c>
      <c r="AM164" s="2" t="str">
        <f t="shared" si="36"/>
        <v>-</v>
      </c>
      <c r="AN164" s="2" t="str">
        <f t="shared" si="37"/>
        <v>-</v>
      </c>
      <c r="AO164" s="2" t="str">
        <f t="shared" si="38"/>
        <v>-</v>
      </c>
      <c r="AP164" s="2">
        <f t="shared" si="39"/>
        <v>2200</v>
      </c>
      <c r="AQ164" s="2">
        <f t="shared" si="40"/>
        <v>3299</v>
      </c>
      <c r="AR164" s="2">
        <f t="shared" si="41"/>
        <v>4094</v>
      </c>
      <c r="AS164" s="2">
        <f t="shared" si="42"/>
        <v>781</v>
      </c>
      <c r="AT164" s="2">
        <f t="shared" si="43"/>
        <v>538</v>
      </c>
      <c r="AU164" s="2">
        <f t="shared" si="44"/>
        <v>416</v>
      </c>
      <c r="AV164" s="2" t="str">
        <f t="shared" si="45"/>
        <v>-</v>
      </c>
      <c r="AW164" s="2" t="str">
        <f t="shared" si="46"/>
        <v>-</v>
      </c>
      <c r="AX164" s="2" t="str">
        <f t="shared" si="47"/>
        <v>-</v>
      </c>
    </row>
    <row r="165" ht="14.25" customHeight="1">
      <c r="A165" s="2" t="str">
        <f t="array" ref="A165">IFERROR(INDEX('Product Price'!A:A,SMALL('Product Price'!$D:$D,163)),"")</f>
        <v>REDMI 17 5G 4/256 GB</v>
      </c>
      <c r="B165" s="2">
        <f t="array" ref="B165">IFERROR(INDEX('Product Price'!B:B,SMALL('Product Price'!$D:$D,163)),"")</f>
        <v>8999</v>
      </c>
      <c r="C165" s="2">
        <f t="array" ref="C165">IFERROR(INDEX('Product Price'!C:C,SMALL('Product Price'!$D:$D,163)),"")</f>
        <v>150</v>
      </c>
      <c r="D165" s="2">
        <f t="shared" si="1"/>
        <v>795</v>
      </c>
      <c r="E165" s="2">
        <f t="shared" si="2"/>
        <v>9794</v>
      </c>
      <c r="F165" s="2">
        <f t="shared" si="48"/>
        <v>1350</v>
      </c>
      <c r="G165" s="2">
        <f t="shared" si="4"/>
        <v>7649</v>
      </c>
      <c r="H165" s="2">
        <f t="shared" si="5"/>
        <v>8444</v>
      </c>
      <c r="I165" s="2">
        <f t="shared" si="6"/>
        <v>1610</v>
      </c>
      <c r="J165" s="2">
        <f t="shared" si="7"/>
        <v>1108</v>
      </c>
      <c r="K165" s="2">
        <f t="shared" si="8"/>
        <v>857</v>
      </c>
      <c r="L165" s="2">
        <f t="shared" si="9"/>
        <v>707</v>
      </c>
      <c r="M165" s="2">
        <f t="shared" si="10"/>
        <v>606</v>
      </c>
      <c r="N165" s="2">
        <f t="shared" si="11"/>
        <v>481</v>
      </c>
      <c r="O165" s="2">
        <f t="shared" si="12"/>
        <v>1800</v>
      </c>
      <c r="P165" s="2">
        <f t="shared" si="13"/>
        <v>7199</v>
      </c>
      <c r="Q165" s="2">
        <f t="shared" si="14"/>
        <v>7994</v>
      </c>
      <c r="R165" s="2">
        <f t="shared" si="15"/>
        <v>1524</v>
      </c>
      <c r="S165" s="2">
        <f t="shared" si="16"/>
        <v>1049</v>
      </c>
      <c r="T165" s="2">
        <f t="shared" si="17"/>
        <v>812</v>
      </c>
      <c r="U165" s="2">
        <f t="shared" si="18"/>
        <v>669</v>
      </c>
      <c r="V165" s="2">
        <f t="shared" si="19"/>
        <v>574</v>
      </c>
      <c r="W165" s="2">
        <f t="shared" si="20"/>
        <v>455</v>
      </c>
      <c r="X165" s="2">
        <f t="shared" si="21"/>
        <v>2250</v>
      </c>
      <c r="Y165" s="2">
        <f t="shared" si="22"/>
        <v>6749</v>
      </c>
      <c r="Z165" s="2">
        <f t="shared" si="23"/>
        <v>7544</v>
      </c>
      <c r="AA165" s="2">
        <f t="shared" si="24"/>
        <v>1439</v>
      </c>
      <c r="AB165" s="2">
        <f t="shared" si="25"/>
        <v>990</v>
      </c>
      <c r="AC165" s="2">
        <f t="shared" si="26"/>
        <v>766</v>
      </c>
      <c r="AD165" s="2">
        <f t="shared" si="27"/>
        <v>631</v>
      </c>
      <c r="AE165" s="2">
        <f t="shared" si="28"/>
        <v>542</v>
      </c>
      <c r="AF165" s="2">
        <f t="shared" si="29"/>
        <v>430</v>
      </c>
      <c r="AG165" s="2">
        <f t="shared" si="30"/>
        <v>3150</v>
      </c>
      <c r="AH165" s="2">
        <f t="shared" si="31"/>
        <v>5849</v>
      </c>
      <c r="AI165" s="2">
        <f t="shared" si="32"/>
        <v>6644</v>
      </c>
      <c r="AJ165" s="2">
        <f t="shared" si="33"/>
        <v>1267</v>
      </c>
      <c r="AK165" s="2">
        <f t="shared" si="34"/>
        <v>872</v>
      </c>
      <c r="AL165" s="2">
        <f t="shared" si="35"/>
        <v>675</v>
      </c>
      <c r="AM165" s="2">
        <f t="shared" si="36"/>
        <v>556</v>
      </c>
      <c r="AN165" s="2">
        <f t="shared" si="37"/>
        <v>477</v>
      </c>
      <c r="AO165" s="2" t="str">
        <f t="shared" si="38"/>
        <v>-</v>
      </c>
      <c r="AP165" s="2">
        <f t="shared" si="39"/>
        <v>3600</v>
      </c>
      <c r="AQ165" s="2">
        <f t="shared" si="40"/>
        <v>5399</v>
      </c>
      <c r="AR165" s="2">
        <f t="shared" si="41"/>
        <v>6194</v>
      </c>
      <c r="AS165" s="2">
        <f t="shared" si="42"/>
        <v>1181</v>
      </c>
      <c r="AT165" s="2">
        <f t="shared" si="43"/>
        <v>813</v>
      </c>
      <c r="AU165" s="2">
        <f t="shared" si="44"/>
        <v>629</v>
      </c>
      <c r="AV165" s="2">
        <f t="shared" si="45"/>
        <v>519</v>
      </c>
      <c r="AW165" s="2">
        <f t="shared" si="46"/>
        <v>445</v>
      </c>
      <c r="AX165" s="2" t="str">
        <f t="shared" si="47"/>
        <v>-</v>
      </c>
    </row>
    <row r="166" ht="14.25" customHeight="1">
      <c r="A166" s="2" t="str">
        <f t="array" ref="A166">IFERROR(INDEX('Product Price'!A:A,SMALL('Product Price'!$D:$D,164)),"")</f>
        <v>REDMI 17 5G 4/128 GB</v>
      </c>
      <c r="B166" s="2">
        <f t="array" ref="B166">IFERROR(INDEX('Product Price'!B:B,SMALL('Product Price'!$D:$D,164)),"")</f>
        <v>7999</v>
      </c>
      <c r="C166" s="2">
        <f t="array" ref="C166">IFERROR(INDEX('Product Price'!C:C,SMALL('Product Price'!$D:$D,164)),"")</f>
        <v>151</v>
      </c>
      <c r="D166" s="2">
        <f t="shared" si="1"/>
        <v>795</v>
      </c>
      <c r="E166" s="2">
        <f t="shared" si="2"/>
        <v>8794</v>
      </c>
      <c r="F166" s="2">
        <f t="shared" si="48"/>
        <v>1200</v>
      </c>
      <c r="G166" s="2">
        <f t="shared" si="4"/>
        <v>6799</v>
      </c>
      <c r="H166" s="2">
        <f t="shared" si="5"/>
        <v>7594</v>
      </c>
      <c r="I166" s="2">
        <f t="shared" si="6"/>
        <v>1448</v>
      </c>
      <c r="J166" s="2">
        <f t="shared" si="7"/>
        <v>997</v>
      </c>
      <c r="K166" s="2">
        <f t="shared" si="8"/>
        <v>771</v>
      </c>
      <c r="L166" s="2">
        <f t="shared" si="9"/>
        <v>636</v>
      </c>
      <c r="M166" s="2">
        <f t="shared" si="10"/>
        <v>545</v>
      </c>
      <c r="N166" s="2">
        <f t="shared" si="11"/>
        <v>433</v>
      </c>
      <c r="O166" s="2">
        <f t="shared" si="12"/>
        <v>1600</v>
      </c>
      <c r="P166" s="2">
        <f t="shared" si="13"/>
        <v>6399</v>
      </c>
      <c r="Q166" s="2">
        <f t="shared" si="14"/>
        <v>7194</v>
      </c>
      <c r="R166" s="2">
        <f t="shared" si="15"/>
        <v>1372</v>
      </c>
      <c r="S166" s="2">
        <f t="shared" si="16"/>
        <v>944</v>
      </c>
      <c r="T166" s="2">
        <f t="shared" si="17"/>
        <v>730</v>
      </c>
      <c r="U166" s="2">
        <f t="shared" si="18"/>
        <v>602</v>
      </c>
      <c r="V166" s="2">
        <f t="shared" si="19"/>
        <v>517</v>
      </c>
      <c r="W166" s="2">
        <f t="shared" si="20"/>
        <v>410</v>
      </c>
      <c r="X166" s="2">
        <f t="shared" si="21"/>
        <v>2000</v>
      </c>
      <c r="Y166" s="2">
        <f t="shared" si="22"/>
        <v>5999</v>
      </c>
      <c r="Z166" s="2">
        <f t="shared" si="23"/>
        <v>6794</v>
      </c>
      <c r="AA166" s="2">
        <f t="shared" si="24"/>
        <v>1296</v>
      </c>
      <c r="AB166" s="2">
        <f t="shared" si="25"/>
        <v>892</v>
      </c>
      <c r="AC166" s="2">
        <f t="shared" si="26"/>
        <v>690</v>
      </c>
      <c r="AD166" s="2">
        <f t="shared" si="27"/>
        <v>569</v>
      </c>
      <c r="AE166" s="2">
        <f t="shared" si="28"/>
        <v>488</v>
      </c>
      <c r="AF166" s="2" t="str">
        <f t="shared" si="29"/>
        <v>-</v>
      </c>
      <c r="AG166" s="2">
        <f t="shared" si="30"/>
        <v>2800</v>
      </c>
      <c r="AH166" s="2">
        <f t="shared" si="31"/>
        <v>5199</v>
      </c>
      <c r="AI166" s="2">
        <f t="shared" si="32"/>
        <v>5994</v>
      </c>
      <c r="AJ166" s="2">
        <f t="shared" si="33"/>
        <v>1143</v>
      </c>
      <c r="AK166" s="2">
        <f t="shared" si="34"/>
        <v>787</v>
      </c>
      <c r="AL166" s="2">
        <f t="shared" si="35"/>
        <v>609</v>
      </c>
      <c r="AM166" s="2">
        <f t="shared" si="36"/>
        <v>502</v>
      </c>
      <c r="AN166" s="2">
        <f t="shared" si="37"/>
        <v>431</v>
      </c>
      <c r="AO166" s="2" t="str">
        <f t="shared" si="38"/>
        <v>-</v>
      </c>
      <c r="AP166" s="2">
        <f t="shared" si="39"/>
        <v>3200</v>
      </c>
      <c r="AQ166" s="2">
        <f t="shared" si="40"/>
        <v>4799</v>
      </c>
      <c r="AR166" s="2">
        <f t="shared" si="41"/>
        <v>5594</v>
      </c>
      <c r="AS166" s="2">
        <f t="shared" si="42"/>
        <v>1067</v>
      </c>
      <c r="AT166" s="2">
        <f t="shared" si="43"/>
        <v>734</v>
      </c>
      <c r="AU166" s="2">
        <f t="shared" si="44"/>
        <v>568</v>
      </c>
      <c r="AV166" s="2">
        <f t="shared" si="45"/>
        <v>468</v>
      </c>
      <c r="AW166" s="2">
        <f t="shared" si="46"/>
        <v>402</v>
      </c>
      <c r="AX166" s="2" t="str">
        <f t="shared" si="47"/>
        <v>-</v>
      </c>
    </row>
    <row r="167" ht="14.25" customHeight="1">
      <c r="A167" s="2" t="str">
        <f t="array" ref="A167">IFERROR(INDEX('Product Price'!A:A,SMALL('Product Price'!$D:$D,165)),"")</f>
        <v>REDMI 17 4/256 GB</v>
      </c>
      <c r="B167" s="2">
        <f t="array" ref="B167">IFERROR(INDEX('Product Price'!B:B,SMALL('Product Price'!$D:$D,165)),"")</f>
        <v>7999</v>
      </c>
      <c r="C167" s="2">
        <f t="array" ref="C167">IFERROR(INDEX('Product Price'!C:C,SMALL('Product Price'!$D:$D,165)),"")</f>
        <v>152</v>
      </c>
      <c r="D167" s="2">
        <f t="shared" si="1"/>
        <v>795</v>
      </c>
      <c r="E167" s="2">
        <f t="shared" si="2"/>
        <v>8794</v>
      </c>
      <c r="F167" s="2">
        <f t="shared" si="48"/>
        <v>1200</v>
      </c>
      <c r="G167" s="2">
        <f t="shared" si="4"/>
        <v>6799</v>
      </c>
      <c r="H167" s="2">
        <f t="shared" si="5"/>
        <v>7594</v>
      </c>
      <c r="I167" s="2">
        <f t="shared" si="6"/>
        <v>1448</v>
      </c>
      <c r="J167" s="2">
        <f t="shared" si="7"/>
        <v>997</v>
      </c>
      <c r="K167" s="2">
        <f t="shared" si="8"/>
        <v>771</v>
      </c>
      <c r="L167" s="2">
        <f t="shared" si="9"/>
        <v>636</v>
      </c>
      <c r="M167" s="2">
        <f t="shared" si="10"/>
        <v>545</v>
      </c>
      <c r="N167" s="2">
        <f t="shared" si="11"/>
        <v>433</v>
      </c>
      <c r="O167" s="2">
        <f t="shared" si="12"/>
        <v>1600</v>
      </c>
      <c r="P167" s="2">
        <f t="shared" si="13"/>
        <v>6399</v>
      </c>
      <c r="Q167" s="2">
        <f t="shared" si="14"/>
        <v>7194</v>
      </c>
      <c r="R167" s="2">
        <f t="shared" si="15"/>
        <v>1372</v>
      </c>
      <c r="S167" s="2">
        <f t="shared" si="16"/>
        <v>944</v>
      </c>
      <c r="T167" s="2">
        <f t="shared" si="17"/>
        <v>730</v>
      </c>
      <c r="U167" s="2">
        <f t="shared" si="18"/>
        <v>602</v>
      </c>
      <c r="V167" s="2">
        <f t="shared" si="19"/>
        <v>517</v>
      </c>
      <c r="W167" s="2">
        <f t="shared" si="20"/>
        <v>410</v>
      </c>
      <c r="X167" s="2">
        <f t="shared" si="21"/>
        <v>2000</v>
      </c>
      <c r="Y167" s="2">
        <f t="shared" si="22"/>
        <v>5999</v>
      </c>
      <c r="Z167" s="2">
        <f t="shared" si="23"/>
        <v>6794</v>
      </c>
      <c r="AA167" s="2">
        <f t="shared" si="24"/>
        <v>1296</v>
      </c>
      <c r="AB167" s="2">
        <f t="shared" si="25"/>
        <v>892</v>
      </c>
      <c r="AC167" s="2">
        <f t="shared" si="26"/>
        <v>690</v>
      </c>
      <c r="AD167" s="2">
        <f t="shared" si="27"/>
        <v>569</v>
      </c>
      <c r="AE167" s="2">
        <f t="shared" si="28"/>
        <v>488</v>
      </c>
      <c r="AF167" s="2" t="str">
        <f t="shared" si="29"/>
        <v>-</v>
      </c>
      <c r="AG167" s="2">
        <f t="shared" si="30"/>
        <v>2800</v>
      </c>
      <c r="AH167" s="2">
        <f t="shared" si="31"/>
        <v>5199</v>
      </c>
      <c r="AI167" s="2">
        <f t="shared" si="32"/>
        <v>5994</v>
      </c>
      <c r="AJ167" s="2">
        <f t="shared" si="33"/>
        <v>1143</v>
      </c>
      <c r="AK167" s="2">
        <f t="shared" si="34"/>
        <v>787</v>
      </c>
      <c r="AL167" s="2">
        <f t="shared" si="35"/>
        <v>609</v>
      </c>
      <c r="AM167" s="2">
        <f t="shared" si="36"/>
        <v>502</v>
      </c>
      <c r="AN167" s="2">
        <f t="shared" si="37"/>
        <v>431</v>
      </c>
      <c r="AO167" s="2" t="str">
        <f t="shared" si="38"/>
        <v>-</v>
      </c>
      <c r="AP167" s="2">
        <f t="shared" si="39"/>
        <v>3200</v>
      </c>
      <c r="AQ167" s="2">
        <f t="shared" si="40"/>
        <v>4799</v>
      </c>
      <c r="AR167" s="2">
        <f t="shared" si="41"/>
        <v>5594</v>
      </c>
      <c r="AS167" s="2">
        <f t="shared" si="42"/>
        <v>1067</v>
      </c>
      <c r="AT167" s="2">
        <f t="shared" si="43"/>
        <v>734</v>
      </c>
      <c r="AU167" s="2">
        <f t="shared" si="44"/>
        <v>568</v>
      </c>
      <c r="AV167" s="2">
        <f t="shared" si="45"/>
        <v>468</v>
      </c>
      <c r="AW167" s="2">
        <f t="shared" si="46"/>
        <v>402</v>
      </c>
      <c r="AX167" s="2" t="str">
        <f t="shared" si="47"/>
        <v>-</v>
      </c>
    </row>
    <row r="168" ht="14.25" customHeight="1">
      <c r="A168" s="2" t="str">
        <f t="array" ref="A168">IFERROR(INDEX('Product Price'!A:A,SMALL('Product Price'!$D:$D,166)),"")</f>
        <v>REDMI 17 4/128 GB</v>
      </c>
      <c r="B168" s="2">
        <f t="array" ref="B168">IFERROR(INDEX('Product Price'!B:B,SMALL('Product Price'!$D:$D,166)),"")</f>
        <v>6999</v>
      </c>
      <c r="C168" s="2">
        <f t="array" ref="C168">IFERROR(INDEX('Product Price'!C:C,SMALL('Product Price'!$D:$D,166)),"")</f>
        <v>153</v>
      </c>
      <c r="D168" s="2">
        <f t="shared" si="1"/>
        <v>795</v>
      </c>
      <c r="E168" s="2">
        <f t="shared" si="2"/>
        <v>7794</v>
      </c>
      <c r="F168" s="2">
        <f t="shared" si="48"/>
        <v>1050</v>
      </c>
      <c r="G168" s="2">
        <f t="shared" si="4"/>
        <v>5949</v>
      </c>
      <c r="H168" s="2">
        <f t="shared" si="5"/>
        <v>6744</v>
      </c>
      <c r="I168" s="2">
        <f t="shared" si="6"/>
        <v>1286</v>
      </c>
      <c r="J168" s="2">
        <f t="shared" si="7"/>
        <v>885</v>
      </c>
      <c r="K168" s="2">
        <f t="shared" si="8"/>
        <v>685</v>
      </c>
      <c r="L168" s="2">
        <f t="shared" si="9"/>
        <v>565</v>
      </c>
      <c r="M168" s="2">
        <f t="shared" si="10"/>
        <v>484</v>
      </c>
      <c r="N168" s="2" t="str">
        <f t="shared" si="11"/>
        <v>-</v>
      </c>
      <c r="O168" s="2">
        <f t="shared" si="12"/>
        <v>1400</v>
      </c>
      <c r="P168" s="2">
        <f t="shared" si="13"/>
        <v>5599</v>
      </c>
      <c r="Q168" s="2">
        <f t="shared" si="14"/>
        <v>6394</v>
      </c>
      <c r="R168" s="2">
        <f t="shared" si="15"/>
        <v>1219</v>
      </c>
      <c r="S168" s="2">
        <f t="shared" si="16"/>
        <v>839</v>
      </c>
      <c r="T168" s="2">
        <f t="shared" si="17"/>
        <v>649</v>
      </c>
      <c r="U168" s="2">
        <f t="shared" si="18"/>
        <v>535</v>
      </c>
      <c r="V168" s="2">
        <f t="shared" si="19"/>
        <v>459</v>
      </c>
      <c r="W168" s="2" t="str">
        <f t="shared" si="20"/>
        <v>-</v>
      </c>
      <c r="X168" s="2">
        <f t="shared" si="21"/>
        <v>1750</v>
      </c>
      <c r="Y168" s="2">
        <f t="shared" si="22"/>
        <v>5249</v>
      </c>
      <c r="Z168" s="2">
        <f t="shared" si="23"/>
        <v>6044</v>
      </c>
      <c r="AA168" s="2">
        <f t="shared" si="24"/>
        <v>1153</v>
      </c>
      <c r="AB168" s="2">
        <f t="shared" si="25"/>
        <v>793</v>
      </c>
      <c r="AC168" s="2">
        <f t="shared" si="26"/>
        <v>614</v>
      </c>
      <c r="AD168" s="2">
        <f t="shared" si="27"/>
        <v>506</v>
      </c>
      <c r="AE168" s="2">
        <f t="shared" si="28"/>
        <v>434</v>
      </c>
      <c r="AF168" s="2" t="str">
        <f t="shared" si="29"/>
        <v>-</v>
      </c>
      <c r="AG168" s="2">
        <f t="shared" si="30"/>
        <v>2450</v>
      </c>
      <c r="AH168" s="2">
        <f t="shared" si="31"/>
        <v>4549</v>
      </c>
      <c r="AI168" s="2">
        <f t="shared" si="32"/>
        <v>5344</v>
      </c>
      <c r="AJ168" s="2">
        <f t="shared" si="33"/>
        <v>1019</v>
      </c>
      <c r="AK168" s="2">
        <f t="shared" si="34"/>
        <v>702</v>
      </c>
      <c r="AL168" s="2">
        <f t="shared" si="35"/>
        <v>543</v>
      </c>
      <c r="AM168" s="2">
        <f t="shared" si="36"/>
        <v>447</v>
      </c>
      <c r="AN168" s="2" t="str">
        <f t="shared" si="37"/>
        <v>-</v>
      </c>
      <c r="AO168" s="2" t="str">
        <f t="shared" si="38"/>
        <v>-</v>
      </c>
      <c r="AP168" s="2">
        <f t="shared" si="39"/>
        <v>2800</v>
      </c>
      <c r="AQ168" s="2">
        <f t="shared" si="40"/>
        <v>4199</v>
      </c>
      <c r="AR168" s="2">
        <f t="shared" si="41"/>
        <v>4994</v>
      </c>
      <c r="AS168" s="2">
        <f t="shared" si="42"/>
        <v>953</v>
      </c>
      <c r="AT168" s="2">
        <f t="shared" si="43"/>
        <v>656</v>
      </c>
      <c r="AU168" s="2">
        <f t="shared" si="44"/>
        <v>507</v>
      </c>
      <c r="AV168" s="2">
        <f t="shared" si="45"/>
        <v>418</v>
      </c>
      <c r="AW168" s="2" t="str">
        <f t="shared" si="46"/>
        <v>-</v>
      </c>
      <c r="AX168" s="2" t="str">
        <f t="shared" si="47"/>
        <v>-</v>
      </c>
    </row>
    <row r="169" ht="14.25" customHeight="1">
      <c r="A169" s="2" t="str">
        <f t="array" ref="A169">IFERROR(INDEX('Product Price'!A:A,SMALL('Product Price'!$D:$D,167)),"")</f>
        <v>XIAOMI Bundle 17T Pro 12/512 GB &amp; Redmi Watch 6</v>
      </c>
      <c r="B169" s="2">
        <f t="array" ref="B169">IFERROR(INDEX('Product Price'!B:B,SMALL('Product Price'!$D:$D,167)),"")</f>
        <v>31189</v>
      </c>
      <c r="C169" s="2">
        <f t="array" ref="C169">IFERROR(INDEX('Product Price'!C:C,SMALL('Product Price'!$D:$D,167)),"")</f>
        <v>154</v>
      </c>
      <c r="D169" s="2">
        <f t="shared" si="1"/>
        <v>1900</v>
      </c>
      <c r="E169" s="2">
        <f t="shared" si="2"/>
        <v>33089</v>
      </c>
      <c r="F169" s="2">
        <f t="shared" si="48"/>
        <v>4679</v>
      </c>
      <c r="G169" s="2">
        <f t="shared" si="4"/>
        <v>26510</v>
      </c>
      <c r="H169" s="2">
        <f t="shared" si="5"/>
        <v>28410</v>
      </c>
      <c r="I169" s="2">
        <f t="shared" si="6"/>
        <v>5417</v>
      </c>
      <c r="J169" s="2">
        <f t="shared" si="7"/>
        <v>3728</v>
      </c>
      <c r="K169" s="2">
        <f t="shared" si="8"/>
        <v>2883</v>
      </c>
      <c r="L169" s="2">
        <f t="shared" si="9"/>
        <v>2377</v>
      </c>
      <c r="M169" s="2">
        <f t="shared" si="10"/>
        <v>2039</v>
      </c>
      <c r="N169" s="2">
        <f t="shared" si="11"/>
        <v>1617</v>
      </c>
      <c r="O169" s="2">
        <f t="shared" si="12"/>
        <v>6238</v>
      </c>
      <c r="P169" s="2">
        <f t="shared" si="13"/>
        <v>24951</v>
      </c>
      <c r="Q169" s="2">
        <f t="shared" si="14"/>
        <v>26851</v>
      </c>
      <c r="R169" s="2">
        <f t="shared" si="15"/>
        <v>5119</v>
      </c>
      <c r="S169" s="2">
        <f t="shared" si="16"/>
        <v>3523</v>
      </c>
      <c r="T169" s="2">
        <f t="shared" si="17"/>
        <v>2725</v>
      </c>
      <c r="U169" s="2">
        <f t="shared" si="18"/>
        <v>2246</v>
      </c>
      <c r="V169" s="2">
        <f t="shared" si="19"/>
        <v>1927</v>
      </c>
      <c r="W169" s="2">
        <f t="shared" si="20"/>
        <v>1528</v>
      </c>
      <c r="X169" s="2">
        <f t="shared" si="21"/>
        <v>7798</v>
      </c>
      <c r="Y169" s="2">
        <f t="shared" si="22"/>
        <v>23391</v>
      </c>
      <c r="Z169" s="2">
        <f t="shared" si="23"/>
        <v>25291</v>
      </c>
      <c r="AA169" s="2">
        <f t="shared" si="24"/>
        <v>4822</v>
      </c>
      <c r="AB169" s="2">
        <f t="shared" si="25"/>
        <v>3319</v>
      </c>
      <c r="AC169" s="2">
        <f t="shared" si="26"/>
        <v>2567</v>
      </c>
      <c r="AD169" s="2">
        <f t="shared" si="27"/>
        <v>2116</v>
      </c>
      <c r="AE169" s="2">
        <f t="shared" si="28"/>
        <v>1815</v>
      </c>
      <c r="AF169" s="2">
        <f t="shared" si="29"/>
        <v>1439</v>
      </c>
      <c r="AG169" s="2">
        <f t="shared" si="30"/>
        <v>10917</v>
      </c>
      <c r="AH169" s="2">
        <f t="shared" si="31"/>
        <v>20272</v>
      </c>
      <c r="AI169" s="2">
        <f t="shared" si="32"/>
        <v>22172</v>
      </c>
      <c r="AJ169" s="2">
        <f t="shared" si="33"/>
        <v>4227</v>
      </c>
      <c r="AK169" s="2">
        <f t="shared" si="34"/>
        <v>2909</v>
      </c>
      <c r="AL169" s="2">
        <f t="shared" si="35"/>
        <v>2250</v>
      </c>
      <c r="AM169" s="2">
        <f t="shared" si="36"/>
        <v>1855</v>
      </c>
      <c r="AN169" s="2">
        <f t="shared" si="37"/>
        <v>1591</v>
      </c>
      <c r="AO169" s="2">
        <f t="shared" si="38"/>
        <v>1262</v>
      </c>
      <c r="AP169" s="2">
        <f t="shared" si="39"/>
        <v>12476</v>
      </c>
      <c r="AQ169" s="2">
        <f t="shared" si="40"/>
        <v>18713</v>
      </c>
      <c r="AR169" s="2">
        <f t="shared" si="41"/>
        <v>20613</v>
      </c>
      <c r="AS169" s="2">
        <f t="shared" si="42"/>
        <v>3930</v>
      </c>
      <c r="AT169" s="2">
        <f t="shared" si="43"/>
        <v>2705</v>
      </c>
      <c r="AU169" s="2">
        <f t="shared" si="44"/>
        <v>2092</v>
      </c>
      <c r="AV169" s="2">
        <f t="shared" si="45"/>
        <v>1725</v>
      </c>
      <c r="AW169" s="2">
        <f t="shared" si="46"/>
        <v>1479</v>
      </c>
      <c r="AX169" s="2">
        <f t="shared" si="47"/>
        <v>1173</v>
      </c>
    </row>
    <row r="170" ht="14.25" customHeight="1">
      <c r="A170" s="2" t="str">
        <f t="array" ref="A170">IFERROR(INDEX('Product Price'!A:A,SMALL('Product Price'!$D:$D,168)),"")</f>
        <v>XIAOMI Bundle 17T Pro 12/256 GB &amp; Redmi Watch 6</v>
      </c>
      <c r="B170" s="2">
        <f t="array" ref="B170">IFERROR(INDEX('Product Price'!B:B,SMALL('Product Price'!$D:$D,168)),"")</f>
        <v>29189</v>
      </c>
      <c r="C170" s="2">
        <f t="array" ref="C170">IFERROR(INDEX('Product Price'!C:C,SMALL('Product Price'!$D:$D,168)),"")</f>
        <v>155</v>
      </c>
      <c r="D170" s="2">
        <f t="shared" si="1"/>
        <v>1900</v>
      </c>
      <c r="E170" s="2">
        <f t="shared" si="2"/>
        <v>31089</v>
      </c>
      <c r="F170" s="2">
        <f t="shared" si="48"/>
        <v>4379</v>
      </c>
      <c r="G170" s="2">
        <f t="shared" si="4"/>
        <v>24810</v>
      </c>
      <c r="H170" s="2">
        <f t="shared" si="5"/>
        <v>26710</v>
      </c>
      <c r="I170" s="2">
        <f t="shared" si="6"/>
        <v>5092</v>
      </c>
      <c r="J170" s="2">
        <f t="shared" si="7"/>
        <v>3505</v>
      </c>
      <c r="K170" s="2">
        <f t="shared" si="8"/>
        <v>2711</v>
      </c>
      <c r="L170" s="2">
        <f t="shared" si="9"/>
        <v>2234</v>
      </c>
      <c r="M170" s="2">
        <f t="shared" si="10"/>
        <v>1917</v>
      </c>
      <c r="N170" s="2">
        <f t="shared" si="11"/>
        <v>1520</v>
      </c>
      <c r="O170" s="2">
        <f t="shared" si="12"/>
        <v>5838</v>
      </c>
      <c r="P170" s="2">
        <f t="shared" si="13"/>
        <v>23351</v>
      </c>
      <c r="Q170" s="2">
        <f t="shared" si="14"/>
        <v>25251</v>
      </c>
      <c r="R170" s="2">
        <f t="shared" si="15"/>
        <v>4814</v>
      </c>
      <c r="S170" s="2">
        <f t="shared" si="16"/>
        <v>3313</v>
      </c>
      <c r="T170" s="2">
        <f t="shared" si="17"/>
        <v>2563</v>
      </c>
      <c r="U170" s="2">
        <f t="shared" si="18"/>
        <v>2112</v>
      </c>
      <c r="V170" s="2">
        <f t="shared" si="19"/>
        <v>1812</v>
      </c>
      <c r="W170" s="2">
        <f t="shared" si="20"/>
        <v>1437</v>
      </c>
      <c r="X170" s="2">
        <f t="shared" si="21"/>
        <v>7298</v>
      </c>
      <c r="Y170" s="2">
        <f t="shared" si="22"/>
        <v>21891</v>
      </c>
      <c r="Z170" s="2">
        <f t="shared" si="23"/>
        <v>23791</v>
      </c>
      <c r="AA170" s="2">
        <f t="shared" si="24"/>
        <v>4536</v>
      </c>
      <c r="AB170" s="2">
        <f t="shared" si="25"/>
        <v>3122</v>
      </c>
      <c r="AC170" s="2">
        <f t="shared" si="26"/>
        <v>2415</v>
      </c>
      <c r="AD170" s="2">
        <f t="shared" si="27"/>
        <v>1990</v>
      </c>
      <c r="AE170" s="2">
        <f t="shared" si="28"/>
        <v>1707</v>
      </c>
      <c r="AF170" s="2">
        <f t="shared" si="29"/>
        <v>1354</v>
      </c>
      <c r="AG170" s="2">
        <f t="shared" si="30"/>
        <v>10217</v>
      </c>
      <c r="AH170" s="2">
        <f t="shared" si="31"/>
        <v>18972</v>
      </c>
      <c r="AI170" s="2">
        <f t="shared" si="32"/>
        <v>20872</v>
      </c>
      <c r="AJ170" s="2">
        <f t="shared" si="33"/>
        <v>3980</v>
      </c>
      <c r="AK170" s="2">
        <f t="shared" si="34"/>
        <v>2739</v>
      </c>
      <c r="AL170" s="2">
        <f t="shared" si="35"/>
        <v>2118</v>
      </c>
      <c r="AM170" s="2">
        <f t="shared" si="36"/>
        <v>1746</v>
      </c>
      <c r="AN170" s="2">
        <f t="shared" si="37"/>
        <v>1498</v>
      </c>
      <c r="AO170" s="2">
        <f t="shared" si="38"/>
        <v>1188</v>
      </c>
      <c r="AP170" s="2">
        <f t="shared" si="39"/>
        <v>11676</v>
      </c>
      <c r="AQ170" s="2">
        <f t="shared" si="40"/>
        <v>17513</v>
      </c>
      <c r="AR170" s="2">
        <f t="shared" si="41"/>
        <v>19413</v>
      </c>
      <c r="AS170" s="2">
        <f t="shared" si="42"/>
        <v>3701</v>
      </c>
      <c r="AT170" s="2">
        <f t="shared" si="43"/>
        <v>2547</v>
      </c>
      <c r="AU170" s="2">
        <f t="shared" si="44"/>
        <v>1970</v>
      </c>
      <c r="AV170" s="2">
        <f t="shared" si="45"/>
        <v>1624</v>
      </c>
      <c r="AW170" s="2">
        <f t="shared" si="46"/>
        <v>1393</v>
      </c>
      <c r="AX170" s="2">
        <f t="shared" si="47"/>
        <v>1105</v>
      </c>
    </row>
    <row r="171" ht="14.25" customHeight="1">
      <c r="A171" s="2" t="str">
        <f t="array" ref="A171">IFERROR(INDEX('Product Price'!A:A,SMALL('Product Price'!$D:$D,169)),"")</f>
        <v>XIAOMI Bundle 17T 12/512 GB &amp; Redmi Watch 6</v>
      </c>
      <c r="B171" s="2">
        <f t="array" ref="B171">IFERROR(INDEX('Product Price'!B:B,SMALL('Product Price'!$D:$D,169)),"")</f>
        <v>26189</v>
      </c>
      <c r="C171" s="2">
        <f t="array" ref="C171">IFERROR(INDEX('Product Price'!C:C,SMALL('Product Price'!$D:$D,169)),"")</f>
        <v>156</v>
      </c>
      <c r="D171" s="2">
        <f t="shared" si="1"/>
        <v>1900</v>
      </c>
      <c r="E171" s="2">
        <f t="shared" si="2"/>
        <v>28089</v>
      </c>
      <c r="F171" s="2">
        <f t="shared" si="48"/>
        <v>3929</v>
      </c>
      <c r="G171" s="2">
        <f t="shared" si="4"/>
        <v>22260</v>
      </c>
      <c r="H171" s="2">
        <f t="shared" si="5"/>
        <v>24160</v>
      </c>
      <c r="I171" s="2">
        <f t="shared" si="6"/>
        <v>4606</v>
      </c>
      <c r="J171" s="2">
        <f t="shared" si="7"/>
        <v>3170</v>
      </c>
      <c r="K171" s="2">
        <f t="shared" si="8"/>
        <v>2452</v>
      </c>
      <c r="L171" s="2">
        <f t="shared" si="9"/>
        <v>2021</v>
      </c>
      <c r="M171" s="2">
        <f t="shared" si="10"/>
        <v>1734</v>
      </c>
      <c r="N171" s="2">
        <f t="shared" si="11"/>
        <v>1375</v>
      </c>
      <c r="O171" s="2">
        <f t="shared" si="12"/>
        <v>5238</v>
      </c>
      <c r="P171" s="2">
        <f t="shared" si="13"/>
        <v>20951</v>
      </c>
      <c r="Q171" s="2">
        <f t="shared" si="14"/>
        <v>22851</v>
      </c>
      <c r="R171" s="2">
        <f t="shared" si="15"/>
        <v>4357</v>
      </c>
      <c r="S171" s="2">
        <f t="shared" si="16"/>
        <v>2998</v>
      </c>
      <c r="T171" s="2">
        <f t="shared" si="17"/>
        <v>2319</v>
      </c>
      <c r="U171" s="2">
        <f t="shared" si="18"/>
        <v>1912</v>
      </c>
      <c r="V171" s="2">
        <f t="shared" si="19"/>
        <v>1640</v>
      </c>
      <c r="W171" s="2">
        <f t="shared" si="20"/>
        <v>1300</v>
      </c>
      <c r="X171" s="2">
        <f t="shared" si="21"/>
        <v>6548</v>
      </c>
      <c r="Y171" s="2">
        <f t="shared" si="22"/>
        <v>19641</v>
      </c>
      <c r="Z171" s="2">
        <f t="shared" si="23"/>
        <v>21541</v>
      </c>
      <c r="AA171" s="2">
        <f t="shared" si="24"/>
        <v>4107</v>
      </c>
      <c r="AB171" s="2">
        <f t="shared" si="25"/>
        <v>2827</v>
      </c>
      <c r="AC171" s="2">
        <f t="shared" si="26"/>
        <v>2186</v>
      </c>
      <c r="AD171" s="2">
        <f t="shared" si="27"/>
        <v>1802</v>
      </c>
      <c r="AE171" s="2">
        <f t="shared" si="28"/>
        <v>1546</v>
      </c>
      <c r="AF171" s="2">
        <f t="shared" si="29"/>
        <v>1226</v>
      </c>
      <c r="AG171" s="2">
        <f t="shared" si="30"/>
        <v>9167</v>
      </c>
      <c r="AH171" s="2">
        <f t="shared" si="31"/>
        <v>17022</v>
      </c>
      <c r="AI171" s="2">
        <f t="shared" si="32"/>
        <v>18922</v>
      </c>
      <c r="AJ171" s="2">
        <f t="shared" si="33"/>
        <v>3608</v>
      </c>
      <c r="AK171" s="2">
        <f t="shared" si="34"/>
        <v>2483</v>
      </c>
      <c r="AL171" s="2">
        <f t="shared" si="35"/>
        <v>1921</v>
      </c>
      <c r="AM171" s="2">
        <f t="shared" si="36"/>
        <v>1583</v>
      </c>
      <c r="AN171" s="2">
        <f t="shared" si="37"/>
        <v>1358</v>
      </c>
      <c r="AO171" s="2">
        <f t="shared" si="38"/>
        <v>1077</v>
      </c>
      <c r="AP171" s="2">
        <f t="shared" si="39"/>
        <v>10476</v>
      </c>
      <c r="AQ171" s="2">
        <f t="shared" si="40"/>
        <v>15713</v>
      </c>
      <c r="AR171" s="2">
        <f t="shared" si="41"/>
        <v>17613</v>
      </c>
      <c r="AS171" s="2">
        <f t="shared" si="42"/>
        <v>3358</v>
      </c>
      <c r="AT171" s="2">
        <f t="shared" si="43"/>
        <v>2311</v>
      </c>
      <c r="AU171" s="2">
        <f t="shared" si="44"/>
        <v>1788</v>
      </c>
      <c r="AV171" s="2">
        <f t="shared" si="45"/>
        <v>1474</v>
      </c>
      <c r="AW171" s="2">
        <f t="shared" si="46"/>
        <v>1264</v>
      </c>
      <c r="AX171" s="2">
        <f t="shared" si="47"/>
        <v>1002</v>
      </c>
    </row>
    <row r="172" ht="14.25" customHeight="1">
      <c r="A172" s="2" t="str">
        <f t="array" ref="A172">IFERROR(INDEX('Product Price'!A:A,SMALL('Product Price'!$D:$D,170)),"")</f>
        <v>XIAOMI Bundle 17T 12/256 GB &amp; Redmi Watch 6</v>
      </c>
      <c r="B172" s="2">
        <f t="array" ref="B172">IFERROR(INDEX('Product Price'!B:B,SMALL('Product Price'!$D:$D,170)),"")</f>
        <v>23189</v>
      </c>
      <c r="C172" s="2">
        <f t="array" ref="C172">IFERROR(INDEX('Product Price'!C:C,SMALL('Product Price'!$D:$D,170)),"")</f>
        <v>157</v>
      </c>
      <c r="D172" s="2">
        <f t="shared" si="1"/>
        <v>1900</v>
      </c>
      <c r="E172" s="2">
        <f t="shared" si="2"/>
        <v>25089</v>
      </c>
      <c r="F172" s="2">
        <f t="shared" si="48"/>
        <v>3479</v>
      </c>
      <c r="G172" s="2">
        <f t="shared" si="4"/>
        <v>19710</v>
      </c>
      <c r="H172" s="2">
        <f t="shared" si="5"/>
        <v>21610</v>
      </c>
      <c r="I172" s="2">
        <f t="shared" si="6"/>
        <v>4120</v>
      </c>
      <c r="J172" s="2">
        <f t="shared" si="7"/>
        <v>2836</v>
      </c>
      <c r="K172" s="2">
        <f t="shared" si="8"/>
        <v>2193</v>
      </c>
      <c r="L172" s="2">
        <f t="shared" si="9"/>
        <v>1808</v>
      </c>
      <c r="M172" s="2">
        <f t="shared" si="10"/>
        <v>1551</v>
      </c>
      <c r="N172" s="2">
        <f t="shared" si="11"/>
        <v>1230</v>
      </c>
      <c r="O172" s="2">
        <f t="shared" si="12"/>
        <v>4638</v>
      </c>
      <c r="P172" s="2">
        <f t="shared" si="13"/>
        <v>18551</v>
      </c>
      <c r="Q172" s="2">
        <f t="shared" si="14"/>
        <v>20451</v>
      </c>
      <c r="R172" s="2">
        <f t="shared" si="15"/>
        <v>3899</v>
      </c>
      <c r="S172" s="2">
        <f t="shared" si="16"/>
        <v>2684</v>
      </c>
      <c r="T172" s="2">
        <f t="shared" si="17"/>
        <v>2076</v>
      </c>
      <c r="U172" s="2">
        <f t="shared" si="18"/>
        <v>1711</v>
      </c>
      <c r="V172" s="2">
        <f t="shared" si="19"/>
        <v>1468</v>
      </c>
      <c r="W172" s="2">
        <f t="shared" si="20"/>
        <v>1164</v>
      </c>
      <c r="X172" s="2">
        <f t="shared" si="21"/>
        <v>5798</v>
      </c>
      <c r="Y172" s="2">
        <f t="shared" si="22"/>
        <v>17391</v>
      </c>
      <c r="Z172" s="2">
        <f t="shared" si="23"/>
        <v>19291</v>
      </c>
      <c r="AA172" s="2">
        <f t="shared" si="24"/>
        <v>3678</v>
      </c>
      <c r="AB172" s="2">
        <f t="shared" si="25"/>
        <v>2531</v>
      </c>
      <c r="AC172" s="2">
        <f t="shared" si="26"/>
        <v>1958</v>
      </c>
      <c r="AD172" s="2">
        <f t="shared" si="27"/>
        <v>1614</v>
      </c>
      <c r="AE172" s="2">
        <f t="shared" si="28"/>
        <v>1385</v>
      </c>
      <c r="AF172" s="2">
        <f t="shared" si="29"/>
        <v>1098</v>
      </c>
      <c r="AG172" s="2">
        <f t="shared" si="30"/>
        <v>8117</v>
      </c>
      <c r="AH172" s="2">
        <f t="shared" si="31"/>
        <v>15072</v>
      </c>
      <c r="AI172" s="2">
        <f t="shared" si="32"/>
        <v>16972</v>
      </c>
      <c r="AJ172" s="2">
        <f t="shared" si="33"/>
        <v>3236</v>
      </c>
      <c r="AK172" s="2">
        <f t="shared" si="34"/>
        <v>2227</v>
      </c>
      <c r="AL172" s="2">
        <f t="shared" si="35"/>
        <v>1723</v>
      </c>
      <c r="AM172" s="2">
        <f t="shared" si="36"/>
        <v>1420</v>
      </c>
      <c r="AN172" s="2">
        <f t="shared" si="37"/>
        <v>1218</v>
      </c>
      <c r="AO172" s="2">
        <f t="shared" si="38"/>
        <v>966</v>
      </c>
      <c r="AP172" s="2">
        <f t="shared" si="39"/>
        <v>9276</v>
      </c>
      <c r="AQ172" s="2">
        <f t="shared" si="40"/>
        <v>13913</v>
      </c>
      <c r="AR172" s="2">
        <f t="shared" si="41"/>
        <v>15813</v>
      </c>
      <c r="AS172" s="2">
        <f t="shared" si="42"/>
        <v>3015</v>
      </c>
      <c r="AT172" s="2">
        <f t="shared" si="43"/>
        <v>2075</v>
      </c>
      <c r="AU172" s="2">
        <f t="shared" si="44"/>
        <v>1605</v>
      </c>
      <c r="AV172" s="2">
        <f t="shared" si="45"/>
        <v>1323</v>
      </c>
      <c r="AW172" s="2">
        <f t="shared" si="46"/>
        <v>1135</v>
      </c>
      <c r="AX172" s="2">
        <f t="shared" si="47"/>
        <v>900</v>
      </c>
    </row>
    <row r="173" ht="14.25" customHeight="1">
      <c r="A173" s="2" t="str">
        <f t="array" ref="A173">IFERROR(INDEX('Product Price'!A:A,SMALL('Product Price'!$D:$D,171)),"")</f>
        <v>INFINIX HOT 70 4/128 GB</v>
      </c>
      <c r="B173" s="2">
        <f t="array" ref="B173">IFERROR(INDEX('Product Price'!B:B,SMALL('Product Price'!$D:$D,171)),"")</f>
        <v>5799</v>
      </c>
      <c r="C173" s="2">
        <f t="array" ref="C173">IFERROR(INDEX('Product Price'!C:C,SMALL('Product Price'!$D:$D,171)),"")</f>
        <v>161</v>
      </c>
      <c r="D173" s="2">
        <f t="shared" si="1"/>
        <v>795</v>
      </c>
      <c r="E173" s="2">
        <f t="shared" si="2"/>
        <v>6594</v>
      </c>
      <c r="F173" s="2">
        <f t="shared" si="48"/>
        <v>870</v>
      </c>
      <c r="G173" s="2">
        <f t="shared" si="4"/>
        <v>4929</v>
      </c>
      <c r="H173" s="2">
        <f t="shared" si="5"/>
        <v>5724</v>
      </c>
      <c r="I173" s="2">
        <f t="shared" si="6"/>
        <v>1092</v>
      </c>
      <c r="J173" s="2">
        <f t="shared" si="7"/>
        <v>751</v>
      </c>
      <c r="K173" s="2">
        <f t="shared" si="8"/>
        <v>581</v>
      </c>
      <c r="L173" s="2">
        <f t="shared" si="9"/>
        <v>479</v>
      </c>
      <c r="M173" s="2">
        <f t="shared" si="10"/>
        <v>411</v>
      </c>
      <c r="N173" s="2" t="str">
        <f t="shared" si="11"/>
        <v>-</v>
      </c>
      <c r="O173" s="2">
        <f t="shared" si="12"/>
        <v>1160</v>
      </c>
      <c r="P173" s="2">
        <f t="shared" si="13"/>
        <v>4639</v>
      </c>
      <c r="Q173" s="2">
        <f t="shared" si="14"/>
        <v>5434</v>
      </c>
      <c r="R173" s="2">
        <f t="shared" si="15"/>
        <v>1036</v>
      </c>
      <c r="S173" s="2">
        <f t="shared" si="16"/>
        <v>713</v>
      </c>
      <c r="T173" s="2">
        <f t="shared" si="17"/>
        <v>552</v>
      </c>
      <c r="U173" s="2">
        <f t="shared" si="18"/>
        <v>455</v>
      </c>
      <c r="V173" s="2" t="str">
        <f t="shared" si="19"/>
        <v>-</v>
      </c>
      <c r="W173" s="2" t="str">
        <f t="shared" si="20"/>
        <v>-</v>
      </c>
      <c r="X173" s="2">
        <f t="shared" si="21"/>
        <v>1450</v>
      </c>
      <c r="Y173" s="2">
        <f t="shared" si="22"/>
        <v>4349</v>
      </c>
      <c r="Z173" s="2">
        <f t="shared" si="23"/>
        <v>5144</v>
      </c>
      <c r="AA173" s="2">
        <f t="shared" si="24"/>
        <v>981</v>
      </c>
      <c r="AB173" s="2">
        <f t="shared" si="25"/>
        <v>675</v>
      </c>
      <c r="AC173" s="2">
        <f t="shared" si="26"/>
        <v>522</v>
      </c>
      <c r="AD173" s="2">
        <f t="shared" si="27"/>
        <v>431</v>
      </c>
      <c r="AE173" s="2" t="str">
        <f t="shared" si="28"/>
        <v>-</v>
      </c>
      <c r="AF173" s="2" t="str">
        <f t="shared" si="29"/>
        <v>-</v>
      </c>
      <c r="AG173" s="2">
        <f t="shared" si="30"/>
        <v>2030</v>
      </c>
      <c r="AH173" s="2">
        <f t="shared" si="31"/>
        <v>3769</v>
      </c>
      <c r="AI173" s="2">
        <f t="shared" si="32"/>
        <v>4564</v>
      </c>
      <c r="AJ173" s="2">
        <f t="shared" si="33"/>
        <v>871</v>
      </c>
      <c r="AK173" s="2">
        <f t="shared" si="34"/>
        <v>599</v>
      </c>
      <c r="AL173" s="2">
        <f t="shared" si="35"/>
        <v>464</v>
      </c>
      <c r="AM173" s="2" t="str">
        <f t="shared" si="36"/>
        <v>-</v>
      </c>
      <c r="AN173" s="2" t="str">
        <f t="shared" si="37"/>
        <v>-</v>
      </c>
      <c r="AO173" s="2" t="str">
        <f t="shared" si="38"/>
        <v>-</v>
      </c>
      <c r="AP173" s="2">
        <f t="shared" si="39"/>
        <v>2320</v>
      </c>
      <c r="AQ173" s="2">
        <f t="shared" si="40"/>
        <v>3479</v>
      </c>
      <c r="AR173" s="2">
        <f t="shared" si="41"/>
        <v>4274</v>
      </c>
      <c r="AS173" s="2">
        <f t="shared" si="42"/>
        <v>815</v>
      </c>
      <c r="AT173" s="2">
        <f t="shared" si="43"/>
        <v>561</v>
      </c>
      <c r="AU173" s="2">
        <f t="shared" si="44"/>
        <v>434</v>
      </c>
      <c r="AV173" s="2" t="str">
        <f t="shared" si="45"/>
        <v>-</v>
      </c>
      <c r="AW173" s="2" t="str">
        <f t="shared" si="46"/>
        <v>-</v>
      </c>
      <c r="AX173" s="2" t="str">
        <f t="shared" si="47"/>
        <v>-</v>
      </c>
    </row>
    <row r="174" ht="14.25" customHeight="1">
      <c r="A174" s="2" t="str">
        <f t="array" ref="A174">IFERROR(INDEX('Product Price'!A:A,SMALL('Product Price'!$D:$D,172)),"")</f>
        <v>realme Bundle 16 Pro+ 5G 12/512 GB &amp; realme Watch S5</v>
      </c>
      <c r="B174" s="2">
        <f t="array" ref="B174">IFERROR(INDEX('Product Price'!B:B,SMALL('Product Price'!$D:$D,172)),"")</f>
        <v>27998</v>
      </c>
      <c r="C174" s="2">
        <f t="array" ref="C174">IFERROR(INDEX('Product Price'!C:C,SMALL('Product Price'!$D:$D,172)),"")</f>
        <v>170</v>
      </c>
      <c r="D174" s="2">
        <f t="shared" si="1"/>
        <v>1900</v>
      </c>
      <c r="E174" s="2">
        <f t="shared" si="2"/>
        <v>29898</v>
      </c>
      <c r="F174" s="2">
        <f t="shared" si="48"/>
        <v>4200</v>
      </c>
      <c r="G174" s="2">
        <f t="shared" si="4"/>
        <v>23798</v>
      </c>
      <c r="H174" s="2">
        <f t="shared" si="5"/>
        <v>25698</v>
      </c>
      <c r="I174" s="2">
        <f t="shared" si="6"/>
        <v>4900</v>
      </c>
      <c r="J174" s="2">
        <f t="shared" si="7"/>
        <v>3372</v>
      </c>
      <c r="K174" s="2">
        <f t="shared" si="8"/>
        <v>2608</v>
      </c>
      <c r="L174" s="2">
        <f t="shared" si="9"/>
        <v>2150</v>
      </c>
      <c r="M174" s="2">
        <f t="shared" si="10"/>
        <v>1844</v>
      </c>
      <c r="N174" s="2">
        <f t="shared" si="11"/>
        <v>1462</v>
      </c>
      <c r="O174" s="2">
        <f t="shared" si="12"/>
        <v>5600</v>
      </c>
      <c r="P174" s="2">
        <f t="shared" si="13"/>
        <v>22398</v>
      </c>
      <c r="Q174" s="2">
        <f t="shared" si="14"/>
        <v>24298</v>
      </c>
      <c r="R174" s="2">
        <f t="shared" si="15"/>
        <v>4633</v>
      </c>
      <c r="S174" s="2">
        <f t="shared" si="16"/>
        <v>3188</v>
      </c>
      <c r="T174" s="2">
        <f t="shared" si="17"/>
        <v>2466</v>
      </c>
      <c r="U174" s="2">
        <f t="shared" si="18"/>
        <v>2033</v>
      </c>
      <c r="V174" s="2">
        <f t="shared" si="19"/>
        <v>1744</v>
      </c>
      <c r="W174" s="2">
        <f t="shared" si="20"/>
        <v>1383</v>
      </c>
      <c r="X174" s="2">
        <f t="shared" si="21"/>
        <v>7000</v>
      </c>
      <c r="Y174" s="2">
        <f t="shared" si="22"/>
        <v>20998</v>
      </c>
      <c r="Z174" s="2">
        <f t="shared" si="23"/>
        <v>22898</v>
      </c>
      <c r="AA174" s="2">
        <f t="shared" si="24"/>
        <v>4366</v>
      </c>
      <c r="AB174" s="2">
        <f t="shared" si="25"/>
        <v>3005</v>
      </c>
      <c r="AC174" s="2">
        <f t="shared" si="26"/>
        <v>2324</v>
      </c>
      <c r="AD174" s="2">
        <f t="shared" si="27"/>
        <v>1916</v>
      </c>
      <c r="AE174" s="2">
        <f t="shared" si="28"/>
        <v>1643</v>
      </c>
      <c r="AF174" s="2">
        <f t="shared" si="29"/>
        <v>1303</v>
      </c>
      <c r="AG174" s="2">
        <f t="shared" si="30"/>
        <v>9800</v>
      </c>
      <c r="AH174" s="2">
        <f t="shared" si="31"/>
        <v>18198</v>
      </c>
      <c r="AI174" s="2">
        <f t="shared" si="32"/>
        <v>20098</v>
      </c>
      <c r="AJ174" s="2">
        <f t="shared" si="33"/>
        <v>3832</v>
      </c>
      <c r="AK174" s="2">
        <f t="shared" si="34"/>
        <v>2637</v>
      </c>
      <c r="AL174" s="2">
        <f t="shared" si="35"/>
        <v>2040</v>
      </c>
      <c r="AM174" s="2">
        <f t="shared" si="36"/>
        <v>1681</v>
      </c>
      <c r="AN174" s="2">
        <f t="shared" si="37"/>
        <v>1443</v>
      </c>
      <c r="AO174" s="2">
        <f t="shared" si="38"/>
        <v>1144</v>
      </c>
      <c r="AP174" s="2">
        <f t="shared" si="39"/>
        <v>11200</v>
      </c>
      <c r="AQ174" s="2">
        <f t="shared" si="40"/>
        <v>16798</v>
      </c>
      <c r="AR174" s="2">
        <f t="shared" si="41"/>
        <v>18698</v>
      </c>
      <c r="AS174" s="2">
        <f t="shared" si="42"/>
        <v>3565</v>
      </c>
      <c r="AT174" s="2">
        <f t="shared" si="43"/>
        <v>2454</v>
      </c>
      <c r="AU174" s="2">
        <f t="shared" si="44"/>
        <v>1898</v>
      </c>
      <c r="AV174" s="2">
        <f t="shared" si="45"/>
        <v>1564</v>
      </c>
      <c r="AW174" s="2">
        <f t="shared" si="46"/>
        <v>1342</v>
      </c>
      <c r="AX174" s="2">
        <f t="shared" si="47"/>
        <v>1064</v>
      </c>
    </row>
    <row r="175" ht="14.25" customHeight="1">
      <c r="A175" s="2" t="str">
        <f t="array" ref="A175">IFERROR(INDEX('Product Price'!A:A,SMALL('Product Price'!$D:$D,173)),"")</f>
        <v>realme Bundle 16 Pro 5G 12/512 GB &amp; realme Watch S5</v>
      </c>
      <c r="B175" s="2">
        <f t="array" ref="B175">IFERROR(INDEX('Product Price'!B:B,SMALL('Product Price'!$D:$D,173)),"")</f>
        <v>22998</v>
      </c>
      <c r="C175" s="2">
        <f t="array" ref="C175">IFERROR(INDEX('Product Price'!C:C,SMALL('Product Price'!$D:$D,173)),"")</f>
        <v>171</v>
      </c>
      <c r="D175" s="2">
        <f t="shared" si="1"/>
        <v>1900</v>
      </c>
      <c r="E175" s="2">
        <f t="shared" si="2"/>
        <v>24898</v>
      </c>
      <c r="F175" s="2">
        <f t="shared" si="48"/>
        <v>3450</v>
      </c>
      <c r="G175" s="2">
        <f t="shared" si="4"/>
        <v>19548</v>
      </c>
      <c r="H175" s="2">
        <f t="shared" si="5"/>
        <v>21448</v>
      </c>
      <c r="I175" s="2">
        <f t="shared" si="6"/>
        <v>4089</v>
      </c>
      <c r="J175" s="2">
        <f t="shared" si="7"/>
        <v>2814</v>
      </c>
      <c r="K175" s="2">
        <f t="shared" si="8"/>
        <v>2177</v>
      </c>
      <c r="L175" s="2">
        <f t="shared" si="9"/>
        <v>1794</v>
      </c>
      <c r="M175" s="2">
        <f t="shared" si="10"/>
        <v>1539</v>
      </c>
      <c r="N175" s="2">
        <f t="shared" si="11"/>
        <v>1221</v>
      </c>
      <c r="O175" s="2">
        <f t="shared" si="12"/>
        <v>4600</v>
      </c>
      <c r="P175" s="2">
        <f t="shared" si="13"/>
        <v>18398</v>
      </c>
      <c r="Q175" s="2">
        <f t="shared" si="14"/>
        <v>20298</v>
      </c>
      <c r="R175" s="2">
        <f t="shared" si="15"/>
        <v>3870</v>
      </c>
      <c r="S175" s="2">
        <f t="shared" si="16"/>
        <v>2663</v>
      </c>
      <c r="T175" s="2">
        <f t="shared" si="17"/>
        <v>2060</v>
      </c>
      <c r="U175" s="2">
        <f t="shared" si="18"/>
        <v>1698</v>
      </c>
      <c r="V175" s="2">
        <f t="shared" si="19"/>
        <v>1457</v>
      </c>
      <c r="W175" s="2">
        <f t="shared" si="20"/>
        <v>1155</v>
      </c>
      <c r="X175" s="2">
        <f t="shared" si="21"/>
        <v>5750</v>
      </c>
      <c r="Y175" s="2">
        <f t="shared" si="22"/>
        <v>17248</v>
      </c>
      <c r="Z175" s="2">
        <f t="shared" si="23"/>
        <v>19148</v>
      </c>
      <c r="AA175" s="2">
        <f t="shared" si="24"/>
        <v>3651</v>
      </c>
      <c r="AB175" s="2">
        <f t="shared" si="25"/>
        <v>2513</v>
      </c>
      <c r="AC175" s="2">
        <f t="shared" si="26"/>
        <v>1943</v>
      </c>
      <c r="AD175" s="2">
        <f t="shared" si="27"/>
        <v>1602</v>
      </c>
      <c r="AE175" s="2">
        <f t="shared" si="28"/>
        <v>1374</v>
      </c>
      <c r="AF175" s="2">
        <f t="shared" si="29"/>
        <v>1090</v>
      </c>
      <c r="AG175" s="2">
        <f t="shared" si="30"/>
        <v>8050</v>
      </c>
      <c r="AH175" s="2">
        <f t="shared" si="31"/>
        <v>14948</v>
      </c>
      <c r="AI175" s="2">
        <f t="shared" si="32"/>
        <v>16848</v>
      </c>
      <c r="AJ175" s="2">
        <f t="shared" si="33"/>
        <v>3212</v>
      </c>
      <c r="AK175" s="2">
        <f t="shared" si="34"/>
        <v>2211</v>
      </c>
      <c r="AL175" s="2">
        <f t="shared" si="35"/>
        <v>1710</v>
      </c>
      <c r="AM175" s="2">
        <f t="shared" si="36"/>
        <v>1410</v>
      </c>
      <c r="AN175" s="2">
        <f t="shared" si="37"/>
        <v>1209</v>
      </c>
      <c r="AO175" s="2">
        <f t="shared" si="38"/>
        <v>959</v>
      </c>
      <c r="AP175" s="2">
        <f t="shared" si="39"/>
        <v>9200</v>
      </c>
      <c r="AQ175" s="2">
        <f t="shared" si="40"/>
        <v>13798</v>
      </c>
      <c r="AR175" s="2">
        <f t="shared" si="41"/>
        <v>15698</v>
      </c>
      <c r="AS175" s="2">
        <f t="shared" si="42"/>
        <v>2993</v>
      </c>
      <c r="AT175" s="2">
        <f t="shared" si="43"/>
        <v>2060</v>
      </c>
      <c r="AU175" s="2">
        <f t="shared" si="44"/>
        <v>1593</v>
      </c>
      <c r="AV175" s="2">
        <f t="shared" si="45"/>
        <v>1313</v>
      </c>
      <c r="AW175" s="2">
        <f t="shared" si="46"/>
        <v>1127</v>
      </c>
      <c r="AX175" s="2">
        <f t="shared" si="47"/>
        <v>894</v>
      </c>
    </row>
    <row r="176" ht="14.25" customHeight="1">
      <c r="A176" s="2" t="str">
        <f t="array" ref="A176">IFERROR(INDEX('Product Price'!A:A,SMALL('Product Price'!$D:$D,174)),"")</f>
        <v>realme Bundle 16 5G 8/256 GB &amp; realme Watch S5</v>
      </c>
      <c r="B176" s="2">
        <f t="array" ref="B176">IFERROR(INDEX('Product Price'!B:B,SMALL('Product Price'!$D:$D,174)),"")</f>
        <v>17998</v>
      </c>
      <c r="C176" s="2">
        <f t="array" ref="C176">IFERROR(INDEX('Product Price'!C:C,SMALL('Product Price'!$D:$D,174)),"")</f>
        <v>172</v>
      </c>
      <c r="D176" s="2">
        <f t="shared" si="1"/>
        <v>1450</v>
      </c>
      <c r="E176" s="2">
        <f t="shared" si="2"/>
        <v>19448</v>
      </c>
      <c r="F176" s="2">
        <f t="shared" si="48"/>
        <v>2700</v>
      </c>
      <c r="G176" s="2">
        <f t="shared" si="4"/>
        <v>15298</v>
      </c>
      <c r="H176" s="2">
        <f t="shared" si="5"/>
        <v>16748</v>
      </c>
      <c r="I176" s="2">
        <f t="shared" si="6"/>
        <v>3193</v>
      </c>
      <c r="J176" s="2">
        <f t="shared" si="7"/>
        <v>2198</v>
      </c>
      <c r="K176" s="2">
        <f t="shared" si="8"/>
        <v>1700</v>
      </c>
      <c r="L176" s="2">
        <f t="shared" si="9"/>
        <v>1401</v>
      </c>
      <c r="M176" s="2">
        <f t="shared" si="10"/>
        <v>1202</v>
      </c>
      <c r="N176" s="2">
        <f t="shared" si="11"/>
        <v>953</v>
      </c>
      <c r="O176" s="2">
        <f t="shared" si="12"/>
        <v>3600</v>
      </c>
      <c r="P176" s="2">
        <f t="shared" si="13"/>
        <v>14398</v>
      </c>
      <c r="Q176" s="2">
        <f t="shared" si="14"/>
        <v>15848</v>
      </c>
      <c r="R176" s="2">
        <f t="shared" si="15"/>
        <v>3022</v>
      </c>
      <c r="S176" s="2">
        <f t="shared" si="16"/>
        <v>2080</v>
      </c>
      <c r="T176" s="2">
        <f t="shared" si="17"/>
        <v>1609</v>
      </c>
      <c r="U176" s="2">
        <f t="shared" si="18"/>
        <v>1326</v>
      </c>
      <c r="V176" s="2">
        <f t="shared" si="19"/>
        <v>1138</v>
      </c>
      <c r="W176" s="2">
        <f t="shared" si="20"/>
        <v>902</v>
      </c>
      <c r="X176" s="2">
        <f t="shared" si="21"/>
        <v>4500</v>
      </c>
      <c r="Y176" s="2">
        <f t="shared" si="22"/>
        <v>13498</v>
      </c>
      <c r="Z176" s="2">
        <f t="shared" si="23"/>
        <v>14948</v>
      </c>
      <c r="AA176" s="2">
        <f t="shared" si="24"/>
        <v>2850</v>
      </c>
      <c r="AB176" s="2">
        <f t="shared" si="25"/>
        <v>1962</v>
      </c>
      <c r="AC176" s="2">
        <f t="shared" si="26"/>
        <v>1517</v>
      </c>
      <c r="AD176" s="2">
        <f t="shared" si="27"/>
        <v>1251</v>
      </c>
      <c r="AE176" s="2">
        <f t="shared" si="28"/>
        <v>1073</v>
      </c>
      <c r="AF176" s="2">
        <f t="shared" si="29"/>
        <v>851</v>
      </c>
      <c r="AG176" s="2">
        <f t="shared" si="30"/>
        <v>6300</v>
      </c>
      <c r="AH176" s="2">
        <f t="shared" si="31"/>
        <v>11698</v>
      </c>
      <c r="AI176" s="2">
        <f t="shared" si="32"/>
        <v>13148</v>
      </c>
      <c r="AJ176" s="2">
        <f t="shared" si="33"/>
        <v>2507</v>
      </c>
      <c r="AK176" s="2">
        <f t="shared" si="34"/>
        <v>1725</v>
      </c>
      <c r="AL176" s="2">
        <f t="shared" si="35"/>
        <v>1335</v>
      </c>
      <c r="AM176" s="2">
        <f t="shared" si="36"/>
        <v>1100</v>
      </c>
      <c r="AN176" s="2">
        <f t="shared" si="37"/>
        <v>944</v>
      </c>
      <c r="AO176" s="2">
        <f t="shared" si="38"/>
        <v>748</v>
      </c>
      <c r="AP176" s="2">
        <f t="shared" si="39"/>
        <v>7200</v>
      </c>
      <c r="AQ176" s="2">
        <f t="shared" si="40"/>
        <v>10798</v>
      </c>
      <c r="AR176" s="2">
        <f t="shared" si="41"/>
        <v>12248</v>
      </c>
      <c r="AS176" s="2">
        <f t="shared" si="42"/>
        <v>2335</v>
      </c>
      <c r="AT176" s="2">
        <f t="shared" si="43"/>
        <v>1607</v>
      </c>
      <c r="AU176" s="2">
        <f t="shared" si="44"/>
        <v>1243</v>
      </c>
      <c r="AV176" s="2">
        <f t="shared" si="45"/>
        <v>1025</v>
      </c>
      <c r="AW176" s="2">
        <f t="shared" si="46"/>
        <v>879</v>
      </c>
      <c r="AX176" s="2">
        <f t="shared" si="47"/>
        <v>697</v>
      </c>
    </row>
    <row r="177" ht="14.25" customHeight="1">
      <c r="A177" s="2" t="str">
        <f t="array" ref="A177">IFERROR(INDEX('Product Price'!A:A,SMALL('Product Price'!$D:$D,175)),"")</f>
        <v>realme Bundle C100 5G 6/128 GB &amp; realme Watch S5</v>
      </c>
      <c r="B177" s="2">
        <f t="array" ref="B177">IFERROR(INDEX('Product Price'!B:B,SMALL('Product Price'!$D:$D,175)),"")</f>
        <v>12498</v>
      </c>
      <c r="C177" s="2">
        <f t="array" ref="C177">IFERROR(INDEX('Product Price'!C:C,SMALL('Product Price'!$D:$D,175)),"")</f>
        <v>183</v>
      </c>
      <c r="D177" s="2">
        <f t="shared" si="1"/>
        <v>1450</v>
      </c>
      <c r="E177" s="2">
        <f t="shared" si="2"/>
        <v>13948</v>
      </c>
      <c r="F177" s="2">
        <f t="shared" si="48"/>
        <v>1875</v>
      </c>
      <c r="G177" s="2">
        <f t="shared" si="4"/>
        <v>10623</v>
      </c>
      <c r="H177" s="2">
        <f t="shared" si="5"/>
        <v>12073</v>
      </c>
      <c r="I177" s="2">
        <f t="shared" si="6"/>
        <v>2302</v>
      </c>
      <c r="J177" s="2">
        <f t="shared" si="7"/>
        <v>1584</v>
      </c>
      <c r="K177" s="2">
        <f t="shared" si="8"/>
        <v>1226</v>
      </c>
      <c r="L177" s="2">
        <f t="shared" si="9"/>
        <v>1010</v>
      </c>
      <c r="M177" s="2">
        <f t="shared" si="10"/>
        <v>867</v>
      </c>
      <c r="N177" s="2">
        <f t="shared" si="11"/>
        <v>687</v>
      </c>
      <c r="O177" s="2">
        <f t="shared" si="12"/>
        <v>2500</v>
      </c>
      <c r="P177" s="2">
        <f t="shared" si="13"/>
        <v>9998</v>
      </c>
      <c r="Q177" s="2">
        <f t="shared" si="14"/>
        <v>11448</v>
      </c>
      <c r="R177" s="2">
        <f t="shared" si="15"/>
        <v>2183</v>
      </c>
      <c r="S177" s="2">
        <f t="shared" si="16"/>
        <v>1502</v>
      </c>
      <c r="T177" s="2">
        <f t="shared" si="17"/>
        <v>1162</v>
      </c>
      <c r="U177" s="2">
        <f t="shared" si="18"/>
        <v>958</v>
      </c>
      <c r="V177" s="2">
        <f t="shared" si="19"/>
        <v>822</v>
      </c>
      <c r="W177" s="2">
        <f t="shared" si="20"/>
        <v>652</v>
      </c>
      <c r="X177" s="2">
        <f t="shared" si="21"/>
        <v>3125</v>
      </c>
      <c r="Y177" s="2">
        <f t="shared" si="22"/>
        <v>9373</v>
      </c>
      <c r="Z177" s="2">
        <f t="shared" si="23"/>
        <v>10823</v>
      </c>
      <c r="AA177" s="2">
        <f t="shared" si="24"/>
        <v>2064</v>
      </c>
      <c r="AB177" s="2">
        <f t="shared" si="25"/>
        <v>1420</v>
      </c>
      <c r="AC177" s="2">
        <f t="shared" si="26"/>
        <v>1099</v>
      </c>
      <c r="AD177" s="2">
        <f t="shared" si="27"/>
        <v>906</v>
      </c>
      <c r="AE177" s="2">
        <f t="shared" si="28"/>
        <v>777</v>
      </c>
      <c r="AF177" s="2">
        <f t="shared" si="29"/>
        <v>616</v>
      </c>
      <c r="AG177" s="2">
        <f t="shared" si="30"/>
        <v>4375</v>
      </c>
      <c r="AH177" s="2">
        <f t="shared" si="31"/>
        <v>8123</v>
      </c>
      <c r="AI177" s="2">
        <f t="shared" si="32"/>
        <v>9573</v>
      </c>
      <c r="AJ177" s="2">
        <f t="shared" si="33"/>
        <v>1825</v>
      </c>
      <c r="AK177" s="2">
        <f t="shared" si="34"/>
        <v>1256</v>
      </c>
      <c r="AL177" s="2">
        <f t="shared" si="35"/>
        <v>972</v>
      </c>
      <c r="AM177" s="2">
        <f t="shared" si="36"/>
        <v>801</v>
      </c>
      <c r="AN177" s="2">
        <f t="shared" si="37"/>
        <v>687</v>
      </c>
      <c r="AO177" s="2">
        <f t="shared" si="38"/>
        <v>545</v>
      </c>
      <c r="AP177" s="2">
        <f t="shared" si="39"/>
        <v>5000</v>
      </c>
      <c r="AQ177" s="2">
        <f t="shared" si="40"/>
        <v>7498</v>
      </c>
      <c r="AR177" s="2">
        <f t="shared" si="41"/>
        <v>8948</v>
      </c>
      <c r="AS177" s="2">
        <f t="shared" si="42"/>
        <v>1706</v>
      </c>
      <c r="AT177" s="2">
        <f t="shared" si="43"/>
        <v>1174</v>
      </c>
      <c r="AU177" s="2">
        <f t="shared" si="44"/>
        <v>908</v>
      </c>
      <c r="AV177" s="2">
        <f t="shared" si="45"/>
        <v>749</v>
      </c>
      <c r="AW177" s="2">
        <f t="shared" si="46"/>
        <v>643</v>
      </c>
      <c r="AX177" s="2">
        <f t="shared" si="47"/>
        <v>510</v>
      </c>
    </row>
    <row r="178" ht="14.25" customHeight="1">
      <c r="A178" s="2" t="str">
        <f t="array" ref="A178">IFERROR(INDEX('Product Price'!A:A,SMALL('Product Price'!$D:$D,176)),"")</f>
        <v>realme Bundle C100 5G 4/128 GB &amp; realme Watch S5</v>
      </c>
      <c r="B178" s="2">
        <f t="array" ref="B178">IFERROR(INDEX('Product Price'!B:B,SMALL('Product Price'!$D:$D,176)),"")</f>
        <v>11998</v>
      </c>
      <c r="C178" s="2">
        <f t="array" ref="C178">IFERROR(INDEX('Product Price'!C:C,SMALL('Product Price'!$D:$D,176)),"")</f>
        <v>184</v>
      </c>
      <c r="D178" s="2">
        <f t="shared" si="1"/>
        <v>1450</v>
      </c>
      <c r="E178" s="2">
        <f t="shared" si="2"/>
        <v>13448</v>
      </c>
      <c r="F178" s="2">
        <f t="shared" si="48"/>
        <v>1800</v>
      </c>
      <c r="G178" s="2">
        <f t="shared" si="4"/>
        <v>10198</v>
      </c>
      <c r="H178" s="2">
        <f t="shared" si="5"/>
        <v>11648</v>
      </c>
      <c r="I178" s="2">
        <f t="shared" si="6"/>
        <v>2221</v>
      </c>
      <c r="J178" s="2">
        <f t="shared" si="7"/>
        <v>1529</v>
      </c>
      <c r="K178" s="2">
        <f t="shared" si="8"/>
        <v>1182</v>
      </c>
      <c r="L178" s="2">
        <f t="shared" si="9"/>
        <v>975</v>
      </c>
      <c r="M178" s="2">
        <f t="shared" si="10"/>
        <v>836</v>
      </c>
      <c r="N178" s="2">
        <f t="shared" si="11"/>
        <v>663</v>
      </c>
      <c r="O178" s="2">
        <f t="shared" si="12"/>
        <v>2400</v>
      </c>
      <c r="P178" s="2">
        <f t="shared" si="13"/>
        <v>9598</v>
      </c>
      <c r="Q178" s="2">
        <f t="shared" si="14"/>
        <v>11048</v>
      </c>
      <c r="R178" s="2">
        <f t="shared" si="15"/>
        <v>2107</v>
      </c>
      <c r="S178" s="2">
        <f t="shared" si="16"/>
        <v>1450</v>
      </c>
      <c r="T178" s="2">
        <f t="shared" si="17"/>
        <v>1122</v>
      </c>
      <c r="U178" s="2">
        <f t="shared" si="18"/>
        <v>925</v>
      </c>
      <c r="V178" s="2">
        <f t="shared" si="19"/>
        <v>793</v>
      </c>
      <c r="W178" s="2">
        <f t="shared" si="20"/>
        <v>629</v>
      </c>
      <c r="X178" s="2">
        <f t="shared" si="21"/>
        <v>3000</v>
      </c>
      <c r="Y178" s="2">
        <f t="shared" si="22"/>
        <v>8998</v>
      </c>
      <c r="Z178" s="2">
        <f t="shared" si="23"/>
        <v>10448</v>
      </c>
      <c r="AA178" s="2">
        <f t="shared" si="24"/>
        <v>1992</v>
      </c>
      <c r="AB178" s="2">
        <f t="shared" si="25"/>
        <v>1371</v>
      </c>
      <c r="AC178" s="2">
        <f t="shared" si="26"/>
        <v>1061</v>
      </c>
      <c r="AD178" s="2">
        <f t="shared" si="27"/>
        <v>874</v>
      </c>
      <c r="AE178" s="2">
        <f t="shared" si="28"/>
        <v>750</v>
      </c>
      <c r="AF178" s="2">
        <f t="shared" si="29"/>
        <v>595</v>
      </c>
      <c r="AG178" s="2">
        <f t="shared" si="30"/>
        <v>4200</v>
      </c>
      <c r="AH178" s="2">
        <f t="shared" si="31"/>
        <v>7798</v>
      </c>
      <c r="AI178" s="2">
        <f t="shared" si="32"/>
        <v>9248</v>
      </c>
      <c r="AJ178" s="2">
        <f t="shared" si="33"/>
        <v>1764</v>
      </c>
      <c r="AK178" s="2">
        <f t="shared" si="34"/>
        <v>1214</v>
      </c>
      <c r="AL178" s="2">
        <f t="shared" si="35"/>
        <v>939</v>
      </c>
      <c r="AM178" s="2">
        <f t="shared" si="36"/>
        <v>774</v>
      </c>
      <c r="AN178" s="2">
        <f t="shared" si="37"/>
        <v>664</v>
      </c>
      <c r="AO178" s="2">
        <f t="shared" si="38"/>
        <v>527</v>
      </c>
      <c r="AP178" s="2">
        <f t="shared" si="39"/>
        <v>4800</v>
      </c>
      <c r="AQ178" s="2">
        <f t="shared" si="40"/>
        <v>7198</v>
      </c>
      <c r="AR178" s="2">
        <f t="shared" si="41"/>
        <v>8648</v>
      </c>
      <c r="AS178" s="2">
        <f t="shared" si="42"/>
        <v>1649</v>
      </c>
      <c r="AT178" s="2">
        <f t="shared" si="43"/>
        <v>1135</v>
      </c>
      <c r="AU178" s="2">
        <f t="shared" si="44"/>
        <v>878</v>
      </c>
      <c r="AV178" s="2">
        <f t="shared" si="45"/>
        <v>724</v>
      </c>
      <c r="AW178" s="2">
        <f t="shared" si="46"/>
        <v>621</v>
      </c>
      <c r="AX178" s="2">
        <f t="shared" si="47"/>
        <v>492</v>
      </c>
    </row>
    <row r="179" ht="14.25" customHeight="1">
      <c r="A179" s="2" t="str">
        <f t="array" ref="A179">IFERROR(INDEX('Product Price'!A:A,SMALL('Product Price'!$D:$D,177)),"")</f>
        <v>OPPO Find N6 16/512 GB</v>
      </c>
      <c r="B179" s="2">
        <f t="array" ref="B179">IFERROR(INDEX('Product Price'!B:B,SMALL('Product Price'!$D:$D,177)),"")</f>
        <v>79999</v>
      </c>
      <c r="C179" s="2">
        <f t="array" ref="C179">IFERROR(INDEX('Product Price'!C:C,SMALL('Product Price'!$D:$D,177)),"")</f>
        <v>185</v>
      </c>
      <c r="D179" s="2">
        <f t="shared" si="1"/>
        <v>4025</v>
      </c>
      <c r="E179" s="2">
        <f t="shared" si="2"/>
        <v>84024</v>
      </c>
      <c r="F179" s="2">
        <f t="shared" si="48"/>
        <v>12000</v>
      </c>
      <c r="G179" s="2">
        <f t="shared" si="4"/>
        <v>67999</v>
      </c>
      <c r="H179" s="2">
        <f t="shared" si="5"/>
        <v>72024</v>
      </c>
      <c r="I179" s="2">
        <f t="shared" si="6"/>
        <v>13731</v>
      </c>
      <c r="J179" s="2">
        <f t="shared" si="7"/>
        <v>9450</v>
      </c>
      <c r="K179" s="2">
        <f t="shared" si="8"/>
        <v>7309</v>
      </c>
      <c r="L179" s="2">
        <f t="shared" si="9"/>
        <v>6024</v>
      </c>
      <c r="M179" s="2">
        <f t="shared" si="10"/>
        <v>5168</v>
      </c>
      <c r="N179" s="2">
        <f t="shared" si="11"/>
        <v>4098</v>
      </c>
      <c r="O179" s="2">
        <f t="shared" si="12"/>
        <v>16000</v>
      </c>
      <c r="P179" s="2">
        <f t="shared" si="13"/>
        <v>63999</v>
      </c>
      <c r="Q179" s="2">
        <f t="shared" si="14"/>
        <v>68024</v>
      </c>
      <c r="R179" s="2">
        <f t="shared" si="15"/>
        <v>12968</v>
      </c>
      <c r="S179" s="2">
        <f t="shared" si="16"/>
        <v>8925</v>
      </c>
      <c r="T179" s="2">
        <f t="shared" si="17"/>
        <v>6903</v>
      </c>
      <c r="U179" s="2">
        <f t="shared" si="18"/>
        <v>5690</v>
      </c>
      <c r="V179" s="2">
        <f t="shared" si="19"/>
        <v>4881</v>
      </c>
      <c r="W179" s="2">
        <f t="shared" si="20"/>
        <v>3870</v>
      </c>
      <c r="X179" s="2">
        <f t="shared" si="21"/>
        <v>20000</v>
      </c>
      <c r="Y179" s="2">
        <f t="shared" si="22"/>
        <v>59999</v>
      </c>
      <c r="Z179" s="2">
        <f t="shared" si="23"/>
        <v>64024</v>
      </c>
      <c r="AA179" s="2">
        <f t="shared" si="24"/>
        <v>12206</v>
      </c>
      <c r="AB179" s="2">
        <f t="shared" si="25"/>
        <v>8400</v>
      </c>
      <c r="AC179" s="2">
        <f t="shared" si="26"/>
        <v>6497</v>
      </c>
      <c r="AD179" s="2">
        <f t="shared" si="27"/>
        <v>5355</v>
      </c>
      <c r="AE179" s="2">
        <f t="shared" si="28"/>
        <v>4594</v>
      </c>
      <c r="AF179" s="2">
        <f t="shared" si="29"/>
        <v>3643</v>
      </c>
      <c r="AG179" s="2">
        <f t="shared" si="30"/>
        <v>28000</v>
      </c>
      <c r="AH179" s="2">
        <f t="shared" si="31"/>
        <v>51999</v>
      </c>
      <c r="AI179" s="2">
        <f t="shared" si="32"/>
        <v>56024</v>
      </c>
      <c r="AJ179" s="2">
        <f t="shared" si="33"/>
        <v>10681</v>
      </c>
      <c r="AK179" s="2">
        <f t="shared" si="34"/>
        <v>7351</v>
      </c>
      <c r="AL179" s="2">
        <f t="shared" si="35"/>
        <v>5685</v>
      </c>
      <c r="AM179" s="2">
        <f t="shared" si="36"/>
        <v>4686</v>
      </c>
      <c r="AN179" s="2">
        <f t="shared" si="37"/>
        <v>4020</v>
      </c>
      <c r="AO179" s="2">
        <f t="shared" si="38"/>
        <v>3188</v>
      </c>
      <c r="AP179" s="2">
        <f t="shared" si="39"/>
        <v>32000</v>
      </c>
      <c r="AQ179" s="2">
        <f t="shared" si="40"/>
        <v>47999</v>
      </c>
      <c r="AR179" s="2">
        <f t="shared" si="41"/>
        <v>52024</v>
      </c>
      <c r="AS179" s="2">
        <f t="shared" si="42"/>
        <v>9918</v>
      </c>
      <c r="AT179" s="2">
        <f t="shared" si="43"/>
        <v>6826</v>
      </c>
      <c r="AU179" s="2">
        <f t="shared" si="44"/>
        <v>5279</v>
      </c>
      <c r="AV179" s="2">
        <f t="shared" si="45"/>
        <v>4352</v>
      </c>
      <c r="AW179" s="2">
        <f t="shared" si="46"/>
        <v>3733</v>
      </c>
      <c r="AX179" s="2">
        <f t="shared" si="47"/>
        <v>2960</v>
      </c>
    </row>
    <row r="180" ht="14.25" customHeight="1">
      <c r="A180" s="2" t="str">
        <f t="array" ref="A180">IFERROR(INDEX('Product Price'!A:A,SMALL('Product Price'!$D:$D,178)),"")</f>
        <v>OPPO Find X9 Ultra 16/1TB</v>
      </c>
      <c r="B180" s="2">
        <f t="array" ref="B180">IFERROR(INDEX('Product Price'!B:B,SMALL('Product Price'!$D:$D,178)),"")</f>
        <v>69999</v>
      </c>
      <c r="C180" s="2">
        <f t="array" ref="C180">IFERROR(INDEX('Product Price'!C:C,SMALL('Product Price'!$D:$D,178)),"")</f>
        <v>186</v>
      </c>
      <c r="D180" s="2">
        <f t="shared" si="1"/>
        <v>4025</v>
      </c>
      <c r="E180" s="2">
        <f t="shared" si="2"/>
        <v>74024</v>
      </c>
      <c r="F180" s="2">
        <f t="shared" si="48"/>
        <v>10500</v>
      </c>
      <c r="G180" s="2">
        <f t="shared" si="4"/>
        <v>59499</v>
      </c>
      <c r="H180" s="2">
        <f t="shared" si="5"/>
        <v>63524</v>
      </c>
      <c r="I180" s="2">
        <f t="shared" si="6"/>
        <v>12111</v>
      </c>
      <c r="J180" s="2">
        <f t="shared" si="7"/>
        <v>8334</v>
      </c>
      <c r="K180" s="2">
        <f t="shared" si="8"/>
        <v>6446</v>
      </c>
      <c r="L180" s="2">
        <f t="shared" si="9"/>
        <v>5314</v>
      </c>
      <c r="M180" s="2">
        <f t="shared" si="10"/>
        <v>4558</v>
      </c>
      <c r="N180" s="2">
        <f t="shared" si="11"/>
        <v>3614</v>
      </c>
      <c r="O180" s="2">
        <f t="shared" si="12"/>
        <v>14000</v>
      </c>
      <c r="P180" s="2">
        <f t="shared" si="13"/>
        <v>55999</v>
      </c>
      <c r="Q180" s="2">
        <f t="shared" si="14"/>
        <v>60024</v>
      </c>
      <c r="R180" s="2">
        <f t="shared" si="15"/>
        <v>11443</v>
      </c>
      <c r="S180" s="2">
        <f t="shared" si="16"/>
        <v>7875</v>
      </c>
      <c r="T180" s="2">
        <f t="shared" si="17"/>
        <v>6091</v>
      </c>
      <c r="U180" s="2">
        <f t="shared" si="18"/>
        <v>5021</v>
      </c>
      <c r="V180" s="2">
        <f t="shared" si="19"/>
        <v>4307</v>
      </c>
      <c r="W180" s="2">
        <f t="shared" si="20"/>
        <v>3415</v>
      </c>
      <c r="X180" s="2">
        <f t="shared" si="21"/>
        <v>17500</v>
      </c>
      <c r="Y180" s="2">
        <f t="shared" si="22"/>
        <v>52499</v>
      </c>
      <c r="Z180" s="2">
        <f t="shared" si="23"/>
        <v>56524</v>
      </c>
      <c r="AA180" s="2">
        <f t="shared" si="24"/>
        <v>10776</v>
      </c>
      <c r="AB180" s="2">
        <f t="shared" si="25"/>
        <v>7416</v>
      </c>
      <c r="AC180" s="2">
        <f t="shared" si="26"/>
        <v>5736</v>
      </c>
      <c r="AD180" s="2">
        <f t="shared" si="27"/>
        <v>4728</v>
      </c>
      <c r="AE180" s="2">
        <f t="shared" si="28"/>
        <v>4056</v>
      </c>
      <c r="AF180" s="2">
        <f t="shared" si="29"/>
        <v>3216</v>
      </c>
      <c r="AG180" s="2">
        <f t="shared" si="30"/>
        <v>24500</v>
      </c>
      <c r="AH180" s="2">
        <f t="shared" si="31"/>
        <v>45499</v>
      </c>
      <c r="AI180" s="2">
        <f t="shared" si="32"/>
        <v>49524</v>
      </c>
      <c r="AJ180" s="2">
        <f t="shared" si="33"/>
        <v>9442</v>
      </c>
      <c r="AK180" s="2">
        <f t="shared" si="34"/>
        <v>6498</v>
      </c>
      <c r="AL180" s="2">
        <f t="shared" si="35"/>
        <v>5026</v>
      </c>
      <c r="AM180" s="2">
        <f t="shared" si="36"/>
        <v>4143</v>
      </c>
      <c r="AN180" s="2">
        <f t="shared" si="37"/>
        <v>3554</v>
      </c>
      <c r="AO180" s="2">
        <f t="shared" si="38"/>
        <v>2818</v>
      </c>
      <c r="AP180" s="2">
        <f t="shared" si="39"/>
        <v>28000</v>
      </c>
      <c r="AQ180" s="2">
        <f t="shared" si="40"/>
        <v>41999</v>
      </c>
      <c r="AR180" s="2">
        <f t="shared" si="41"/>
        <v>46024</v>
      </c>
      <c r="AS180" s="2">
        <f t="shared" si="42"/>
        <v>8774</v>
      </c>
      <c r="AT180" s="2">
        <f t="shared" si="43"/>
        <v>6039</v>
      </c>
      <c r="AU180" s="2">
        <f t="shared" si="44"/>
        <v>4671</v>
      </c>
      <c r="AV180" s="2">
        <f t="shared" si="45"/>
        <v>3850</v>
      </c>
      <c r="AW180" s="2">
        <f t="shared" si="46"/>
        <v>3303</v>
      </c>
      <c r="AX180" s="2">
        <f t="shared" si="47"/>
        <v>2619</v>
      </c>
    </row>
    <row r="181" ht="14.25" customHeight="1">
      <c r="A181" s="2" t="str">
        <f t="array" ref="A181">IFERROR(INDEX('Product Price'!A:A,SMALL('Product Price'!$D:$D,179)),"")</f>
        <v>OPPO Find X9 Ultra 12/512 GB</v>
      </c>
      <c r="B181" s="2">
        <f t="array" ref="B181">IFERROR(INDEX('Product Price'!B:B,SMALL('Product Price'!$D:$D,179)),"")</f>
        <v>54999</v>
      </c>
      <c r="C181" s="2">
        <f t="array" ref="C181">IFERROR(INDEX('Product Price'!C:C,SMALL('Product Price'!$D:$D,179)),"")</f>
        <v>187</v>
      </c>
      <c r="D181" s="2">
        <f t="shared" si="1"/>
        <v>2475</v>
      </c>
      <c r="E181" s="2">
        <f t="shared" si="2"/>
        <v>57474</v>
      </c>
      <c r="F181" s="2">
        <f t="shared" si="48"/>
        <v>8250</v>
      </c>
      <c r="G181" s="2">
        <f t="shared" si="4"/>
        <v>46749</v>
      </c>
      <c r="H181" s="2">
        <f t="shared" si="5"/>
        <v>49224</v>
      </c>
      <c r="I181" s="2">
        <f t="shared" si="6"/>
        <v>9384</v>
      </c>
      <c r="J181" s="2">
        <f t="shared" si="7"/>
        <v>6458</v>
      </c>
      <c r="K181" s="2">
        <f t="shared" si="8"/>
        <v>4995</v>
      </c>
      <c r="L181" s="2">
        <f t="shared" si="9"/>
        <v>4118</v>
      </c>
      <c r="M181" s="2">
        <f t="shared" si="10"/>
        <v>3532</v>
      </c>
      <c r="N181" s="2">
        <f t="shared" si="11"/>
        <v>2801</v>
      </c>
      <c r="O181" s="2">
        <f t="shared" si="12"/>
        <v>11000</v>
      </c>
      <c r="P181" s="2">
        <f t="shared" si="13"/>
        <v>43999</v>
      </c>
      <c r="Q181" s="2">
        <f t="shared" si="14"/>
        <v>46474</v>
      </c>
      <c r="R181" s="2">
        <f t="shared" si="15"/>
        <v>8860</v>
      </c>
      <c r="S181" s="2">
        <f t="shared" si="16"/>
        <v>6098</v>
      </c>
      <c r="T181" s="2">
        <f t="shared" si="17"/>
        <v>4716</v>
      </c>
      <c r="U181" s="2">
        <f t="shared" si="18"/>
        <v>3888</v>
      </c>
      <c r="V181" s="2">
        <f t="shared" si="19"/>
        <v>3335</v>
      </c>
      <c r="W181" s="2">
        <f t="shared" si="20"/>
        <v>2644</v>
      </c>
      <c r="X181" s="2">
        <f t="shared" si="21"/>
        <v>13750</v>
      </c>
      <c r="Y181" s="2">
        <f t="shared" si="22"/>
        <v>41249</v>
      </c>
      <c r="Z181" s="2">
        <f t="shared" si="23"/>
        <v>43724</v>
      </c>
      <c r="AA181" s="2">
        <f t="shared" si="24"/>
        <v>8336</v>
      </c>
      <c r="AB181" s="2">
        <f t="shared" si="25"/>
        <v>5737</v>
      </c>
      <c r="AC181" s="2">
        <f t="shared" si="26"/>
        <v>4437</v>
      </c>
      <c r="AD181" s="2">
        <f t="shared" si="27"/>
        <v>3658</v>
      </c>
      <c r="AE181" s="2">
        <f t="shared" si="28"/>
        <v>3138</v>
      </c>
      <c r="AF181" s="2">
        <f t="shared" si="29"/>
        <v>2488</v>
      </c>
      <c r="AG181" s="2">
        <f t="shared" si="30"/>
        <v>19250</v>
      </c>
      <c r="AH181" s="2">
        <f t="shared" si="31"/>
        <v>35749</v>
      </c>
      <c r="AI181" s="2">
        <f t="shared" si="32"/>
        <v>38224</v>
      </c>
      <c r="AJ181" s="2">
        <f t="shared" si="33"/>
        <v>7287</v>
      </c>
      <c r="AK181" s="2">
        <f t="shared" si="34"/>
        <v>5015</v>
      </c>
      <c r="AL181" s="2">
        <f t="shared" si="35"/>
        <v>3879</v>
      </c>
      <c r="AM181" s="2">
        <f t="shared" si="36"/>
        <v>3197</v>
      </c>
      <c r="AN181" s="2">
        <f t="shared" si="37"/>
        <v>2743</v>
      </c>
      <c r="AO181" s="2">
        <f t="shared" si="38"/>
        <v>2175</v>
      </c>
      <c r="AP181" s="2">
        <f t="shared" si="39"/>
        <v>22000</v>
      </c>
      <c r="AQ181" s="2">
        <f t="shared" si="40"/>
        <v>32999</v>
      </c>
      <c r="AR181" s="2">
        <f t="shared" si="41"/>
        <v>35474</v>
      </c>
      <c r="AS181" s="2">
        <f t="shared" si="42"/>
        <v>6763</v>
      </c>
      <c r="AT181" s="2">
        <f t="shared" si="43"/>
        <v>4654</v>
      </c>
      <c r="AU181" s="2">
        <f t="shared" si="44"/>
        <v>3600</v>
      </c>
      <c r="AV181" s="2">
        <f t="shared" si="45"/>
        <v>2967</v>
      </c>
      <c r="AW181" s="2">
        <f t="shared" si="46"/>
        <v>2546</v>
      </c>
      <c r="AX181" s="2">
        <f t="shared" si="47"/>
        <v>2019</v>
      </c>
    </row>
    <row r="182" ht="14.25" customHeight="1">
      <c r="A182" s="2" t="str">
        <f t="array" ref="A182">IFERROR(INDEX('Product Price'!A:A,SMALL('Product Price'!$D:$D,180)),"")</f>
        <v>OPPO Find X9s 12/512 GB</v>
      </c>
      <c r="B182" s="2">
        <f t="array" ref="B182">IFERROR(INDEX('Product Price'!B:B,SMALL('Product Price'!$D:$D,180)),"")</f>
        <v>34999</v>
      </c>
      <c r="C182" s="2">
        <f t="array" ref="C182">IFERROR(INDEX('Product Price'!C:C,SMALL('Product Price'!$D:$D,180)),"")</f>
        <v>188</v>
      </c>
      <c r="D182" s="2">
        <f t="shared" si="1"/>
        <v>1900</v>
      </c>
      <c r="E182" s="2">
        <f t="shared" si="2"/>
        <v>36899</v>
      </c>
      <c r="F182" s="2">
        <f t="shared" si="48"/>
        <v>5250</v>
      </c>
      <c r="G182" s="2">
        <f t="shared" si="4"/>
        <v>29749</v>
      </c>
      <c r="H182" s="2">
        <f t="shared" si="5"/>
        <v>31649</v>
      </c>
      <c r="I182" s="2">
        <f t="shared" si="6"/>
        <v>6034</v>
      </c>
      <c r="J182" s="2">
        <f t="shared" si="7"/>
        <v>4153</v>
      </c>
      <c r="K182" s="2">
        <f t="shared" si="8"/>
        <v>3212</v>
      </c>
      <c r="L182" s="2">
        <f t="shared" si="9"/>
        <v>2648</v>
      </c>
      <c r="M182" s="2">
        <f t="shared" si="10"/>
        <v>2271</v>
      </c>
      <c r="N182" s="2">
        <f t="shared" si="11"/>
        <v>1801</v>
      </c>
      <c r="O182" s="2">
        <f t="shared" si="12"/>
        <v>7000</v>
      </c>
      <c r="P182" s="2">
        <f t="shared" si="13"/>
        <v>27999</v>
      </c>
      <c r="Q182" s="2">
        <f t="shared" si="14"/>
        <v>29899</v>
      </c>
      <c r="R182" s="2">
        <f t="shared" si="15"/>
        <v>5700</v>
      </c>
      <c r="S182" s="2">
        <f t="shared" si="16"/>
        <v>3923</v>
      </c>
      <c r="T182" s="2">
        <f t="shared" si="17"/>
        <v>3034</v>
      </c>
      <c r="U182" s="2">
        <f t="shared" si="18"/>
        <v>2501</v>
      </c>
      <c r="V182" s="2">
        <f t="shared" si="19"/>
        <v>2146</v>
      </c>
      <c r="W182" s="2">
        <f t="shared" si="20"/>
        <v>1701</v>
      </c>
      <c r="X182" s="2">
        <f t="shared" si="21"/>
        <v>8750</v>
      </c>
      <c r="Y182" s="2">
        <f t="shared" si="22"/>
        <v>26249</v>
      </c>
      <c r="Z182" s="2">
        <f t="shared" si="23"/>
        <v>28149</v>
      </c>
      <c r="AA182" s="2">
        <f t="shared" si="24"/>
        <v>5367</v>
      </c>
      <c r="AB182" s="2">
        <f t="shared" si="25"/>
        <v>3693</v>
      </c>
      <c r="AC182" s="2">
        <f t="shared" si="26"/>
        <v>2857</v>
      </c>
      <c r="AD182" s="2">
        <f t="shared" si="27"/>
        <v>2355</v>
      </c>
      <c r="AE182" s="2">
        <f t="shared" si="28"/>
        <v>2020</v>
      </c>
      <c r="AF182" s="2">
        <f t="shared" si="29"/>
        <v>1602</v>
      </c>
      <c r="AG182" s="2">
        <f t="shared" si="30"/>
        <v>12250</v>
      </c>
      <c r="AH182" s="2">
        <f t="shared" si="31"/>
        <v>22749</v>
      </c>
      <c r="AI182" s="2">
        <f t="shared" si="32"/>
        <v>24649</v>
      </c>
      <c r="AJ182" s="2">
        <f t="shared" si="33"/>
        <v>4700</v>
      </c>
      <c r="AK182" s="2">
        <f t="shared" si="34"/>
        <v>3234</v>
      </c>
      <c r="AL182" s="2">
        <f t="shared" si="35"/>
        <v>2502</v>
      </c>
      <c r="AM182" s="2">
        <f t="shared" si="36"/>
        <v>2062</v>
      </c>
      <c r="AN182" s="2">
        <f t="shared" si="37"/>
        <v>1769</v>
      </c>
      <c r="AO182" s="2">
        <f t="shared" si="38"/>
        <v>1403</v>
      </c>
      <c r="AP182" s="2">
        <f t="shared" si="39"/>
        <v>14000</v>
      </c>
      <c r="AQ182" s="2">
        <f t="shared" si="40"/>
        <v>20999</v>
      </c>
      <c r="AR182" s="2">
        <f t="shared" si="41"/>
        <v>22899</v>
      </c>
      <c r="AS182" s="2">
        <f t="shared" si="42"/>
        <v>4366</v>
      </c>
      <c r="AT182" s="2">
        <f t="shared" si="43"/>
        <v>3005</v>
      </c>
      <c r="AU182" s="2">
        <f t="shared" si="44"/>
        <v>2324</v>
      </c>
      <c r="AV182" s="2">
        <f t="shared" si="45"/>
        <v>1916</v>
      </c>
      <c r="AW182" s="2">
        <f t="shared" si="46"/>
        <v>1643</v>
      </c>
      <c r="AX182" s="2">
        <f t="shared" si="47"/>
        <v>1303</v>
      </c>
    </row>
    <row r="183" ht="14.25" customHeight="1">
      <c r="A183" s="2" t="str">
        <f t="array" ref="A183">IFERROR(INDEX('Product Price'!A:A,SMALL('Product Price'!$D:$D,181)),"")</f>
        <v>OPPO Find X9s 12/256 GB</v>
      </c>
      <c r="B183" s="2">
        <f t="array" ref="B183">IFERROR(INDEX('Product Price'!B:B,SMALL('Product Price'!$D:$D,181)),"")</f>
        <v>31999</v>
      </c>
      <c r="C183" s="2">
        <f t="array" ref="C183">IFERROR(INDEX('Product Price'!C:C,SMALL('Product Price'!$D:$D,181)),"")</f>
        <v>189</v>
      </c>
      <c r="D183" s="2">
        <f t="shared" si="1"/>
        <v>1900</v>
      </c>
      <c r="E183" s="2">
        <f t="shared" si="2"/>
        <v>33899</v>
      </c>
      <c r="F183" s="2">
        <f t="shared" si="48"/>
        <v>4800</v>
      </c>
      <c r="G183" s="2">
        <f t="shared" si="4"/>
        <v>27199</v>
      </c>
      <c r="H183" s="2">
        <f t="shared" si="5"/>
        <v>29099</v>
      </c>
      <c r="I183" s="2">
        <f t="shared" si="6"/>
        <v>5548</v>
      </c>
      <c r="J183" s="2">
        <f t="shared" si="7"/>
        <v>3818</v>
      </c>
      <c r="K183" s="2">
        <f t="shared" si="8"/>
        <v>2953</v>
      </c>
      <c r="L183" s="2">
        <f t="shared" si="9"/>
        <v>2434</v>
      </c>
      <c r="M183" s="2">
        <f t="shared" si="10"/>
        <v>2088</v>
      </c>
      <c r="N183" s="2">
        <f t="shared" si="11"/>
        <v>1656</v>
      </c>
      <c r="O183" s="2">
        <f t="shared" si="12"/>
        <v>6400</v>
      </c>
      <c r="P183" s="2">
        <f t="shared" si="13"/>
        <v>25599</v>
      </c>
      <c r="Q183" s="2">
        <f t="shared" si="14"/>
        <v>27499</v>
      </c>
      <c r="R183" s="2">
        <f t="shared" si="15"/>
        <v>5243</v>
      </c>
      <c r="S183" s="2">
        <f t="shared" si="16"/>
        <v>3608</v>
      </c>
      <c r="T183" s="2">
        <f t="shared" si="17"/>
        <v>2791</v>
      </c>
      <c r="U183" s="2">
        <f t="shared" si="18"/>
        <v>2300</v>
      </c>
      <c r="V183" s="2">
        <f t="shared" si="19"/>
        <v>1974</v>
      </c>
      <c r="W183" s="2">
        <f t="shared" si="20"/>
        <v>1565</v>
      </c>
      <c r="X183" s="2">
        <f t="shared" si="21"/>
        <v>8000</v>
      </c>
      <c r="Y183" s="2">
        <f t="shared" si="22"/>
        <v>23999</v>
      </c>
      <c r="Z183" s="2">
        <f t="shared" si="23"/>
        <v>25899</v>
      </c>
      <c r="AA183" s="2">
        <f t="shared" si="24"/>
        <v>4938</v>
      </c>
      <c r="AB183" s="2">
        <f t="shared" si="25"/>
        <v>3398</v>
      </c>
      <c r="AC183" s="2">
        <f t="shared" si="26"/>
        <v>2629</v>
      </c>
      <c r="AD183" s="2">
        <f t="shared" si="27"/>
        <v>2167</v>
      </c>
      <c r="AE183" s="2">
        <f t="shared" si="28"/>
        <v>1859</v>
      </c>
      <c r="AF183" s="2">
        <f t="shared" si="29"/>
        <v>1474</v>
      </c>
      <c r="AG183" s="2">
        <f t="shared" si="30"/>
        <v>11200</v>
      </c>
      <c r="AH183" s="2">
        <f t="shared" si="31"/>
        <v>20799</v>
      </c>
      <c r="AI183" s="2">
        <f t="shared" si="32"/>
        <v>22699</v>
      </c>
      <c r="AJ183" s="2">
        <f t="shared" si="33"/>
        <v>4328</v>
      </c>
      <c r="AK183" s="2">
        <f t="shared" si="34"/>
        <v>2978</v>
      </c>
      <c r="AL183" s="2">
        <f t="shared" si="35"/>
        <v>2304</v>
      </c>
      <c r="AM183" s="2">
        <f t="shared" si="36"/>
        <v>1899</v>
      </c>
      <c r="AN183" s="2">
        <f t="shared" si="37"/>
        <v>1629</v>
      </c>
      <c r="AO183" s="2">
        <f t="shared" si="38"/>
        <v>1292</v>
      </c>
      <c r="AP183" s="2">
        <f t="shared" si="39"/>
        <v>12800</v>
      </c>
      <c r="AQ183" s="2">
        <f t="shared" si="40"/>
        <v>19199</v>
      </c>
      <c r="AR183" s="2">
        <f t="shared" si="41"/>
        <v>21099</v>
      </c>
      <c r="AS183" s="2">
        <f t="shared" si="42"/>
        <v>4023</v>
      </c>
      <c r="AT183" s="2">
        <f t="shared" si="43"/>
        <v>2769</v>
      </c>
      <c r="AU183" s="2">
        <f t="shared" si="44"/>
        <v>2141</v>
      </c>
      <c r="AV183" s="2">
        <f t="shared" si="45"/>
        <v>1765</v>
      </c>
      <c r="AW183" s="2">
        <f t="shared" si="46"/>
        <v>1514</v>
      </c>
      <c r="AX183" s="2">
        <f t="shared" si="47"/>
        <v>1201</v>
      </c>
    </row>
    <row r="184" ht="14.25" customHeight="1">
      <c r="A184" s="2" t="str">
        <f t="array" ref="A184">IFERROR(INDEX('Product Price'!A:A,SMALL('Product Price'!$D:$D,182)),"")</f>
        <v>OPPO Reno 16 Pro 12/256 GB</v>
      </c>
      <c r="B184" s="2">
        <f t="array" ref="B184">IFERROR(INDEX('Product Price'!B:B,SMALL('Product Price'!$D:$D,182)),"")</f>
        <v>29999</v>
      </c>
      <c r="C184" s="2">
        <f t="array" ref="C184">IFERROR(INDEX('Product Price'!C:C,SMALL('Product Price'!$D:$D,182)),"")</f>
        <v>190</v>
      </c>
      <c r="D184" s="2">
        <f t="shared" si="1"/>
        <v>1900</v>
      </c>
      <c r="E184" s="2">
        <f t="shared" si="2"/>
        <v>31899</v>
      </c>
      <c r="F184" s="2">
        <f t="shared" si="48"/>
        <v>4500</v>
      </c>
      <c r="G184" s="2">
        <f t="shared" si="4"/>
        <v>25499</v>
      </c>
      <c r="H184" s="2">
        <f t="shared" si="5"/>
        <v>27399</v>
      </c>
      <c r="I184" s="2">
        <f t="shared" si="6"/>
        <v>5224</v>
      </c>
      <c r="J184" s="2">
        <f t="shared" si="7"/>
        <v>3595</v>
      </c>
      <c r="K184" s="2">
        <f t="shared" si="8"/>
        <v>2781</v>
      </c>
      <c r="L184" s="2">
        <f t="shared" si="9"/>
        <v>2292</v>
      </c>
      <c r="M184" s="2">
        <f t="shared" si="10"/>
        <v>1966</v>
      </c>
      <c r="N184" s="2">
        <f t="shared" si="11"/>
        <v>1559</v>
      </c>
      <c r="O184" s="2">
        <f t="shared" si="12"/>
        <v>6000</v>
      </c>
      <c r="P184" s="2">
        <f t="shared" si="13"/>
        <v>23999</v>
      </c>
      <c r="Q184" s="2">
        <f t="shared" si="14"/>
        <v>25899</v>
      </c>
      <c r="R184" s="2">
        <f t="shared" si="15"/>
        <v>4938</v>
      </c>
      <c r="S184" s="2">
        <f t="shared" si="16"/>
        <v>3398</v>
      </c>
      <c r="T184" s="2">
        <f t="shared" si="17"/>
        <v>2629</v>
      </c>
      <c r="U184" s="2">
        <f t="shared" si="18"/>
        <v>2167</v>
      </c>
      <c r="V184" s="2">
        <f t="shared" si="19"/>
        <v>1859</v>
      </c>
      <c r="W184" s="2">
        <f t="shared" si="20"/>
        <v>1474</v>
      </c>
      <c r="X184" s="2">
        <f t="shared" si="21"/>
        <v>7500</v>
      </c>
      <c r="Y184" s="2">
        <f t="shared" si="22"/>
        <v>22499</v>
      </c>
      <c r="Z184" s="2">
        <f t="shared" si="23"/>
        <v>24399</v>
      </c>
      <c r="AA184" s="2">
        <f t="shared" si="24"/>
        <v>4652</v>
      </c>
      <c r="AB184" s="2">
        <f t="shared" si="25"/>
        <v>3201</v>
      </c>
      <c r="AC184" s="2">
        <f t="shared" si="26"/>
        <v>2476</v>
      </c>
      <c r="AD184" s="2">
        <f t="shared" si="27"/>
        <v>2041</v>
      </c>
      <c r="AE184" s="2">
        <f t="shared" si="28"/>
        <v>1751</v>
      </c>
      <c r="AF184" s="2">
        <f t="shared" si="29"/>
        <v>1389</v>
      </c>
      <c r="AG184" s="2">
        <f t="shared" si="30"/>
        <v>10500</v>
      </c>
      <c r="AH184" s="2">
        <f t="shared" si="31"/>
        <v>19499</v>
      </c>
      <c r="AI184" s="2">
        <f t="shared" si="32"/>
        <v>21399</v>
      </c>
      <c r="AJ184" s="2">
        <f t="shared" si="33"/>
        <v>4080</v>
      </c>
      <c r="AK184" s="2">
        <f t="shared" si="34"/>
        <v>2808</v>
      </c>
      <c r="AL184" s="2">
        <f t="shared" si="35"/>
        <v>2172</v>
      </c>
      <c r="AM184" s="2">
        <f t="shared" si="36"/>
        <v>1790</v>
      </c>
      <c r="AN184" s="2">
        <f t="shared" si="37"/>
        <v>1536</v>
      </c>
      <c r="AO184" s="2">
        <f t="shared" si="38"/>
        <v>1218</v>
      </c>
      <c r="AP184" s="2">
        <f t="shared" si="39"/>
        <v>12000</v>
      </c>
      <c r="AQ184" s="2">
        <f t="shared" si="40"/>
        <v>17999</v>
      </c>
      <c r="AR184" s="2">
        <f t="shared" si="41"/>
        <v>19899</v>
      </c>
      <c r="AS184" s="2">
        <f t="shared" si="42"/>
        <v>3794</v>
      </c>
      <c r="AT184" s="2">
        <f t="shared" si="43"/>
        <v>2611</v>
      </c>
      <c r="AU184" s="2">
        <f t="shared" si="44"/>
        <v>2020</v>
      </c>
      <c r="AV184" s="2">
        <f t="shared" si="45"/>
        <v>1665</v>
      </c>
      <c r="AW184" s="2">
        <f t="shared" si="46"/>
        <v>1428</v>
      </c>
      <c r="AX184" s="2">
        <f t="shared" si="47"/>
        <v>1133</v>
      </c>
    </row>
    <row r="185" ht="14.25" customHeight="1">
      <c r="A185" s="2" t="str">
        <f t="array" ref="A185">IFERROR(INDEX('Product Price'!A:A,SMALL('Product Price'!$D:$D,183)),"")</f>
        <v>OPPO Reno 16 5G 12/512 GB</v>
      </c>
      <c r="B185" s="2">
        <f t="array" ref="B185">IFERROR(INDEX('Product Price'!B:B,SMALL('Product Price'!$D:$D,183)),"")</f>
        <v>26999</v>
      </c>
      <c r="C185" s="2">
        <f t="array" ref="C185">IFERROR(INDEX('Product Price'!C:C,SMALL('Product Price'!$D:$D,183)),"")</f>
        <v>192</v>
      </c>
      <c r="D185" s="2">
        <f t="shared" si="1"/>
        <v>1900</v>
      </c>
      <c r="E185" s="2">
        <f t="shared" si="2"/>
        <v>28899</v>
      </c>
      <c r="F185" s="2">
        <f t="shared" si="48"/>
        <v>4050</v>
      </c>
      <c r="G185" s="2">
        <f t="shared" si="4"/>
        <v>22949</v>
      </c>
      <c r="H185" s="2">
        <f t="shared" si="5"/>
        <v>24849</v>
      </c>
      <c r="I185" s="2">
        <f t="shared" si="6"/>
        <v>4738</v>
      </c>
      <c r="J185" s="2">
        <f t="shared" si="7"/>
        <v>3261</v>
      </c>
      <c r="K185" s="2">
        <f t="shared" si="8"/>
        <v>2522</v>
      </c>
      <c r="L185" s="2">
        <f t="shared" si="9"/>
        <v>2079</v>
      </c>
      <c r="M185" s="2">
        <f t="shared" si="10"/>
        <v>1783</v>
      </c>
      <c r="N185" s="2">
        <f t="shared" si="11"/>
        <v>1414</v>
      </c>
      <c r="O185" s="2">
        <f t="shared" si="12"/>
        <v>5400</v>
      </c>
      <c r="P185" s="2">
        <f t="shared" si="13"/>
        <v>21599</v>
      </c>
      <c r="Q185" s="2">
        <f t="shared" si="14"/>
        <v>23499</v>
      </c>
      <c r="R185" s="2">
        <f t="shared" si="15"/>
        <v>4480</v>
      </c>
      <c r="S185" s="2">
        <f t="shared" si="16"/>
        <v>3083</v>
      </c>
      <c r="T185" s="2">
        <f t="shared" si="17"/>
        <v>2385</v>
      </c>
      <c r="U185" s="2">
        <f t="shared" si="18"/>
        <v>1966</v>
      </c>
      <c r="V185" s="2">
        <f t="shared" si="19"/>
        <v>1687</v>
      </c>
      <c r="W185" s="2">
        <f t="shared" si="20"/>
        <v>1337</v>
      </c>
      <c r="X185" s="2">
        <f t="shared" si="21"/>
        <v>6750</v>
      </c>
      <c r="Y185" s="2">
        <f t="shared" si="22"/>
        <v>20249</v>
      </c>
      <c r="Z185" s="2">
        <f t="shared" si="23"/>
        <v>22149</v>
      </c>
      <c r="AA185" s="2">
        <f t="shared" si="24"/>
        <v>4223</v>
      </c>
      <c r="AB185" s="2">
        <f t="shared" si="25"/>
        <v>2906</v>
      </c>
      <c r="AC185" s="2">
        <f t="shared" si="26"/>
        <v>2248</v>
      </c>
      <c r="AD185" s="2">
        <f t="shared" si="27"/>
        <v>1853</v>
      </c>
      <c r="AE185" s="2">
        <f t="shared" si="28"/>
        <v>1590</v>
      </c>
      <c r="AF185" s="2">
        <f t="shared" si="29"/>
        <v>1261</v>
      </c>
      <c r="AG185" s="2">
        <f t="shared" si="30"/>
        <v>9450</v>
      </c>
      <c r="AH185" s="2">
        <f t="shared" si="31"/>
        <v>17549</v>
      </c>
      <c r="AI185" s="2">
        <f t="shared" si="32"/>
        <v>19449</v>
      </c>
      <c r="AJ185" s="2">
        <f t="shared" si="33"/>
        <v>3708</v>
      </c>
      <c r="AK185" s="2">
        <f t="shared" si="34"/>
        <v>2552</v>
      </c>
      <c r="AL185" s="2">
        <f t="shared" si="35"/>
        <v>1974</v>
      </c>
      <c r="AM185" s="2">
        <f t="shared" si="36"/>
        <v>1627</v>
      </c>
      <c r="AN185" s="2">
        <f t="shared" si="37"/>
        <v>1396</v>
      </c>
      <c r="AO185" s="2">
        <f t="shared" si="38"/>
        <v>1107</v>
      </c>
      <c r="AP185" s="2">
        <f t="shared" si="39"/>
        <v>10800</v>
      </c>
      <c r="AQ185" s="2">
        <f t="shared" si="40"/>
        <v>16199</v>
      </c>
      <c r="AR185" s="2">
        <f t="shared" si="41"/>
        <v>18099</v>
      </c>
      <c r="AS185" s="2">
        <f t="shared" si="42"/>
        <v>3451</v>
      </c>
      <c r="AT185" s="2">
        <f t="shared" si="43"/>
        <v>2375</v>
      </c>
      <c r="AU185" s="2">
        <f t="shared" si="44"/>
        <v>1837</v>
      </c>
      <c r="AV185" s="2">
        <f t="shared" si="45"/>
        <v>1514</v>
      </c>
      <c r="AW185" s="2">
        <f t="shared" si="46"/>
        <v>1299</v>
      </c>
      <c r="AX185" s="2">
        <f t="shared" si="47"/>
        <v>1030</v>
      </c>
    </row>
    <row r="186" ht="14.25" customHeight="1">
      <c r="A186" s="2" t="str">
        <f t="array" ref="A186">IFERROR(INDEX('Product Price'!A:A,SMALL('Product Price'!$D:$D,184)),"")</f>
        <v>OPPO Reno 16 5G 12/256 GB</v>
      </c>
      <c r="B186" s="2">
        <f t="array" ref="B186">IFERROR(INDEX('Product Price'!B:B,SMALL('Product Price'!$D:$D,184)),"")</f>
        <v>24999</v>
      </c>
      <c r="C186" s="2">
        <f t="array" ref="C186">IFERROR(INDEX('Product Price'!C:C,SMALL('Product Price'!$D:$D,184)),"")</f>
        <v>193</v>
      </c>
      <c r="D186" s="2">
        <f t="shared" si="1"/>
        <v>1900</v>
      </c>
      <c r="E186" s="2">
        <f t="shared" si="2"/>
        <v>26899</v>
      </c>
      <c r="F186" s="2">
        <f t="shared" si="48"/>
        <v>3750</v>
      </c>
      <c r="G186" s="2">
        <f t="shared" si="4"/>
        <v>21249</v>
      </c>
      <c r="H186" s="2">
        <f t="shared" si="5"/>
        <v>23149</v>
      </c>
      <c r="I186" s="2">
        <f t="shared" si="6"/>
        <v>4414</v>
      </c>
      <c r="J186" s="2">
        <f t="shared" si="7"/>
        <v>3038</v>
      </c>
      <c r="K186" s="2">
        <f t="shared" si="8"/>
        <v>2349</v>
      </c>
      <c r="L186" s="2">
        <f t="shared" si="9"/>
        <v>1937</v>
      </c>
      <c r="M186" s="2">
        <f t="shared" si="10"/>
        <v>1661</v>
      </c>
      <c r="N186" s="2">
        <f t="shared" si="11"/>
        <v>1317</v>
      </c>
      <c r="O186" s="2">
        <f t="shared" si="12"/>
        <v>5000</v>
      </c>
      <c r="P186" s="2">
        <f t="shared" si="13"/>
        <v>19999</v>
      </c>
      <c r="Q186" s="2">
        <f t="shared" si="14"/>
        <v>21899</v>
      </c>
      <c r="R186" s="2">
        <f t="shared" si="15"/>
        <v>4175</v>
      </c>
      <c r="S186" s="2">
        <f t="shared" si="16"/>
        <v>2874</v>
      </c>
      <c r="T186" s="2">
        <f t="shared" si="17"/>
        <v>2223</v>
      </c>
      <c r="U186" s="2">
        <f t="shared" si="18"/>
        <v>1832</v>
      </c>
      <c r="V186" s="2">
        <f t="shared" si="19"/>
        <v>1572</v>
      </c>
      <c r="W186" s="2">
        <f t="shared" si="20"/>
        <v>1246</v>
      </c>
      <c r="X186" s="2">
        <f t="shared" si="21"/>
        <v>6250</v>
      </c>
      <c r="Y186" s="2">
        <f t="shared" si="22"/>
        <v>18749</v>
      </c>
      <c r="Z186" s="2">
        <f t="shared" si="23"/>
        <v>20649</v>
      </c>
      <c r="AA186" s="2">
        <f t="shared" si="24"/>
        <v>3937</v>
      </c>
      <c r="AB186" s="2">
        <f t="shared" si="25"/>
        <v>2710</v>
      </c>
      <c r="AC186" s="2">
        <f t="shared" si="26"/>
        <v>2096</v>
      </c>
      <c r="AD186" s="2">
        <f t="shared" si="27"/>
        <v>1728</v>
      </c>
      <c r="AE186" s="2">
        <f t="shared" si="28"/>
        <v>1482</v>
      </c>
      <c r="AF186" s="2">
        <f t="shared" si="29"/>
        <v>1175</v>
      </c>
      <c r="AG186" s="2">
        <f t="shared" si="30"/>
        <v>8750</v>
      </c>
      <c r="AH186" s="2">
        <f t="shared" si="31"/>
        <v>16249</v>
      </c>
      <c r="AI186" s="2">
        <f t="shared" si="32"/>
        <v>18149</v>
      </c>
      <c r="AJ186" s="2">
        <f t="shared" si="33"/>
        <v>3460</v>
      </c>
      <c r="AK186" s="2">
        <f t="shared" si="34"/>
        <v>2382</v>
      </c>
      <c r="AL186" s="2">
        <f t="shared" si="35"/>
        <v>1842</v>
      </c>
      <c r="AM186" s="2">
        <f t="shared" si="36"/>
        <v>1518</v>
      </c>
      <c r="AN186" s="2">
        <f t="shared" si="37"/>
        <v>1303</v>
      </c>
      <c r="AO186" s="2">
        <f t="shared" si="38"/>
        <v>1033</v>
      </c>
      <c r="AP186" s="2">
        <f t="shared" si="39"/>
        <v>10000</v>
      </c>
      <c r="AQ186" s="2">
        <f t="shared" si="40"/>
        <v>14999</v>
      </c>
      <c r="AR186" s="2">
        <f t="shared" si="41"/>
        <v>16899</v>
      </c>
      <c r="AS186" s="2">
        <f t="shared" si="42"/>
        <v>3222</v>
      </c>
      <c r="AT186" s="2">
        <f t="shared" si="43"/>
        <v>2218</v>
      </c>
      <c r="AU186" s="2">
        <f t="shared" si="44"/>
        <v>1715</v>
      </c>
      <c r="AV186" s="2">
        <f t="shared" si="45"/>
        <v>1414</v>
      </c>
      <c r="AW186" s="2">
        <f t="shared" si="46"/>
        <v>1213</v>
      </c>
      <c r="AX186" s="2">
        <f t="shared" si="47"/>
        <v>962</v>
      </c>
    </row>
    <row r="187" ht="14.25" customHeight="1">
      <c r="A187" s="2" t="str">
        <f t="array" ref="A187">IFERROR(INDEX('Product Price'!A:A,SMALL('Product Price'!$D:$D,185)),"")</f>
        <v>OPPO Reno 16 5G 8/256 GB</v>
      </c>
      <c r="B187" s="2">
        <f t="array" ref="B187">IFERROR(INDEX('Product Price'!B:B,SMALL('Product Price'!$D:$D,185)),"")</f>
        <v>21999</v>
      </c>
      <c r="C187" s="2">
        <f t="array" ref="C187">IFERROR(INDEX('Product Price'!C:C,SMALL('Product Price'!$D:$D,185)),"")</f>
        <v>194</v>
      </c>
      <c r="D187" s="2">
        <f t="shared" si="1"/>
        <v>1900</v>
      </c>
      <c r="E187" s="2">
        <f t="shared" si="2"/>
        <v>23899</v>
      </c>
      <c r="F187" s="2">
        <f t="shared" si="48"/>
        <v>3300</v>
      </c>
      <c r="G187" s="2">
        <f t="shared" si="4"/>
        <v>18699</v>
      </c>
      <c r="H187" s="2">
        <f t="shared" si="5"/>
        <v>20599</v>
      </c>
      <c r="I187" s="2">
        <f t="shared" si="6"/>
        <v>3927</v>
      </c>
      <c r="J187" s="2">
        <f t="shared" si="7"/>
        <v>2703</v>
      </c>
      <c r="K187" s="2">
        <f t="shared" si="8"/>
        <v>2091</v>
      </c>
      <c r="L187" s="2">
        <f t="shared" si="9"/>
        <v>1723</v>
      </c>
      <c r="M187" s="2">
        <f t="shared" si="10"/>
        <v>1478</v>
      </c>
      <c r="N187" s="2">
        <f t="shared" si="11"/>
        <v>1172</v>
      </c>
      <c r="O187" s="2">
        <f t="shared" si="12"/>
        <v>4400</v>
      </c>
      <c r="P187" s="2">
        <f t="shared" si="13"/>
        <v>17599</v>
      </c>
      <c r="Q187" s="2">
        <f t="shared" si="14"/>
        <v>19499</v>
      </c>
      <c r="R187" s="2">
        <f t="shared" si="15"/>
        <v>3718</v>
      </c>
      <c r="S187" s="2">
        <f t="shared" si="16"/>
        <v>2559</v>
      </c>
      <c r="T187" s="2">
        <f t="shared" si="17"/>
        <v>1979</v>
      </c>
      <c r="U187" s="2">
        <f t="shared" si="18"/>
        <v>1631</v>
      </c>
      <c r="V187" s="2">
        <f t="shared" si="19"/>
        <v>1400</v>
      </c>
      <c r="W187" s="2">
        <f t="shared" si="20"/>
        <v>1110</v>
      </c>
      <c r="X187" s="2">
        <f t="shared" si="21"/>
        <v>5500</v>
      </c>
      <c r="Y187" s="2">
        <f t="shared" si="22"/>
        <v>16499</v>
      </c>
      <c r="Z187" s="2">
        <f t="shared" si="23"/>
        <v>18399</v>
      </c>
      <c r="AA187" s="2">
        <f t="shared" si="24"/>
        <v>3508</v>
      </c>
      <c r="AB187" s="2">
        <f t="shared" si="25"/>
        <v>2414</v>
      </c>
      <c r="AC187" s="2">
        <f t="shared" si="26"/>
        <v>1867</v>
      </c>
      <c r="AD187" s="2">
        <f t="shared" si="27"/>
        <v>1539</v>
      </c>
      <c r="AE187" s="2">
        <f t="shared" si="28"/>
        <v>1321</v>
      </c>
      <c r="AF187" s="2">
        <f t="shared" si="29"/>
        <v>1047</v>
      </c>
      <c r="AG187" s="2">
        <f t="shared" si="30"/>
        <v>7700</v>
      </c>
      <c r="AH187" s="2">
        <f t="shared" si="31"/>
        <v>14299</v>
      </c>
      <c r="AI187" s="2">
        <f t="shared" si="32"/>
        <v>16199</v>
      </c>
      <c r="AJ187" s="2">
        <f t="shared" si="33"/>
        <v>3089</v>
      </c>
      <c r="AK187" s="2">
        <f t="shared" si="34"/>
        <v>2126</v>
      </c>
      <c r="AL187" s="2">
        <f t="shared" si="35"/>
        <v>1644</v>
      </c>
      <c r="AM187" s="2">
        <f t="shared" si="36"/>
        <v>1355</v>
      </c>
      <c r="AN187" s="2">
        <f t="shared" si="37"/>
        <v>1163</v>
      </c>
      <c r="AO187" s="2">
        <f t="shared" si="38"/>
        <v>922</v>
      </c>
      <c r="AP187" s="2">
        <f t="shared" si="39"/>
        <v>8800</v>
      </c>
      <c r="AQ187" s="2">
        <f t="shared" si="40"/>
        <v>13199</v>
      </c>
      <c r="AR187" s="2">
        <f t="shared" si="41"/>
        <v>15099</v>
      </c>
      <c r="AS187" s="2">
        <f t="shared" si="42"/>
        <v>2879</v>
      </c>
      <c r="AT187" s="2">
        <f t="shared" si="43"/>
        <v>1981</v>
      </c>
      <c r="AU187" s="2">
        <f t="shared" si="44"/>
        <v>1533</v>
      </c>
      <c r="AV187" s="2">
        <f t="shared" si="45"/>
        <v>1263</v>
      </c>
      <c r="AW187" s="2">
        <f t="shared" si="46"/>
        <v>1084</v>
      </c>
      <c r="AX187" s="2">
        <f t="shared" si="47"/>
        <v>859</v>
      </c>
    </row>
    <row r="188" ht="14.25" customHeight="1">
      <c r="A188" s="2" t="str">
        <f t="array" ref="A188">IFERROR(INDEX('Product Price'!A:A,SMALL('Product Price'!$D:$D,186)),"")</f>
        <v>OPPO Reno 16F 5G 8/256 GB</v>
      </c>
      <c r="B188" s="2">
        <f t="array" ref="B188">IFERROR(INDEX('Product Price'!B:B,SMALL('Product Price'!$D:$D,186)),"")</f>
        <v>18999</v>
      </c>
      <c r="C188" s="2">
        <f t="array" ref="C188">IFERROR(INDEX('Product Price'!C:C,SMALL('Product Price'!$D:$D,186)),"")</f>
        <v>195</v>
      </c>
      <c r="D188" s="2">
        <f t="shared" si="1"/>
        <v>1450</v>
      </c>
      <c r="E188" s="2">
        <f t="shared" si="2"/>
        <v>20449</v>
      </c>
      <c r="F188" s="2">
        <f t="shared" si="48"/>
        <v>2850</v>
      </c>
      <c r="G188" s="2">
        <f t="shared" si="4"/>
        <v>16149</v>
      </c>
      <c r="H188" s="2">
        <f t="shared" si="5"/>
        <v>17599</v>
      </c>
      <c r="I188" s="2">
        <f t="shared" si="6"/>
        <v>3356</v>
      </c>
      <c r="J188" s="2">
        <f t="shared" si="7"/>
        <v>2309</v>
      </c>
      <c r="K188" s="2">
        <f t="shared" si="8"/>
        <v>1786</v>
      </c>
      <c r="L188" s="2">
        <f t="shared" si="9"/>
        <v>1472</v>
      </c>
      <c r="M188" s="2">
        <f t="shared" si="10"/>
        <v>1263</v>
      </c>
      <c r="N188" s="2">
        <f t="shared" si="11"/>
        <v>1002</v>
      </c>
      <c r="O188" s="2">
        <f t="shared" si="12"/>
        <v>3800</v>
      </c>
      <c r="P188" s="2">
        <f t="shared" si="13"/>
        <v>15199</v>
      </c>
      <c r="Q188" s="2">
        <f t="shared" si="14"/>
        <v>16649</v>
      </c>
      <c r="R188" s="2">
        <f t="shared" si="15"/>
        <v>3174</v>
      </c>
      <c r="S188" s="2">
        <f t="shared" si="16"/>
        <v>2185</v>
      </c>
      <c r="T188" s="2">
        <f t="shared" si="17"/>
        <v>1690</v>
      </c>
      <c r="U188" s="2">
        <f t="shared" si="18"/>
        <v>1393</v>
      </c>
      <c r="V188" s="2">
        <f t="shared" si="19"/>
        <v>1195</v>
      </c>
      <c r="W188" s="2">
        <f t="shared" si="20"/>
        <v>948</v>
      </c>
      <c r="X188" s="2">
        <f t="shared" si="21"/>
        <v>4750</v>
      </c>
      <c r="Y188" s="2">
        <f t="shared" si="22"/>
        <v>14249</v>
      </c>
      <c r="Z188" s="2">
        <f t="shared" si="23"/>
        <v>15699</v>
      </c>
      <c r="AA188" s="2">
        <f t="shared" si="24"/>
        <v>2993</v>
      </c>
      <c r="AB188" s="2">
        <f t="shared" si="25"/>
        <v>2060</v>
      </c>
      <c r="AC188" s="2">
        <f t="shared" si="26"/>
        <v>1594</v>
      </c>
      <c r="AD188" s="2">
        <f t="shared" si="27"/>
        <v>1314</v>
      </c>
      <c r="AE188" s="2">
        <f t="shared" si="28"/>
        <v>1127</v>
      </c>
      <c r="AF188" s="2">
        <f t="shared" si="29"/>
        <v>894</v>
      </c>
      <c r="AG188" s="2">
        <f t="shared" si="30"/>
        <v>6650</v>
      </c>
      <c r="AH188" s="2">
        <f t="shared" si="31"/>
        <v>12349</v>
      </c>
      <c r="AI188" s="2">
        <f t="shared" si="32"/>
        <v>13799</v>
      </c>
      <c r="AJ188" s="2">
        <f t="shared" si="33"/>
        <v>2631</v>
      </c>
      <c r="AK188" s="2">
        <f t="shared" si="34"/>
        <v>1811</v>
      </c>
      <c r="AL188" s="2">
        <f t="shared" si="35"/>
        <v>1401</v>
      </c>
      <c r="AM188" s="2">
        <f t="shared" si="36"/>
        <v>1155</v>
      </c>
      <c r="AN188" s="2">
        <f t="shared" si="37"/>
        <v>991</v>
      </c>
      <c r="AO188" s="2">
        <f t="shared" si="38"/>
        <v>786</v>
      </c>
      <c r="AP188" s="2">
        <f t="shared" si="39"/>
        <v>7600</v>
      </c>
      <c r="AQ188" s="2">
        <f t="shared" si="40"/>
        <v>11399</v>
      </c>
      <c r="AR188" s="2">
        <f t="shared" si="41"/>
        <v>12849</v>
      </c>
      <c r="AS188" s="2">
        <f t="shared" si="42"/>
        <v>2450</v>
      </c>
      <c r="AT188" s="2">
        <f t="shared" si="43"/>
        <v>1686</v>
      </c>
      <c r="AU188" s="2">
        <f t="shared" si="44"/>
        <v>1304</v>
      </c>
      <c r="AV188" s="2">
        <f t="shared" si="45"/>
        <v>1075</v>
      </c>
      <c r="AW188" s="2">
        <f t="shared" si="46"/>
        <v>922</v>
      </c>
      <c r="AX188" s="2">
        <f t="shared" si="47"/>
        <v>731</v>
      </c>
    </row>
    <row r="189" ht="14.25" customHeight="1">
      <c r="A189" s="2" t="str">
        <f t="array" ref="A189">IFERROR(INDEX('Product Price'!A:A,SMALL('Product Price'!$D:$D,187)),"")</f>
        <v>OPPO Reno 16F 5G 8/128 GB</v>
      </c>
      <c r="B189" s="2">
        <f t="array" ref="B189">IFERROR(INDEX('Product Price'!B:B,SMALL('Product Price'!$D:$D,187)),"")</f>
        <v>17999</v>
      </c>
      <c r="C189" s="2">
        <f t="array" ref="C189">IFERROR(INDEX('Product Price'!C:C,SMALL('Product Price'!$D:$D,187)),"")</f>
        <v>196</v>
      </c>
      <c r="D189" s="2">
        <f t="shared" si="1"/>
        <v>1450</v>
      </c>
      <c r="E189" s="2">
        <f t="shared" si="2"/>
        <v>19449</v>
      </c>
      <c r="F189" s="2">
        <f t="shared" si="48"/>
        <v>2700</v>
      </c>
      <c r="G189" s="2">
        <f t="shared" si="4"/>
        <v>15299</v>
      </c>
      <c r="H189" s="2">
        <f t="shared" si="5"/>
        <v>16749</v>
      </c>
      <c r="I189" s="2">
        <f t="shared" si="6"/>
        <v>3194</v>
      </c>
      <c r="J189" s="2">
        <f t="shared" si="7"/>
        <v>2198</v>
      </c>
      <c r="K189" s="2">
        <f t="shared" si="8"/>
        <v>1700</v>
      </c>
      <c r="L189" s="2">
        <f t="shared" si="9"/>
        <v>1401</v>
      </c>
      <c r="M189" s="2">
        <f t="shared" si="10"/>
        <v>1202</v>
      </c>
      <c r="N189" s="2">
        <f t="shared" si="11"/>
        <v>953</v>
      </c>
      <c r="O189" s="2">
        <f t="shared" si="12"/>
        <v>3600</v>
      </c>
      <c r="P189" s="2">
        <f t="shared" si="13"/>
        <v>14399</v>
      </c>
      <c r="Q189" s="2">
        <f t="shared" si="14"/>
        <v>15849</v>
      </c>
      <c r="R189" s="2">
        <f t="shared" si="15"/>
        <v>3022</v>
      </c>
      <c r="S189" s="2">
        <f t="shared" si="16"/>
        <v>2080</v>
      </c>
      <c r="T189" s="2">
        <f t="shared" si="17"/>
        <v>1609</v>
      </c>
      <c r="U189" s="2">
        <f t="shared" si="18"/>
        <v>1326</v>
      </c>
      <c r="V189" s="2">
        <f t="shared" si="19"/>
        <v>1138</v>
      </c>
      <c r="W189" s="2">
        <f t="shared" si="20"/>
        <v>902</v>
      </c>
      <c r="X189" s="2">
        <f t="shared" si="21"/>
        <v>4500</v>
      </c>
      <c r="Y189" s="2">
        <f t="shared" si="22"/>
        <v>13499</v>
      </c>
      <c r="Z189" s="2">
        <f t="shared" si="23"/>
        <v>14949</v>
      </c>
      <c r="AA189" s="2">
        <f t="shared" si="24"/>
        <v>2850</v>
      </c>
      <c r="AB189" s="2">
        <f t="shared" si="25"/>
        <v>1962</v>
      </c>
      <c r="AC189" s="2">
        <f t="shared" si="26"/>
        <v>1517</v>
      </c>
      <c r="AD189" s="2">
        <f t="shared" si="27"/>
        <v>1251</v>
      </c>
      <c r="AE189" s="2">
        <f t="shared" si="28"/>
        <v>1073</v>
      </c>
      <c r="AF189" s="2">
        <f t="shared" si="29"/>
        <v>851</v>
      </c>
      <c r="AG189" s="2">
        <f t="shared" si="30"/>
        <v>6300</v>
      </c>
      <c r="AH189" s="2">
        <f t="shared" si="31"/>
        <v>11699</v>
      </c>
      <c r="AI189" s="2">
        <f t="shared" si="32"/>
        <v>13149</v>
      </c>
      <c r="AJ189" s="2">
        <f t="shared" si="33"/>
        <v>2507</v>
      </c>
      <c r="AK189" s="2">
        <f t="shared" si="34"/>
        <v>1726</v>
      </c>
      <c r="AL189" s="2">
        <f t="shared" si="35"/>
        <v>1335</v>
      </c>
      <c r="AM189" s="2">
        <f t="shared" si="36"/>
        <v>1100</v>
      </c>
      <c r="AN189" s="2">
        <f t="shared" si="37"/>
        <v>944</v>
      </c>
      <c r="AO189" s="2">
        <f t="shared" si="38"/>
        <v>749</v>
      </c>
      <c r="AP189" s="2">
        <f t="shared" si="39"/>
        <v>7200</v>
      </c>
      <c r="AQ189" s="2">
        <f t="shared" si="40"/>
        <v>10799</v>
      </c>
      <c r="AR189" s="2">
        <f t="shared" si="41"/>
        <v>12249</v>
      </c>
      <c r="AS189" s="2">
        <f t="shared" si="42"/>
        <v>2336</v>
      </c>
      <c r="AT189" s="2">
        <f t="shared" si="43"/>
        <v>1607</v>
      </c>
      <c r="AU189" s="2">
        <f t="shared" si="44"/>
        <v>1243</v>
      </c>
      <c r="AV189" s="2">
        <f t="shared" si="45"/>
        <v>1025</v>
      </c>
      <c r="AW189" s="2">
        <f t="shared" si="46"/>
        <v>879</v>
      </c>
      <c r="AX189" s="2">
        <f t="shared" si="47"/>
        <v>697</v>
      </c>
    </row>
    <row r="190" ht="14.25" customHeight="1">
      <c r="A190" s="2" t="str">
        <f t="array" ref="A190">IFERROR(INDEX('Product Price'!A:A,SMALL('Product Price'!$D:$D,188)),"")</f>
        <v>OPPO Reno 15F 5G 8/256 GB</v>
      </c>
      <c r="B190" s="2">
        <f t="array" ref="B190">IFERROR(INDEX('Product Price'!B:B,SMALL('Product Price'!$D:$D,188)),"")</f>
        <v>14999</v>
      </c>
      <c r="C190" s="2">
        <f t="array" ref="C190">IFERROR(INDEX('Product Price'!C:C,SMALL('Product Price'!$D:$D,188)),"")</f>
        <v>191</v>
      </c>
      <c r="D190" s="2">
        <f t="shared" si="1"/>
        <v>1450</v>
      </c>
      <c r="E190" s="2">
        <f t="shared" si="2"/>
        <v>16449</v>
      </c>
      <c r="F190" s="2">
        <f t="shared" si="48"/>
        <v>2250</v>
      </c>
      <c r="G190" s="2">
        <f t="shared" si="4"/>
        <v>12749</v>
      </c>
      <c r="H190" s="2">
        <f t="shared" si="5"/>
        <v>14199</v>
      </c>
      <c r="I190" s="2">
        <f t="shared" si="6"/>
        <v>2707</v>
      </c>
      <c r="J190" s="2">
        <f t="shared" si="7"/>
        <v>1863</v>
      </c>
      <c r="K190" s="2">
        <f t="shared" si="8"/>
        <v>1441</v>
      </c>
      <c r="L190" s="2">
        <f t="shared" si="9"/>
        <v>1188</v>
      </c>
      <c r="M190" s="2">
        <f t="shared" si="10"/>
        <v>1019</v>
      </c>
      <c r="N190" s="2">
        <f t="shared" si="11"/>
        <v>808</v>
      </c>
      <c r="O190" s="2">
        <f t="shared" si="12"/>
        <v>3000</v>
      </c>
      <c r="P190" s="2">
        <f t="shared" si="13"/>
        <v>11999</v>
      </c>
      <c r="Q190" s="2">
        <f t="shared" si="14"/>
        <v>13449</v>
      </c>
      <c r="R190" s="2">
        <f t="shared" si="15"/>
        <v>2564</v>
      </c>
      <c r="S190" s="2">
        <f t="shared" si="16"/>
        <v>1765</v>
      </c>
      <c r="T190" s="2">
        <f t="shared" si="17"/>
        <v>1365</v>
      </c>
      <c r="U190" s="2">
        <f t="shared" si="18"/>
        <v>1125</v>
      </c>
      <c r="V190" s="2">
        <f t="shared" si="19"/>
        <v>965</v>
      </c>
      <c r="W190" s="2">
        <f t="shared" si="20"/>
        <v>766</v>
      </c>
      <c r="X190" s="2">
        <f t="shared" si="21"/>
        <v>3750</v>
      </c>
      <c r="Y190" s="2">
        <f t="shared" si="22"/>
        <v>11249</v>
      </c>
      <c r="Z190" s="2">
        <f t="shared" si="23"/>
        <v>12699</v>
      </c>
      <c r="AA190" s="2">
        <f t="shared" si="24"/>
        <v>2421</v>
      </c>
      <c r="AB190" s="2">
        <f t="shared" si="25"/>
        <v>1667</v>
      </c>
      <c r="AC190" s="2">
        <f t="shared" si="26"/>
        <v>1289</v>
      </c>
      <c r="AD190" s="2">
        <f t="shared" si="27"/>
        <v>1063</v>
      </c>
      <c r="AE190" s="2">
        <f t="shared" si="28"/>
        <v>912</v>
      </c>
      <c r="AF190" s="2">
        <f t="shared" si="29"/>
        <v>723</v>
      </c>
      <c r="AG190" s="2">
        <f t="shared" si="30"/>
        <v>5250</v>
      </c>
      <c r="AH190" s="2">
        <f t="shared" si="31"/>
        <v>9749</v>
      </c>
      <c r="AI190" s="2">
        <f t="shared" si="32"/>
        <v>11199</v>
      </c>
      <c r="AJ190" s="2">
        <f t="shared" si="33"/>
        <v>2135</v>
      </c>
      <c r="AK190" s="2">
        <f t="shared" si="34"/>
        <v>1470</v>
      </c>
      <c r="AL190" s="2">
        <f t="shared" si="35"/>
        <v>1137</v>
      </c>
      <c r="AM190" s="2">
        <f t="shared" si="36"/>
        <v>937</v>
      </c>
      <c r="AN190" s="2">
        <f t="shared" si="37"/>
        <v>804</v>
      </c>
      <c r="AO190" s="2">
        <f t="shared" si="38"/>
        <v>638</v>
      </c>
      <c r="AP190" s="2">
        <f t="shared" si="39"/>
        <v>6000</v>
      </c>
      <c r="AQ190" s="2">
        <f t="shared" si="40"/>
        <v>8999</v>
      </c>
      <c r="AR190" s="2">
        <f t="shared" si="41"/>
        <v>10449</v>
      </c>
      <c r="AS190" s="2">
        <f t="shared" si="42"/>
        <v>1992</v>
      </c>
      <c r="AT190" s="2">
        <f t="shared" si="43"/>
        <v>1371</v>
      </c>
      <c r="AU190" s="2">
        <f t="shared" si="44"/>
        <v>1061</v>
      </c>
      <c r="AV190" s="2">
        <f t="shared" si="45"/>
        <v>874</v>
      </c>
      <c r="AW190" s="2">
        <f t="shared" si="46"/>
        <v>750</v>
      </c>
      <c r="AX190" s="2">
        <f t="shared" si="47"/>
        <v>595</v>
      </c>
    </row>
    <row r="191" ht="14.25" customHeight="1">
      <c r="A191" s="2" t="str">
        <f t="array" ref="A191">IFERROR(INDEX('Product Price'!A:A,SMALL('Product Price'!$D:$D,189)),"")</f>
        <v>OPPO A7 ProMax 5G 8/256 GB</v>
      </c>
      <c r="B191" s="2">
        <f t="array" ref="B191">IFERROR(INDEX('Product Price'!B:B,SMALL('Product Price'!$D:$D,189)),"")</f>
        <v>19999</v>
      </c>
      <c r="C191" s="2">
        <f t="array" ref="C191">IFERROR(INDEX('Product Price'!C:C,SMALL('Product Price'!$D:$D,189)),"")</f>
        <v>250</v>
      </c>
      <c r="D191" s="2">
        <f t="shared" si="1"/>
        <v>1450</v>
      </c>
      <c r="E191" s="2">
        <f t="shared" si="2"/>
        <v>21449</v>
      </c>
      <c r="F191" s="2">
        <f t="shared" si="48"/>
        <v>3000</v>
      </c>
      <c r="G191" s="2">
        <f t="shared" si="4"/>
        <v>16999</v>
      </c>
      <c r="H191" s="2">
        <f t="shared" si="5"/>
        <v>18449</v>
      </c>
      <c r="I191" s="2">
        <f t="shared" si="6"/>
        <v>3518</v>
      </c>
      <c r="J191" s="2">
        <f t="shared" si="7"/>
        <v>2421</v>
      </c>
      <c r="K191" s="2">
        <f t="shared" si="8"/>
        <v>1873</v>
      </c>
      <c r="L191" s="2">
        <f t="shared" si="9"/>
        <v>1544</v>
      </c>
      <c r="M191" s="2">
        <f t="shared" si="10"/>
        <v>1324</v>
      </c>
      <c r="N191" s="2">
        <f t="shared" si="11"/>
        <v>1050</v>
      </c>
      <c r="O191" s="2">
        <f t="shared" si="12"/>
        <v>4000</v>
      </c>
      <c r="P191" s="2">
        <f t="shared" si="13"/>
        <v>15999</v>
      </c>
      <c r="Q191" s="2">
        <f t="shared" si="14"/>
        <v>17449</v>
      </c>
      <c r="R191" s="2">
        <f t="shared" si="15"/>
        <v>3327</v>
      </c>
      <c r="S191" s="2">
        <f t="shared" si="16"/>
        <v>2290</v>
      </c>
      <c r="T191" s="2">
        <f t="shared" si="17"/>
        <v>1771</v>
      </c>
      <c r="U191" s="2">
        <f t="shared" si="18"/>
        <v>1460</v>
      </c>
      <c r="V191" s="2">
        <f t="shared" si="19"/>
        <v>1252</v>
      </c>
      <c r="W191" s="2">
        <f t="shared" si="20"/>
        <v>993</v>
      </c>
      <c r="X191" s="2">
        <f t="shared" si="21"/>
        <v>5000</v>
      </c>
      <c r="Y191" s="2">
        <f t="shared" si="22"/>
        <v>14999</v>
      </c>
      <c r="Z191" s="2">
        <f t="shared" si="23"/>
        <v>16449</v>
      </c>
      <c r="AA191" s="2">
        <f t="shared" si="24"/>
        <v>3136</v>
      </c>
      <c r="AB191" s="2">
        <f t="shared" si="25"/>
        <v>2159</v>
      </c>
      <c r="AC191" s="2">
        <f t="shared" si="26"/>
        <v>1670</v>
      </c>
      <c r="AD191" s="2">
        <f t="shared" si="27"/>
        <v>1376</v>
      </c>
      <c r="AE191" s="2">
        <f t="shared" si="28"/>
        <v>1181</v>
      </c>
      <c r="AF191" s="2">
        <f t="shared" si="29"/>
        <v>936</v>
      </c>
      <c r="AG191" s="2">
        <f t="shared" si="30"/>
        <v>7000</v>
      </c>
      <c r="AH191" s="2">
        <f t="shared" si="31"/>
        <v>12999</v>
      </c>
      <c r="AI191" s="2">
        <f t="shared" si="32"/>
        <v>14449</v>
      </c>
      <c r="AJ191" s="2">
        <f t="shared" si="33"/>
        <v>2755</v>
      </c>
      <c r="AK191" s="2">
        <f t="shared" si="34"/>
        <v>1896</v>
      </c>
      <c r="AL191" s="2">
        <f t="shared" si="35"/>
        <v>1467</v>
      </c>
      <c r="AM191" s="2">
        <f t="shared" si="36"/>
        <v>1209</v>
      </c>
      <c r="AN191" s="2">
        <f t="shared" si="37"/>
        <v>1037</v>
      </c>
      <c r="AO191" s="2">
        <f t="shared" si="38"/>
        <v>822</v>
      </c>
      <c r="AP191" s="2">
        <f t="shared" si="39"/>
        <v>8000</v>
      </c>
      <c r="AQ191" s="2">
        <f t="shared" si="40"/>
        <v>11999</v>
      </c>
      <c r="AR191" s="2">
        <f t="shared" si="41"/>
        <v>13449</v>
      </c>
      <c r="AS191" s="2">
        <f t="shared" si="42"/>
        <v>2564</v>
      </c>
      <c r="AT191" s="2">
        <f t="shared" si="43"/>
        <v>1765</v>
      </c>
      <c r="AU191" s="2">
        <f t="shared" si="44"/>
        <v>1365</v>
      </c>
      <c r="AV191" s="2">
        <f t="shared" si="45"/>
        <v>1125</v>
      </c>
      <c r="AW191" s="2">
        <f t="shared" si="46"/>
        <v>965</v>
      </c>
      <c r="AX191" s="2">
        <f t="shared" si="47"/>
        <v>766</v>
      </c>
    </row>
    <row r="192" ht="14.25" customHeight="1">
      <c r="A192" s="2" t="str">
        <f t="array" ref="A192">IFERROR(INDEX('Product Price'!A:A,SMALL('Product Price'!$D:$D,190)),"")</f>
        <v>OPPO A7 Pro 5G 8/256 GB</v>
      </c>
      <c r="B192" s="2">
        <f t="array" ref="B192">IFERROR(INDEX('Product Price'!B:B,SMALL('Product Price'!$D:$D,190)),"")</f>
        <v>15999</v>
      </c>
      <c r="C192" s="2">
        <f t="array" ref="C192">IFERROR(INDEX('Product Price'!C:C,SMALL('Product Price'!$D:$D,190)),"")</f>
        <v>251</v>
      </c>
      <c r="D192" s="2">
        <f t="shared" si="1"/>
        <v>1450</v>
      </c>
      <c r="E192" s="2">
        <f t="shared" si="2"/>
        <v>17449</v>
      </c>
      <c r="F192" s="2">
        <f t="shared" si="48"/>
        <v>2400</v>
      </c>
      <c r="G192" s="2">
        <f t="shared" si="4"/>
        <v>13599</v>
      </c>
      <c r="H192" s="2">
        <f t="shared" si="5"/>
        <v>15049</v>
      </c>
      <c r="I192" s="2">
        <f t="shared" si="6"/>
        <v>2869</v>
      </c>
      <c r="J192" s="2">
        <f t="shared" si="7"/>
        <v>1975</v>
      </c>
      <c r="K192" s="2">
        <f t="shared" si="8"/>
        <v>1528</v>
      </c>
      <c r="L192" s="2">
        <f t="shared" si="9"/>
        <v>1259</v>
      </c>
      <c r="M192" s="2">
        <f t="shared" si="10"/>
        <v>1080</v>
      </c>
      <c r="N192" s="2">
        <f t="shared" si="11"/>
        <v>857</v>
      </c>
      <c r="O192" s="2">
        <f t="shared" si="12"/>
        <v>3200</v>
      </c>
      <c r="P192" s="2">
        <f t="shared" si="13"/>
        <v>12799</v>
      </c>
      <c r="Q192" s="2">
        <f t="shared" si="14"/>
        <v>14249</v>
      </c>
      <c r="R192" s="2">
        <f t="shared" si="15"/>
        <v>2717</v>
      </c>
      <c r="S192" s="2">
        <f t="shared" si="16"/>
        <v>1870</v>
      </c>
      <c r="T192" s="2">
        <f t="shared" si="17"/>
        <v>1446</v>
      </c>
      <c r="U192" s="2">
        <f t="shared" si="18"/>
        <v>1192</v>
      </c>
      <c r="V192" s="2">
        <f t="shared" si="19"/>
        <v>1023</v>
      </c>
      <c r="W192" s="2">
        <f t="shared" si="20"/>
        <v>811</v>
      </c>
      <c r="X192" s="2">
        <f t="shared" si="21"/>
        <v>4000</v>
      </c>
      <c r="Y192" s="2">
        <f t="shared" si="22"/>
        <v>11999</v>
      </c>
      <c r="Z192" s="2">
        <f t="shared" si="23"/>
        <v>13449</v>
      </c>
      <c r="AA192" s="2">
        <f t="shared" si="24"/>
        <v>2564</v>
      </c>
      <c r="AB192" s="2">
        <f t="shared" si="25"/>
        <v>1765</v>
      </c>
      <c r="AC192" s="2">
        <f t="shared" si="26"/>
        <v>1365</v>
      </c>
      <c r="AD192" s="2">
        <f t="shared" si="27"/>
        <v>1125</v>
      </c>
      <c r="AE192" s="2">
        <f t="shared" si="28"/>
        <v>965</v>
      </c>
      <c r="AF192" s="2">
        <f t="shared" si="29"/>
        <v>766</v>
      </c>
      <c r="AG192" s="2">
        <f t="shared" si="30"/>
        <v>5600</v>
      </c>
      <c r="AH192" s="2">
        <f t="shared" si="31"/>
        <v>10399</v>
      </c>
      <c r="AI192" s="2">
        <f t="shared" si="32"/>
        <v>11849</v>
      </c>
      <c r="AJ192" s="2">
        <f t="shared" si="33"/>
        <v>2259</v>
      </c>
      <c r="AK192" s="2">
        <f t="shared" si="34"/>
        <v>1555</v>
      </c>
      <c r="AL192" s="2">
        <f t="shared" si="35"/>
        <v>1203</v>
      </c>
      <c r="AM192" s="2">
        <f t="shared" si="36"/>
        <v>992</v>
      </c>
      <c r="AN192" s="2">
        <f t="shared" si="37"/>
        <v>851</v>
      </c>
      <c r="AO192" s="2">
        <f t="shared" si="38"/>
        <v>675</v>
      </c>
      <c r="AP192" s="2">
        <f t="shared" si="39"/>
        <v>6400</v>
      </c>
      <c r="AQ192" s="2">
        <f t="shared" si="40"/>
        <v>9599</v>
      </c>
      <c r="AR192" s="2">
        <f t="shared" si="41"/>
        <v>11049</v>
      </c>
      <c r="AS192" s="2">
        <f t="shared" si="42"/>
        <v>2107</v>
      </c>
      <c r="AT192" s="2">
        <f t="shared" si="43"/>
        <v>1450</v>
      </c>
      <c r="AU192" s="2">
        <f t="shared" si="44"/>
        <v>1122</v>
      </c>
      <c r="AV192" s="2">
        <f t="shared" si="45"/>
        <v>925</v>
      </c>
      <c r="AW192" s="2">
        <f t="shared" si="46"/>
        <v>793</v>
      </c>
      <c r="AX192" s="2">
        <f t="shared" si="47"/>
        <v>629</v>
      </c>
    </row>
    <row r="193" ht="14.25" customHeight="1">
      <c r="A193" s="2" t="str">
        <f t="array" ref="A193">IFERROR(INDEX('Product Price'!A:A,SMALL('Product Price'!$D:$D,191)),"")</f>
        <v>OPPO A7 Pro 5G 8/128 GB</v>
      </c>
      <c r="B193" s="2">
        <f t="array" ref="B193">IFERROR(INDEX('Product Price'!B:B,SMALL('Product Price'!$D:$D,191)),"")</f>
        <v>13999</v>
      </c>
      <c r="C193" s="2">
        <f t="array" ref="C193">IFERROR(INDEX('Product Price'!C:C,SMALL('Product Price'!$D:$D,191)),"")</f>
        <v>252</v>
      </c>
      <c r="D193" s="2">
        <f t="shared" si="1"/>
        <v>1450</v>
      </c>
      <c r="E193" s="2">
        <f t="shared" si="2"/>
        <v>15449</v>
      </c>
      <c r="F193" s="2">
        <f t="shared" si="48"/>
        <v>2100</v>
      </c>
      <c r="G193" s="2">
        <f t="shared" si="4"/>
        <v>11899</v>
      </c>
      <c r="H193" s="2">
        <f t="shared" si="5"/>
        <v>13349</v>
      </c>
      <c r="I193" s="2">
        <f t="shared" si="6"/>
        <v>2545</v>
      </c>
      <c r="J193" s="2">
        <f t="shared" si="7"/>
        <v>1752</v>
      </c>
      <c r="K193" s="2">
        <f t="shared" si="8"/>
        <v>1355</v>
      </c>
      <c r="L193" s="2">
        <f t="shared" si="9"/>
        <v>1117</v>
      </c>
      <c r="M193" s="2">
        <f t="shared" si="10"/>
        <v>958</v>
      </c>
      <c r="N193" s="2">
        <f t="shared" si="11"/>
        <v>760</v>
      </c>
      <c r="O193" s="2">
        <f t="shared" si="12"/>
        <v>2800</v>
      </c>
      <c r="P193" s="2">
        <f t="shared" si="13"/>
        <v>11199</v>
      </c>
      <c r="Q193" s="2">
        <f t="shared" si="14"/>
        <v>12649</v>
      </c>
      <c r="R193" s="2">
        <f t="shared" si="15"/>
        <v>2412</v>
      </c>
      <c r="S193" s="2">
        <f t="shared" si="16"/>
        <v>1660</v>
      </c>
      <c r="T193" s="2">
        <f t="shared" si="17"/>
        <v>1284</v>
      </c>
      <c r="U193" s="2">
        <f t="shared" si="18"/>
        <v>1058</v>
      </c>
      <c r="V193" s="2">
        <f t="shared" si="19"/>
        <v>908</v>
      </c>
      <c r="W193" s="2">
        <f t="shared" si="20"/>
        <v>720</v>
      </c>
      <c r="X193" s="2">
        <f t="shared" si="21"/>
        <v>3500</v>
      </c>
      <c r="Y193" s="2">
        <f t="shared" si="22"/>
        <v>10499</v>
      </c>
      <c r="Z193" s="2">
        <f t="shared" si="23"/>
        <v>11949</v>
      </c>
      <c r="AA193" s="2">
        <f t="shared" si="24"/>
        <v>2278</v>
      </c>
      <c r="AB193" s="2">
        <f t="shared" si="25"/>
        <v>1568</v>
      </c>
      <c r="AC193" s="2">
        <f t="shared" si="26"/>
        <v>1213</v>
      </c>
      <c r="AD193" s="2">
        <f t="shared" si="27"/>
        <v>1000</v>
      </c>
      <c r="AE193" s="2">
        <f t="shared" si="28"/>
        <v>858</v>
      </c>
      <c r="AF193" s="2">
        <f t="shared" si="29"/>
        <v>680</v>
      </c>
      <c r="AG193" s="2">
        <f t="shared" si="30"/>
        <v>4900</v>
      </c>
      <c r="AH193" s="2">
        <f t="shared" si="31"/>
        <v>9099</v>
      </c>
      <c r="AI193" s="2">
        <f t="shared" si="32"/>
        <v>10549</v>
      </c>
      <c r="AJ193" s="2">
        <f t="shared" si="33"/>
        <v>2012</v>
      </c>
      <c r="AK193" s="2">
        <f t="shared" si="34"/>
        <v>1384</v>
      </c>
      <c r="AL193" s="2">
        <f t="shared" si="35"/>
        <v>1071</v>
      </c>
      <c r="AM193" s="2">
        <f t="shared" si="36"/>
        <v>883</v>
      </c>
      <c r="AN193" s="2">
        <f t="shared" si="37"/>
        <v>757</v>
      </c>
      <c r="AO193" s="2">
        <f t="shared" si="38"/>
        <v>601</v>
      </c>
      <c r="AP193" s="2">
        <f t="shared" si="39"/>
        <v>5600</v>
      </c>
      <c r="AQ193" s="2">
        <f t="shared" si="40"/>
        <v>8399</v>
      </c>
      <c r="AR193" s="2">
        <f t="shared" si="41"/>
        <v>9849</v>
      </c>
      <c r="AS193" s="2">
        <f t="shared" si="42"/>
        <v>1878</v>
      </c>
      <c r="AT193" s="2">
        <f t="shared" si="43"/>
        <v>1293</v>
      </c>
      <c r="AU193" s="2">
        <f t="shared" si="44"/>
        <v>1000</v>
      </c>
      <c r="AV193" s="2">
        <f t="shared" si="45"/>
        <v>824</v>
      </c>
      <c r="AW193" s="2">
        <f t="shared" si="46"/>
        <v>707</v>
      </c>
      <c r="AX193" s="2">
        <f t="shared" si="47"/>
        <v>561</v>
      </c>
    </row>
    <row r="194" ht="14.25" customHeight="1">
      <c r="A194" s="2" t="str">
        <f t="array" ref="A194">IFERROR(INDEX('Product Price'!A:A,SMALL('Product Price'!$D:$D,192)),"")</f>
        <v>OPPO A6s 5G 8/256 GB</v>
      </c>
      <c r="B194" s="2">
        <f t="array" ref="B194">IFERROR(INDEX('Product Price'!B:B,SMALL('Product Price'!$D:$D,192)),"")</f>
        <v>14999</v>
      </c>
      <c r="C194" s="2">
        <f t="array" ref="C194">IFERROR(INDEX('Product Price'!C:C,SMALL('Product Price'!$D:$D,192)),"")</f>
        <v>197</v>
      </c>
      <c r="D194" s="2">
        <f t="shared" si="1"/>
        <v>1450</v>
      </c>
      <c r="E194" s="2">
        <f t="shared" si="2"/>
        <v>16449</v>
      </c>
      <c r="F194" s="2">
        <f t="shared" si="48"/>
        <v>2250</v>
      </c>
      <c r="G194" s="2">
        <f t="shared" si="4"/>
        <v>12749</v>
      </c>
      <c r="H194" s="2">
        <f t="shared" si="5"/>
        <v>14199</v>
      </c>
      <c r="I194" s="2">
        <f t="shared" si="6"/>
        <v>2707</v>
      </c>
      <c r="J194" s="2">
        <f t="shared" si="7"/>
        <v>1863</v>
      </c>
      <c r="K194" s="2">
        <f t="shared" si="8"/>
        <v>1441</v>
      </c>
      <c r="L194" s="2">
        <f t="shared" si="9"/>
        <v>1188</v>
      </c>
      <c r="M194" s="2">
        <f t="shared" si="10"/>
        <v>1019</v>
      </c>
      <c r="N194" s="2">
        <f t="shared" si="11"/>
        <v>808</v>
      </c>
      <c r="O194" s="2">
        <f t="shared" si="12"/>
        <v>3000</v>
      </c>
      <c r="P194" s="2">
        <f t="shared" si="13"/>
        <v>11999</v>
      </c>
      <c r="Q194" s="2">
        <f t="shared" si="14"/>
        <v>13449</v>
      </c>
      <c r="R194" s="2">
        <f t="shared" si="15"/>
        <v>2564</v>
      </c>
      <c r="S194" s="2">
        <f t="shared" si="16"/>
        <v>1765</v>
      </c>
      <c r="T194" s="2">
        <f t="shared" si="17"/>
        <v>1365</v>
      </c>
      <c r="U194" s="2">
        <f t="shared" si="18"/>
        <v>1125</v>
      </c>
      <c r="V194" s="2">
        <f t="shared" si="19"/>
        <v>965</v>
      </c>
      <c r="W194" s="2">
        <f t="shared" si="20"/>
        <v>766</v>
      </c>
      <c r="X194" s="2">
        <f t="shared" si="21"/>
        <v>3750</v>
      </c>
      <c r="Y194" s="2">
        <f t="shared" si="22"/>
        <v>11249</v>
      </c>
      <c r="Z194" s="2">
        <f t="shared" si="23"/>
        <v>12699</v>
      </c>
      <c r="AA194" s="2">
        <f t="shared" si="24"/>
        <v>2421</v>
      </c>
      <c r="AB194" s="2">
        <f t="shared" si="25"/>
        <v>1667</v>
      </c>
      <c r="AC194" s="2">
        <f t="shared" si="26"/>
        <v>1289</v>
      </c>
      <c r="AD194" s="2">
        <f t="shared" si="27"/>
        <v>1063</v>
      </c>
      <c r="AE194" s="2">
        <f t="shared" si="28"/>
        <v>912</v>
      </c>
      <c r="AF194" s="2">
        <f t="shared" si="29"/>
        <v>723</v>
      </c>
      <c r="AG194" s="2">
        <f t="shared" si="30"/>
        <v>5250</v>
      </c>
      <c r="AH194" s="2">
        <f t="shared" si="31"/>
        <v>9749</v>
      </c>
      <c r="AI194" s="2">
        <f t="shared" si="32"/>
        <v>11199</v>
      </c>
      <c r="AJ194" s="2">
        <f t="shared" si="33"/>
        <v>2135</v>
      </c>
      <c r="AK194" s="2">
        <f t="shared" si="34"/>
        <v>1470</v>
      </c>
      <c r="AL194" s="2">
        <f t="shared" si="35"/>
        <v>1137</v>
      </c>
      <c r="AM194" s="2">
        <f t="shared" si="36"/>
        <v>937</v>
      </c>
      <c r="AN194" s="2">
        <f t="shared" si="37"/>
        <v>804</v>
      </c>
      <c r="AO194" s="2">
        <f t="shared" si="38"/>
        <v>638</v>
      </c>
      <c r="AP194" s="2">
        <f t="shared" si="39"/>
        <v>6000</v>
      </c>
      <c r="AQ194" s="2">
        <f t="shared" si="40"/>
        <v>8999</v>
      </c>
      <c r="AR194" s="2">
        <f t="shared" si="41"/>
        <v>10449</v>
      </c>
      <c r="AS194" s="2">
        <f t="shared" si="42"/>
        <v>1992</v>
      </c>
      <c r="AT194" s="2">
        <f t="shared" si="43"/>
        <v>1371</v>
      </c>
      <c r="AU194" s="2">
        <f t="shared" si="44"/>
        <v>1061</v>
      </c>
      <c r="AV194" s="2">
        <f t="shared" si="45"/>
        <v>874</v>
      </c>
      <c r="AW194" s="2">
        <f t="shared" si="46"/>
        <v>750</v>
      </c>
      <c r="AX194" s="2">
        <f t="shared" si="47"/>
        <v>595</v>
      </c>
    </row>
    <row r="195" ht="14.25" customHeight="1">
      <c r="A195" s="2" t="str">
        <f t="array" ref="A195">IFERROR(INDEX('Product Price'!A:A,SMALL('Product Price'!$D:$D,193)),"")</f>
        <v>OPPO A6s 5G 8/128 GB</v>
      </c>
      <c r="B195" s="2">
        <f t="array" ref="B195">IFERROR(INDEX('Product Price'!B:B,SMALL('Product Price'!$D:$D,193)),"")</f>
        <v>11999</v>
      </c>
      <c r="C195" s="2">
        <f t="array" ref="C195">IFERROR(INDEX('Product Price'!C:C,SMALL('Product Price'!$D:$D,193)),"")</f>
        <v>198</v>
      </c>
      <c r="D195" s="2">
        <f t="shared" si="1"/>
        <v>1450</v>
      </c>
      <c r="E195" s="2">
        <f t="shared" si="2"/>
        <v>13449</v>
      </c>
      <c r="F195" s="2">
        <f t="shared" si="48"/>
        <v>1800</v>
      </c>
      <c r="G195" s="2">
        <f t="shared" si="4"/>
        <v>10199</v>
      </c>
      <c r="H195" s="2">
        <f t="shared" si="5"/>
        <v>11649</v>
      </c>
      <c r="I195" s="2">
        <f t="shared" si="6"/>
        <v>2221</v>
      </c>
      <c r="J195" s="2">
        <f t="shared" si="7"/>
        <v>1529</v>
      </c>
      <c r="K195" s="2">
        <f t="shared" si="8"/>
        <v>1183</v>
      </c>
      <c r="L195" s="2">
        <f t="shared" si="9"/>
        <v>975</v>
      </c>
      <c r="M195" s="2">
        <f t="shared" si="10"/>
        <v>836</v>
      </c>
      <c r="N195" s="2">
        <f t="shared" si="11"/>
        <v>663</v>
      </c>
      <c r="O195" s="2">
        <f t="shared" si="12"/>
        <v>2400</v>
      </c>
      <c r="P195" s="2">
        <f t="shared" si="13"/>
        <v>9599</v>
      </c>
      <c r="Q195" s="2">
        <f t="shared" si="14"/>
        <v>11049</v>
      </c>
      <c r="R195" s="2">
        <f t="shared" si="15"/>
        <v>2107</v>
      </c>
      <c r="S195" s="2">
        <f t="shared" si="16"/>
        <v>1450</v>
      </c>
      <c r="T195" s="2">
        <f t="shared" si="17"/>
        <v>1122</v>
      </c>
      <c r="U195" s="2">
        <f t="shared" si="18"/>
        <v>925</v>
      </c>
      <c r="V195" s="2">
        <f t="shared" si="19"/>
        <v>793</v>
      </c>
      <c r="W195" s="2">
        <f t="shared" si="20"/>
        <v>629</v>
      </c>
      <c r="X195" s="2">
        <f t="shared" si="21"/>
        <v>3000</v>
      </c>
      <c r="Y195" s="2">
        <f t="shared" si="22"/>
        <v>8999</v>
      </c>
      <c r="Z195" s="2">
        <f t="shared" si="23"/>
        <v>10449</v>
      </c>
      <c r="AA195" s="2">
        <f t="shared" si="24"/>
        <v>1992</v>
      </c>
      <c r="AB195" s="2">
        <f t="shared" si="25"/>
        <v>1371</v>
      </c>
      <c r="AC195" s="2">
        <f t="shared" si="26"/>
        <v>1061</v>
      </c>
      <c r="AD195" s="2">
        <f t="shared" si="27"/>
        <v>874</v>
      </c>
      <c r="AE195" s="2">
        <f t="shared" si="28"/>
        <v>750</v>
      </c>
      <c r="AF195" s="2">
        <f t="shared" si="29"/>
        <v>595</v>
      </c>
      <c r="AG195" s="2">
        <f t="shared" si="30"/>
        <v>4200</v>
      </c>
      <c r="AH195" s="2">
        <f t="shared" si="31"/>
        <v>7799</v>
      </c>
      <c r="AI195" s="2">
        <f t="shared" si="32"/>
        <v>9249</v>
      </c>
      <c r="AJ195" s="2">
        <f t="shared" si="33"/>
        <v>1764</v>
      </c>
      <c r="AK195" s="2">
        <f t="shared" si="34"/>
        <v>1214</v>
      </c>
      <c r="AL195" s="2">
        <f t="shared" si="35"/>
        <v>939</v>
      </c>
      <c r="AM195" s="2">
        <f t="shared" si="36"/>
        <v>774</v>
      </c>
      <c r="AN195" s="2">
        <f t="shared" si="37"/>
        <v>664</v>
      </c>
      <c r="AO195" s="2">
        <f t="shared" si="38"/>
        <v>527</v>
      </c>
      <c r="AP195" s="2">
        <f t="shared" si="39"/>
        <v>4800</v>
      </c>
      <c r="AQ195" s="2">
        <f t="shared" si="40"/>
        <v>7199</v>
      </c>
      <c r="AR195" s="2">
        <f t="shared" si="41"/>
        <v>8649</v>
      </c>
      <c r="AS195" s="2">
        <f t="shared" si="42"/>
        <v>1649</v>
      </c>
      <c r="AT195" s="2">
        <f t="shared" si="43"/>
        <v>1135</v>
      </c>
      <c r="AU195" s="2">
        <f t="shared" si="44"/>
        <v>878</v>
      </c>
      <c r="AV195" s="2">
        <f t="shared" si="45"/>
        <v>724</v>
      </c>
      <c r="AW195" s="2">
        <f t="shared" si="46"/>
        <v>621</v>
      </c>
      <c r="AX195" s="2">
        <f t="shared" si="47"/>
        <v>493</v>
      </c>
    </row>
    <row r="196" ht="14.25" customHeight="1">
      <c r="A196" s="2" t="str">
        <f t="array" ref="A196">IFERROR(INDEX('Product Price'!A:A,SMALL('Product Price'!$D:$D,194)),"")</f>
        <v>OPPO A6 5G 6/128 GB</v>
      </c>
      <c r="B196" s="2">
        <f t="array" ref="B196">IFERROR(INDEX('Product Price'!B:B,SMALL('Product Price'!$D:$D,194)),"")</f>
        <v>8499</v>
      </c>
      <c r="C196" s="2">
        <f t="array" ref="C196">IFERROR(INDEX('Product Price'!C:C,SMALL('Product Price'!$D:$D,194)),"")</f>
        <v>199</v>
      </c>
      <c r="D196" s="2">
        <f t="shared" si="1"/>
        <v>795</v>
      </c>
      <c r="E196" s="2">
        <f t="shared" si="2"/>
        <v>9294</v>
      </c>
      <c r="F196" s="2">
        <f t="shared" si="48"/>
        <v>1275</v>
      </c>
      <c r="G196" s="2">
        <f t="shared" si="4"/>
        <v>7224</v>
      </c>
      <c r="H196" s="2">
        <f t="shared" si="5"/>
        <v>8019</v>
      </c>
      <c r="I196" s="2">
        <f t="shared" si="6"/>
        <v>1529</v>
      </c>
      <c r="J196" s="2">
        <f t="shared" si="7"/>
        <v>1053</v>
      </c>
      <c r="K196" s="2">
        <f t="shared" si="8"/>
        <v>814</v>
      </c>
      <c r="L196" s="2">
        <f t="shared" si="9"/>
        <v>671</v>
      </c>
      <c r="M196" s="2">
        <f t="shared" si="10"/>
        <v>576</v>
      </c>
      <c r="N196" s="2">
        <f t="shared" si="11"/>
        <v>457</v>
      </c>
      <c r="O196" s="2">
        <f t="shared" si="12"/>
        <v>1700</v>
      </c>
      <c r="P196" s="2">
        <f t="shared" si="13"/>
        <v>6799</v>
      </c>
      <c r="Q196" s="2">
        <f t="shared" si="14"/>
        <v>7594</v>
      </c>
      <c r="R196" s="2">
        <f t="shared" si="15"/>
        <v>1448</v>
      </c>
      <c r="S196" s="2">
        <f t="shared" si="16"/>
        <v>997</v>
      </c>
      <c r="T196" s="2">
        <f t="shared" si="17"/>
        <v>771</v>
      </c>
      <c r="U196" s="2">
        <f t="shared" si="18"/>
        <v>636</v>
      </c>
      <c r="V196" s="2">
        <f t="shared" si="19"/>
        <v>545</v>
      </c>
      <c r="W196" s="2">
        <f t="shared" si="20"/>
        <v>433</v>
      </c>
      <c r="X196" s="2">
        <f t="shared" si="21"/>
        <v>2125</v>
      </c>
      <c r="Y196" s="2">
        <f t="shared" si="22"/>
        <v>6374</v>
      </c>
      <c r="Z196" s="2">
        <f t="shared" si="23"/>
        <v>7169</v>
      </c>
      <c r="AA196" s="2">
        <f t="shared" si="24"/>
        <v>1367</v>
      </c>
      <c r="AB196" s="2">
        <f t="shared" si="25"/>
        <v>941</v>
      </c>
      <c r="AC196" s="2">
        <f t="shared" si="26"/>
        <v>728</v>
      </c>
      <c r="AD196" s="2">
        <f t="shared" si="27"/>
        <v>600</v>
      </c>
      <c r="AE196" s="2">
        <f t="shared" si="28"/>
        <v>515</v>
      </c>
      <c r="AF196" s="2">
        <f t="shared" si="29"/>
        <v>408</v>
      </c>
      <c r="AG196" s="2">
        <f t="shared" si="30"/>
        <v>2975</v>
      </c>
      <c r="AH196" s="2">
        <f t="shared" si="31"/>
        <v>5524</v>
      </c>
      <c r="AI196" s="2">
        <f t="shared" si="32"/>
        <v>6319</v>
      </c>
      <c r="AJ196" s="2">
        <f t="shared" si="33"/>
        <v>1205</v>
      </c>
      <c r="AK196" s="2">
        <f t="shared" si="34"/>
        <v>830</v>
      </c>
      <c r="AL196" s="2">
        <f t="shared" si="35"/>
        <v>642</v>
      </c>
      <c r="AM196" s="2">
        <f t="shared" si="36"/>
        <v>529</v>
      </c>
      <c r="AN196" s="2">
        <f t="shared" si="37"/>
        <v>454</v>
      </c>
      <c r="AO196" s="2" t="str">
        <f t="shared" si="38"/>
        <v>-</v>
      </c>
      <c r="AP196" s="2">
        <f t="shared" si="39"/>
        <v>3400</v>
      </c>
      <c r="AQ196" s="2">
        <f t="shared" si="40"/>
        <v>5099</v>
      </c>
      <c r="AR196" s="2">
        <f t="shared" si="41"/>
        <v>5894</v>
      </c>
      <c r="AS196" s="2">
        <f t="shared" si="42"/>
        <v>1124</v>
      </c>
      <c r="AT196" s="2">
        <f t="shared" si="43"/>
        <v>774</v>
      </c>
      <c r="AU196" s="2">
        <f t="shared" si="44"/>
        <v>599</v>
      </c>
      <c r="AV196" s="2">
        <f t="shared" si="45"/>
        <v>493</v>
      </c>
      <c r="AW196" s="2">
        <f t="shared" si="46"/>
        <v>423</v>
      </c>
      <c r="AX196" s="2" t="str">
        <f t="shared" si="47"/>
        <v>-</v>
      </c>
    </row>
    <row r="197" ht="14.25" customHeight="1">
      <c r="A197" s="2" t="str">
        <f t="array" ref="A197">IFERROR(INDEX('Product Price'!A:A,SMALL('Product Price'!$D:$D,195)),"")</f>
        <v>OPPO A6 4G 6/128 GB</v>
      </c>
      <c r="B197" s="2">
        <f t="array" ref="B197">IFERROR(INDEX('Product Price'!B:B,SMALL('Product Price'!$D:$D,195)),"")</f>
        <v>6499</v>
      </c>
      <c r="C197" s="2">
        <f t="array" ref="C197">IFERROR(INDEX('Product Price'!C:C,SMALL('Product Price'!$D:$D,195)),"")</f>
        <v>200</v>
      </c>
      <c r="D197" s="2">
        <f t="shared" si="1"/>
        <v>795</v>
      </c>
      <c r="E197" s="2">
        <f t="shared" si="2"/>
        <v>7294</v>
      </c>
      <c r="F197" s="2">
        <f t="shared" si="48"/>
        <v>975</v>
      </c>
      <c r="G197" s="2">
        <f t="shared" si="4"/>
        <v>5524</v>
      </c>
      <c r="H197" s="2">
        <f t="shared" si="5"/>
        <v>6319</v>
      </c>
      <c r="I197" s="2">
        <f t="shared" si="6"/>
        <v>1205</v>
      </c>
      <c r="J197" s="2">
        <f t="shared" si="7"/>
        <v>830</v>
      </c>
      <c r="K197" s="2">
        <f t="shared" si="8"/>
        <v>642</v>
      </c>
      <c r="L197" s="2">
        <f t="shared" si="9"/>
        <v>529</v>
      </c>
      <c r="M197" s="2">
        <f t="shared" si="10"/>
        <v>454</v>
      </c>
      <c r="N197" s="2" t="str">
        <f t="shared" si="11"/>
        <v>-</v>
      </c>
      <c r="O197" s="2">
        <f t="shared" si="12"/>
        <v>1300</v>
      </c>
      <c r="P197" s="2">
        <f t="shared" si="13"/>
        <v>5199</v>
      </c>
      <c r="Q197" s="2">
        <f t="shared" si="14"/>
        <v>5994</v>
      </c>
      <c r="R197" s="2">
        <f t="shared" si="15"/>
        <v>1143</v>
      </c>
      <c r="S197" s="2">
        <f t="shared" si="16"/>
        <v>787</v>
      </c>
      <c r="T197" s="2">
        <f t="shared" si="17"/>
        <v>609</v>
      </c>
      <c r="U197" s="2">
        <f t="shared" si="18"/>
        <v>502</v>
      </c>
      <c r="V197" s="2">
        <f t="shared" si="19"/>
        <v>431</v>
      </c>
      <c r="W197" s="2" t="str">
        <f t="shared" si="20"/>
        <v>-</v>
      </c>
      <c r="X197" s="2">
        <f t="shared" si="21"/>
        <v>1625</v>
      </c>
      <c r="Y197" s="2">
        <f t="shared" si="22"/>
        <v>4874</v>
      </c>
      <c r="Z197" s="2">
        <f t="shared" si="23"/>
        <v>5669</v>
      </c>
      <c r="AA197" s="2">
        <f t="shared" si="24"/>
        <v>1081</v>
      </c>
      <c r="AB197" s="2">
        <f t="shared" si="25"/>
        <v>744</v>
      </c>
      <c r="AC197" s="2">
        <f t="shared" si="26"/>
        <v>576</v>
      </c>
      <c r="AD197" s="2">
        <f t="shared" si="27"/>
        <v>475</v>
      </c>
      <c r="AE197" s="2">
        <f t="shared" si="28"/>
        <v>407</v>
      </c>
      <c r="AF197" s="2" t="str">
        <f t="shared" si="29"/>
        <v>-</v>
      </c>
      <c r="AG197" s="2">
        <f t="shared" si="30"/>
        <v>2275</v>
      </c>
      <c r="AH197" s="2">
        <f t="shared" si="31"/>
        <v>4224</v>
      </c>
      <c r="AI197" s="2">
        <f t="shared" si="32"/>
        <v>5019</v>
      </c>
      <c r="AJ197" s="2">
        <f t="shared" si="33"/>
        <v>957</v>
      </c>
      <c r="AK197" s="2">
        <f t="shared" si="34"/>
        <v>659</v>
      </c>
      <c r="AL197" s="2">
        <f t="shared" si="35"/>
        <v>510</v>
      </c>
      <c r="AM197" s="2">
        <f t="shared" si="36"/>
        <v>420</v>
      </c>
      <c r="AN197" s="2" t="str">
        <f t="shared" si="37"/>
        <v>-</v>
      </c>
      <c r="AO197" s="2" t="str">
        <f t="shared" si="38"/>
        <v>-</v>
      </c>
      <c r="AP197" s="2">
        <f t="shared" si="39"/>
        <v>2600</v>
      </c>
      <c r="AQ197" s="2">
        <f t="shared" si="40"/>
        <v>3899</v>
      </c>
      <c r="AR197" s="2">
        <f t="shared" si="41"/>
        <v>4694</v>
      </c>
      <c r="AS197" s="2">
        <f t="shared" si="42"/>
        <v>895</v>
      </c>
      <c r="AT197" s="2">
        <f t="shared" si="43"/>
        <v>616</v>
      </c>
      <c r="AU197" s="2">
        <f t="shared" si="44"/>
        <v>477</v>
      </c>
      <c r="AV197" s="2" t="str">
        <f t="shared" si="45"/>
        <v>-</v>
      </c>
      <c r="AW197" s="2" t="str">
        <f t="shared" si="46"/>
        <v>-</v>
      </c>
      <c r="AX197" s="2" t="str">
        <f t="shared" si="47"/>
        <v>-</v>
      </c>
    </row>
    <row r="198" ht="14.25" customHeight="1">
      <c r="A198" s="2" t="str">
        <f t="array" ref="A198">IFERROR(INDEX('Product Price'!A:A,SMALL('Product Price'!$D:$D,196)),"")</f>
        <v>OPPO A6x 5G 4/128 GB</v>
      </c>
      <c r="B198" s="2">
        <f t="array" ref="B198">IFERROR(INDEX('Product Price'!B:B,SMALL('Product Price'!$D:$D,196)),"")</f>
        <v>8999</v>
      </c>
      <c r="C198" s="2">
        <f t="array" ref="C198">IFERROR(INDEX('Product Price'!C:C,SMALL('Product Price'!$D:$D,196)),"")</f>
        <v>203</v>
      </c>
      <c r="D198" s="2">
        <f t="shared" si="1"/>
        <v>795</v>
      </c>
      <c r="E198" s="2">
        <f t="shared" si="2"/>
        <v>9794</v>
      </c>
      <c r="F198" s="2">
        <f t="shared" si="48"/>
        <v>1350</v>
      </c>
      <c r="G198" s="2">
        <f t="shared" si="4"/>
        <v>7649</v>
      </c>
      <c r="H198" s="2">
        <f t="shared" si="5"/>
        <v>8444</v>
      </c>
      <c r="I198" s="2">
        <f t="shared" si="6"/>
        <v>1610</v>
      </c>
      <c r="J198" s="2">
        <f t="shared" si="7"/>
        <v>1108</v>
      </c>
      <c r="K198" s="2">
        <f t="shared" si="8"/>
        <v>857</v>
      </c>
      <c r="L198" s="2">
        <f t="shared" si="9"/>
        <v>707</v>
      </c>
      <c r="M198" s="2">
        <f t="shared" si="10"/>
        <v>606</v>
      </c>
      <c r="N198" s="2">
        <f t="shared" si="11"/>
        <v>481</v>
      </c>
      <c r="O198" s="2">
        <f t="shared" si="12"/>
        <v>1800</v>
      </c>
      <c r="P198" s="2">
        <f t="shared" si="13"/>
        <v>7199</v>
      </c>
      <c r="Q198" s="2">
        <f t="shared" si="14"/>
        <v>7994</v>
      </c>
      <c r="R198" s="2">
        <f t="shared" si="15"/>
        <v>1524</v>
      </c>
      <c r="S198" s="2">
        <f t="shared" si="16"/>
        <v>1049</v>
      </c>
      <c r="T198" s="2">
        <f t="shared" si="17"/>
        <v>812</v>
      </c>
      <c r="U198" s="2">
        <f t="shared" si="18"/>
        <v>669</v>
      </c>
      <c r="V198" s="2">
        <f t="shared" si="19"/>
        <v>574</v>
      </c>
      <c r="W198" s="2">
        <f t="shared" si="20"/>
        <v>455</v>
      </c>
      <c r="X198" s="2">
        <f t="shared" si="21"/>
        <v>2250</v>
      </c>
      <c r="Y198" s="2">
        <f t="shared" si="22"/>
        <v>6749</v>
      </c>
      <c r="Z198" s="2">
        <f t="shared" si="23"/>
        <v>7544</v>
      </c>
      <c r="AA198" s="2">
        <f t="shared" si="24"/>
        <v>1439</v>
      </c>
      <c r="AB198" s="2">
        <f t="shared" si="25"/>
        <v>990</v>
      </c>
      <c r="AC198" s="2">
        <f t="shared" si="26"/>
        <v>766</v>
      </c>
      <c r="AD198" s="2">
        <f t="shared" si="27"/>
        <v>631</v>
      </c>
      <c r="AE198" s="2">
        <f t="shared" si="28"/>
        <v>542</v>
      </c>
      <c r="AF198" s="2">
        <f t="shared" si="29"/>
        <v>430</v>
      </c>
      <c r="AG198" s="2">
        <f t="shared" si="30"/>
        <v>3150</v>
      </c>
      <c r="AH198" s="2">
        <f t="shared" si="31"/>
        <v>5849</v>
      </c>
      <c r="AI198" s="2">
        <f t="shared" si="32"/>
        <v>6644</v>
      </c>
      <c r="AJ198" s="2">
        <f t="shared" si="33"/>
        <v>1267</v>
      </c>
      <c r="AK198" s="2">
        <f t="shared" si="34"/>
        <v>872</v>
      </c>
      <c r="AL198" s="2">
        <f t="shared" si="35"/>
        <v>675</v>
      </c>
      <c r="AM198" s="2">
        <f t="shared" si="36"/>
        <v>556</v>
      </c>
      <c r="AN198" s="2">
        <f t="shared" si="37"/>
        <v>477</v>
      </c>
      <c r="AO198" s="2" t="str">
        <f t="shared" si="38"/>
        <v>-</v>
      </c>
      <c r="AP198" s="2">
        <f t="shared" si="39"/>
        <v>3600</v>
      </c>
      <c r="AQ198" s="2">
        <f t="shared" si="40"/>
        <v>5399</v>
      </c>
      <c r="AR198" s="2">
        <f t="shared" si="41"/>
        <v>6194</v>
      </c>
      <c r="AS198" s="2">
        <f t="shared" si="42"/>
        <v>1181</v>
      </c>
      <c r="AT198" s="2">
        <f t="shared" si="43"/>
        <v>813</v>
      </c>
      <c r="AU198" s="2">
        <f t="shared" si="44"/>
        <v>629</v>
      </c>
      <c r="AV198" s="2">
        <f t="shared" si="45"/>
        <v>519</v>
      </c>
      <c r="AW198" s="2">
        <f t="shared" si="46"/>
        <v>445</v>
      </c>
      <c r="AX198" s="2" t="str">
        <f t="shared" si="47"/>
        <v>-</v>
      </c>
    </row>
    <row r="199" ht="14.25" customHeight="1">
      <c r="A199" s="2" t="str">
        <f t="array" ref="A199">IFERROR(INDEX('Product Price'!A:A,SMALL('Product Price'!$D:$D,197)),"")</f>
        <v>OPPO Pad 5 Matte Display Edition 5G 8/256 GB</v>
      </c>
      <c r="B199" s="2">
        <f t="array" ref="B199">IFERROR(INDEX('Product Price'!B:B,SMALL('Product Price'!$D:$D,197)),"")</f>
        <v>18999</v>
      </c>
      <c r="C199" s="2">
        <f t="array" ref="C199">IFERROR(INDEX('Product Price'!C:C,SMALL('Product Price'!$D:$D,197)),"")</f>
        <v>270</v>
      </c>
      <c r="D199" s="2">
        <f t="shared" si="1"/>
        <v>1450</v>
      </c>
      <c r="E199" s="2">
        <f t="shared" si="2"/>
        <v>20449</v>
      </c>
      <c r="F199" s="2">
        <f t="shared" si="48"/>
        <v>2850</v>
      </c>
      <c r="G199" s="2">
        <f t="shared" si="4"/>
        <v>16149</v>
      </c>
      <c r="H199" s="2">
        <f t="shared" si="5"/>
        <v>17599</v>
      </c>
      <c r="I199" s="2">
        <f t="shared" si="6"/>
        <v>3356</v>
      </c>
      <c r="J199" s="2">
        <f t="shared" si="7"/>
        <v>2309</v>
      </c>
      <c r="K199" s="2">
        <f t="shared" si="8"/>
        <v>1786</v>
      </c>
      <c r="L199" s="2">
        <f t="shared" si="9"/>
        <v>1472</v>
      </c>
      <c r="M199" s="2">
        <f t="shared" si="10"/>
        <v>1263</v>
      </c>
      <c r="N199" s="2">
        <f t="shared" si="11"/>
        <v>1002</v>
      </c>
      <c r="O199" s="2">
        <f t="shared" si="12"/>
        <v>3800</v>
      </c>
      <c r="P199" s="2">
        <f t="shared" si="13"/>
        <v>15199</v>
      </c>
      <c r="Q199" s="2">
        <f t="shared" si="14"/>
        <v>16649</v>
      </c>
      <c r="R199" s="2">
        <f t="shared" si="15"/>
        <v>3174</v>
      </c>
      <c r="S199" s="2">
        <f t="shared" si="16"/>
        <v>2185</v>
      </c>
      <c r="T199" s="2">
        <f t="shared" si="17"/>
        <v>1690</v>
      </c>
      <c r="U199" s="2">
        <f t="shared" si="18"/>
        <v>1393</v>
      </c>
      <c r="V199" s="2">
        <f t="shared" si="19"/>
        <v>1195</v>
      </c>
      <c r="W199" s="2">
        <f t="shared" si="20"/>
        <v>948</v>
      </c>
      <c r="X199" s="2">
        <f t="shared" si="21"/>
        <v>4750</v>
      </c>
      <c r="Y199" s="2">
        <f t="shared" si="22"/>
        <v>14249</v>
      </c>
      <c r="Z199" s="2">
        <f t="shared" si="23"/>
        <v>15699</v>
      </c>
      <c r="AA199" s="2">
        <f t="shared" si="24"/>
        <v>2993</v>
      </c>
      <c r="AB199" s="2">
        <f t="shared" si="25"/>
        <v>2060</v>
      </c>
      <c r="AC199" s="2">
        <f t="shared" si="26"/>
        <v>1594</v>
      </c>
      <c r="AD199" s="2">
        <f t="shared" si="27"/>
        <v>1314</v>
      </c>
      <c r="AE199" s="2">
        <f t="shared" si="28"/>
        <v>1127</v>
      </c>
      <c r="AF199" s="2">
        <f t="shared" si="29"/>
        <v>894</v>
      </c>
      <c r="AG199" s="2">
        <f t="shared" si="30"/>
        <v>6650</v>
      </c>
      <c r="AH199" s="2">
        <f t="shared" si="31"/>
        <v>12349</v>
      </c>
      <c r="AI199" s="2">
        <f t="shared" si="32"/>
        <v>13799</v>
      </c>
      <c r="AJ199" s="2">
        <f t="shared" si="33"/>
        <v>2631</v>
      </c>
      <c r="AK199" s="2">
        <f t="shared" si="34"/>
        <v>1811</v>
      </c>
      <c r="AL199" s="2">
        <f t="shared" si="35"/>
        <v>1401</v>
      </c>
      <c r="AM199" s="2">
        <f t="shared" si="36"/>
        <v>1155</v>
      </c>
      <c r="AN199" s="2">
        <f t="shared" si="37"/>
        <v>991</v>
      </c>
      <c r="AO199" s="2">
        <f t="shared" si="38"/>
        <v>786</v>
      </c>
      <c r="AP199" s="2">
        <f t="shared" si="39"/>
        <v>7600</v>
      </c>
      <c r="AQ199" s="2">
        <f t="shared" si="40"/>
        <v>11399</v>
      </c>
      <c r="AR199" s="2">
        <f t="shared" si="41"/>
        <v>12849</v>
      </c>
      <c r="AS199" s="2">
        <f t="shared" si="42"/>
        <v>2450</v>
      </c>
      <c r="AT199" s="2">
        <f t="shared" si="43"/>
        <v>1686</v>
      </c>
      <c r="AU199" s="2">
        <f t="shared" si="44"/>
        <v>1304</v>
      </c>
      <c r="AV199" s="2">
        <f t="shared" si="45"/>
        <v>1075</v>
      </c>
      <c r="AW199" s="2">
        <f t="shared" si="46"/>
        <v>922</v>
      </c>
      <c r="AX199" s="2">
        <f t="shared" si="47"/>
        <v>731</v>
      </c>
    </row>
    <row r="200" ht="14.25" customHeight="1">
      <c r="A200" s="2" t="str">
        <f t="array" ref="A200">IFERROR(INDEX('Product Price'!A:A,SMALL('Product Price'!$D:$D,198)),"")</f>
        <v>OPPA Pad SE Matte Display Edition 8/256 GB</v>
      </c>
      <c r="B200" s="2">
        <f t="array" ref="B200">IFERROR(INDEX('Product Price'!B:B,SMALL('Product Price'!$D:$D,198)),"")</f>
        <v>11999</v>
      </c>
      <c r="C200" s="2">
        <f t="array" ref="C200">IFERROR(INDEX('Product Price'!C:C,SMALL('Product Price'!$D:$D,198)),"")</f>
        <v>271</v>
      </c>
      <c r="D200" s="2">
        <f t="shared" si="1"/>
        <v>1450</v>
      </c>
      <c r="E200" s="2">
        <f t="shared" si="2"/>
        <v>13449</v>
      </c>
      <c r="F200" s="2">
        <f t="shared" si="48"/>
        <v>1800</v>
      </c>
      <c r="G200" s="2">
        <f t="shared" si="4"/>
        <v>10199</v>
      </c>
      <c r="H200" s="2">
        <f t="shared" si="5"/>
        <v>11649</v>
      </c>
      <c r="I200" s="2">
        <f t="shared" si="6"/>
        <v>2221</v>
      </c>
      <c r="J200" s="2">
        <f t="shared" si="7"/>
        <v>1529</v>
      </c>
      <c r="K200" s="2">
        <f t="shared" si="8"/>
        <v>1183</v>
      </c>
      <c r="L200" s="2">
        <f t="shared" si="9"/>
        <v>975</v>
      </c>
      <c r="M200" s="2">
        <f t="shared" si="10"/>
        <v>836</v>
      </c>
      <c r="N200" s="2">
        <f t="shared" si="11"/>
        <v>663</v>
      </c>
      <c r="O200" s="2">
        <f t="shared" si="12"/>
        <v>2400</v>
      </c>
      <c r="P200" s="2">
        <f t="shared" si="13"/>
        <v>9599</v>
      </c>
      <c r="Q200" s="2">
        <f t="shared" si="14"/>
        <v>11049</v>
      </c>
      <c r="R200" s="2">
        <f t="shared" si="15"/>
        <v>2107</v>
      </c>
      <c r="S200" s="2">
        <f t="shared" si="16"/>
        <v>1450</v>
      </c>
      <c r="T200" s="2">
        <f t="shared" si="17"/>
        <v>1122</v>
      </c>
      <c r="U200" s="2">
        <f t="shared" si="18"/>
        <v>925</v>
      </c>
      <c r="V200" s="2">
        <f t="shared" si="19"/>
        <v>793</v>
      </c>
      <c r="W200" s="2">
        <f t="shared" si="20"/>
        <v>629</v>
      </c>
      <c r="X200" s="2">
        <f t="shared" si="21"/>
        <v>3000</v>
      </c>
      <c r="Y200" s="2">
        <f t="shared" si="22"/>
        <v>8999</v>
      </c>
      <c r="Z200" s="2">
        <f t="shared" si="23"/>
        <v>10449</v>
      </c>
      <c r="AA200" s="2">
        <f t="shared" si="24"/>
        <v>1992</v>
      </c>
      <c r="AB200" s="2">
        <f t="shared" si="25"/>
        <v>1371</v>
      </c>
      <c r="AC200" s="2">
        <f t="shared" si="26"/>
        <v>1061</v>
      </c>
      <c r="AD200" s="2">
        <f t="shared" si="27"/>
        <v>874</v>
      </c>
      <c r="AE200" s="2">
        <f t="shared" si="28"/>
        <v>750</v>
      </c>
      <c r="AF200" s="2">
        <f t="shared" si="29"/>
        <v>595</v>
      </c>
      <c r="AG200" s="2">
        <f t="shared" si="30"/>
        <v>4200</v>
      </c>
      <c r="AH200" s="2">
        <f t="shared" si="31"/>
        <v>7799</v>
      </c>
      <c r="AI200" s="2">
        <f t="shared" si="32"/>
        <v>9249</v>
      </c>
      <c r="AJ200" s="2">
        <f t="shared" si="33"/>
        <v>1764</v>
      </c>
      <c r="AK200" s="2">
        <f t="shared" si="34"/>
        <v>1214</v>
      </c>
      <c r="AL200" s="2">
        <f t="shared" si="35"/>
        <v>939</v>
      </c>
      <c r="AM200" s="2">
        <f t="shared" si="36"/>
        <v>774</v>
      </c>
      <c r="AN200" s="2">
        <f t="shared" si="37"/>
        <v>664</v>
      </c>
      <c r="AO200" s="2">
        <f t="shared" si="38"/>
        <v>527</v>
      </c>
      <c r="AP200" s="2">
        <f t="shared" si="39"/>
        <v>4800</v>
      </c>
      <c r="AQ200" s="2">
        <f t="shared" si="40"/>
        <v>7199</v>
      </c>
      <c r="AR200" s="2">
        <f t="shared" si="41"/>
        <v>8649</v>
      </c>
      <c r="AS200" s="2">
        <f t="shared" si="42"/>
        <v>1649</v>
      </c>
      <c r="AT200" s="2">
        <f t="shared" si="43"/>
        <v>1135</v>
      </c>
      <c r="AU200" s="2">
        <f t="shared" si="44"/>
        <v>878</v>
      </c>
      <c r="AV200" s="2">
        <f t="shared" si="45"/>
        <v>724</v>
      </c>
      <c r="AW200" s="2">
        <f t="shared" si="46"/>
        <v>621</v>
      </c>
      <c r="AX200" s="2">
        <f t="shared" si="47"/>
        <v>493</v>
      </c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1.25"/>
    <col customWidth="1" min="2" max="3" width="12.63"/>
    <col customWidth="1" min="4" max="4" width="8.25"/>
    <col customWidth="1" min="5" max="6" width="12.63"/>
  </cols>
  <sheetData>
    <row r="1" ht="14.25" customHeight="1">
      <c r="A1" s="1">
        <v>0.0115</v>
      </c>
      <c r="B1" s="2">
        <v>400.0</v>
      </c>
      <c r="C1" s="2">
        <v>0.0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14.25" customHeight="1">
      <c r="A2" s="9" t="str">
        <f>IF('Detail Price'!A2="","",'Detail Price'!A2)</f>
        <v>All</v>
      </c>
      <c r="B2" s="2" t="s">
        <v>8</v>
      </c>
      <c r="C2" s="2" t="s">
        <v>9</v>
      </c>
      <c r="D2" s="2" t="s">
        <v>10</v>
      </c>
      <c r="E2" s="2" t="s">
        <v>11</v>
      </c>
      <c r="F2" s="15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19" t="s">
        <v>25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1" t="s">
        <v>31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18" t="s">
        <v>26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P2" s="20" t="s">
        <v>30</v>
      </c>
      <c r="AQ2" s="2" t="s">
        <v>14</v>
      </c>
      <c r="AR2" s="2" t="s">
        <v>15</v>
      </c>
      <c r="AS2" s="2" t="s">
        <v>16</v>
      </c>
      <c r="AT2" s="2" t="s">
        <v>17</v>
      </c>
      <c r="AU2" s="2" t="s">
        <v>18</v>
      </c>
      <c r="AV2" s="2" t="s">
        <v>19</v>
      </c>
      <c r="AW2" s="2" t="s">
        <v>20</v>
      </c>
      <c r="AX2" s="2" t="s">
        <v>21</v>
      </c>
    </row>
    <row r="3" ht="14.25" customHeight="1">
      <c r="A3" s="2" t="str">
        <f t="array" ref="A3">IFERROR(INDEX('Product Price'!A:A,SMALL('Product Price'!$D:$D,1)),"")</f>
        <v>HONOR Magic V6 16/512 GB</v>
      </c>
      <c r="B3" s="23">
        <f t="array" ref="B3">IFERROR(INDEX('Product Price'!B:B,SMALL('Product Price'!$D:$D,1)),"")</f>
        <v>67999</v>
      </c>
      <c r="C3" s="2">
        <f t="array" ref="C3">IFERROR(INDEX('Product Price'!C:C,SMALL('Product Price'!$D:$D,1)),"")</f>
        <v>161</v>
      </c>
      <c r="D3" s="2">
        <f t="shared" ref="D3:D200" si="1">IF(AND(B3&gt;=3900,B3&lt;=10000),795,IF(AND(B3&gt;=10001,B3&lt;=20000),1450,IF(AND(B3&gt;=20001,B3&lt;=40000),1900,IF(AND(B3&gt;=40001,B3&lt;=60000),2475,IF(AND(B3&gt;=60001,B3&lt;=80000),4025,IF(AND(B3&gt;=80001,B3&lt;=100000),5175,IF(AND(B3&gt;=100001,B3&lt;=120000),6785,"")))))))</f>
        <v>4025</v>
      </c>
      <c r="E3" s="23">
        <f t="shared" ref="E3:E200" si="2">IFERROR(B3+D3,"")</f>
        <v>72024</v>
      </c>
      <c r="F3" s="25">
        <f t="shared" ref="F3:F200" si="3">IFERROR(ROUNDUP($B3*20%,0),"")</f>
        <v>13600</v>
      </c>
      <c r="G3" s="23">
        <f t="shared" ref="G3:G200" si="4">$B3-F3</f>
        <v>54399</v>
      </c>
      <c r="H3" s="23">
        <f t="shared" ref="H3:H200" si="5">$G3+D3</f>
        <v>58424</v>
      </c>
      <c r="I3" s="2">
        <f t="shared" ref="I3:I200" si="6">IF(((G3*$A$1)*6)&lt;$C$1,"-",IF(ROUNDUP((((G3*100/107)*(1+($A$1*6)))/6)*1.07,0)&lt;$B$1,"-",ROUNDUP(((((G3*100/107)+$D3)*(1+($A$1*6)))/6)*1.07,0)))</f>
        <v>10460</v>
      </c>
      <c r="J3" s="2">
        <f t="shared" ref="J3:J200" si="7">IF(((G3*$A$1)*9)&lt;$C$1,"-",IF(ROUNDUP((((G3*100/107)*(1+($A$1*9)))/9)*1.07,0)&lt;$B$1,"-",ROUNDUP(((((G3*100/107)+$D3)*(1+($A$1*9)))/9)*1.07,0)))</f>
        <v>7198</v>
      </c>
      <c r="K3" s="2">
        <f t="shared" ref="K3:K200" si="8">IF(((G3*$A$1)*12)&lt;$C$1,"-",IF(ROUNDUP((((G3*100/107)*(1+($A$1*12)))/12)*1.07,0)&lt;$B$1,"-",ROUNDUP(((((G3*100/107)+$D3)*(1+($A$1*12)))/12)*1.07,0)))</f>
        <v>5568</v>
      </c>
      <c r="L3" s="2">
        <f t="shared" ref="L3:L200" si="9">IF(((G3*$A$1)*15)&lt;$C$1,"-",IF(ROUNDUP((((G3*100/107)*(1+($A$1*15)))/15)*1.07,0)&lt;$B$1,"-",ROUNDUP(((((G3*100/107)+$D3)*(1+($A$1*15)))/15)*1.07,0)))</f>
        <v>4589</v>
      </c>
      <c r="M3" s="2">
        <f t="shared" ref="M3:M200" si="10">IF(((G3*$A$1)*18)&lt;$C$1,"-",IF(ROUNDUP((((G3*100/107)*(1+($A$1*18)))/18)*1.07,0)&lt;$B$1,"-",ROUNDUP(((((G3*100/107)+$D3)*(1+($A$1*18)))/18)*1.07,0)))</f>
        <v>3937</v>
      </c>
      <c r="N3" s="2">
        <f t="shared" ref="N3:N200" si="11">IF(((G3*$A$1)*24)&lt;$C$1,"-",IF(ROUNDUP((((G3*100/107)*(1+($A$1*24)))/24)*1.07,0)&lt;$B$1,"-",ROUNDUP(((((G3*100/107)+$D3)*(1+($A$1*24)))/24)*1.07,0)))</f>
        <v>3122</v>
      </c>
      <c r="O3" s="25">
        <f t="shared" ref="O3:O200" si="12">ROUNDUP($B3*25%,0)</f>
        <v>17000</v>
      </c>
      <c r="P3" s="23">
        <f t="shared" ref="P3:P200" si="13">$B3-O3</f>
        <v>50999</v>
      </c>
      <c r="Q3" s="23">
        <f t="shared" ref="Q3:Q200" si="14">P3+$D3</f>
        <v>55024</v>
      </c>
      <c r="R3" s="2">
        <f t="shared" ref="R3:R200" si="15">IF(((P3*$A$1)*6)&lt;$C$1,"-",IF(ROUNDUP((((P3*100/107)*(1+($A$1*6)))/6)*1.07,0)&lt;$B$1,"-",ROUNDUP(((((P3*100/107)+$D3)*(1+($A$1*6)))/6)*1.07,0)))</f>
        <v>9854</v>
      </c>
      <c r="S3" s="2">
        <f t="shared" ref="S3:S200" si="16">IF(((P3*$A$1)*9)&lt;$C$1,"-",IF(ROUNDUP((((P3*100/107)*(1+($A$1*9)))/9)*1.07,0)&lt;$B$1,"-",ROUNDUP(((((P3*100/107)+$D3)*(1+($A$1*9)))/9)*1.07,0)))</f>
        <v>6782</v>
      </c>
      <c r="T3" s="2">
        <f t="shared" ref="T3:T200" si="17">IF(((P3*$A$1)*12)&lt;$C$1,"-",IF(ROUNDUP((((P3*100/107)*(1+($A$1*12)))/12)*1.07,0)&lt;$B$1,"-",ROUNDUP(((((P3*100/107)+$D3)*(1+($A$1*12)))/12)*1.07,0)))</f>
        <v>5245</v>
      </c>
      <c r="U3" s="2">
        <f t="shared" ref="U3:U200" si="18">IF(((P3*$A$1)*15)&lt;$C$1,"-",IF(ROUNDUP((((P3*100/107)*(1+($A$1*15)))/15)*1.07,0)&lt;$B$1,"-",ROUNDUP(((((P3*100/107)+$D3)*(1+($A$1*15)))/15)*1.07,0)))</f>
        <v>4324</v>
      </c>
      <c r="V3" s="2">
        <f t="shared" ref="V3:V200" si="19">IF(((P3*$A$1)*18)&lt;$C$1,"-",IF(ROUNDUP((((P3*100/107)*(1+($A$1*18)))/18)*1.07,0)&lt;$B$1,"-",ROUNDUP(((((P3*100/107)+$D3)*(1+($A$1*18)))/18)*1.07,0)))</f>
        <v>3709</v>
      </c>
      <c r="W3" s="2">
        <f t="shared" ref="W3:W200" si="20">IF(((P3*$A$1)*24)&lt;$C$1,"-",IF(ROUNDUP((((P3*100/107)*(1+($A$1*24)))/24)*1.07,0)&lt;$B$1,"-",ROUNDUP(((((P3*100/107)+$D3)*(1+($A$1*24)))/24)*1.07,0)))</f>
        <v>2941</v>
      </c>
      <c r="X3" s="25">
        <f t="shared" ref="X3:X200" si="21">ROUNDUP($B3*30%,0)</f>
        <v>20400</v>
      </c>
      <c r="Y3" s="23">
        <f t="shared" ref="Y3:Y200" si="22">$B3-X3</f>
        <v>47599</v>
      </c>
      <c r="Z3" s="23">
        <f t="shared" ref="Z3:Z200" si="23">Y3+$D3</f>
        <v>51624</v>
      </c>
      <c r="AA3" s="2">
        <f t="shared" ref="AA3:AA200" si="24">IF(((Y3*$A$1)*6)&lt;$C$1,"-",IF(ROUNDUP((((Y3*100/107)*(1+($A$1*6)))/6)*1.07,0)&lt;$B$1,"-",ROUNDUP(((((Y3*100/107)+$D3)*(1+($A$1*6)))/6)*1.07,0)))</f>
        <v>9248</v>
      </c>
      <c r="AB3" s="2">
        <f t="shared" ref="AB3:AB200" si="25">IF(((Y3*$A$1)*9)&lt;$C$1,"-",IF(ROUNDUP((((Y3*100/107)*(1+($A$1*9)))/9)*1.07,0)&lt;$B$1,"-",ROUNDUP(((((Y3*100/107)+$D3)*(1+($A$1*9)))/9)*1.07,0)))</f>
        <v>6365</v>
      </c>
      <c r="AC3" s="2">
        <f t="shared" ref="AC3:AC200" si="26">IF(((Y3*$A$1)*12)&lt;$C$1,"-",IF(ROUNDUP((((Y3*100/107)*(1+($A$1*12)))/12)*1.07,0)&lt;$B$1,"-",ROUNDUP(((((Y3*100/107)+$D3)*(1+($A$1*12)))/12)*1.07,0)))</f>
        <v>4923</v>
      </c>
      <c r="AD3" s="2">
        <f t="shared" ref="AD3:AD200" si="27">IF(((Y3*$A$1)*15)&lt;$C$1,"-",IF(ROUNDUP((((Y3*100/107)*(1+($A$1*15)))/15)*1.07,0)&lt;$B$1,"-",ROUNDUP(((((Y3*100/107)+$D3)*(1+($A$1*15)))/15)*1.07,0)))</f>
        <v>4058</v>
      </c>
      <c r="AE3" s="2">
        <f t="shared" ref="AE3:AE200" si="28">IF(((Y3*$A$1)*18)&lt;$C$1,"-",IF(ROUNDUP((((Y3*100/107)*(1+($A$1*18)))/18)*1.07,0)&lt;$B$1,"-",ROUNDUP(((((Y3*100/107)+$D3)*(1+($A$1*18)))/18)*1.07,0)))</f>
        <v>3481</v>
      </c>
      <c r="AF3" s="2">
        <f t="shared" ref="AF3:AF200" si="29">IF(((Y3*$A$1)*24)&lt;$C$1,"-",IF(ROUNDUP((((Y3*100/107)*(1+($A$1*24)))/24)*1.07,0)&lt;$B$1,"-",ROUNDUP(((((Y3*100/107)+$D3)*(1+($A$1*24)))/24)*1.07,0)))</f>
        <v>2760</v>
      </c>
      <c r="AG3" s="25">
        <f t="shared" ref="AG3:AG200" si="30">ROUNDUP($B3*35%,0)</f>
        <v>23800</v>
      </c>
      <c r="AH3" s="23">
        <f t="shared" ref="AH3:AH200" si="31">$B3-AG3</f>
        <v>44199</v>
      </c>
      <c r="AI3" s="23">
        <f t="shared" ref="AI3:AI200" si="32">AH3+$D3</f>
        <v>48224</v>
      </c>
      <c r="AJ3" s="2">
        <f t="shared" ref="AJ3:AJ200" si="33">IF(((AH3*$A$1)*6)&lt;$C$1,"-",IF(ROUNDUP((((AH3*100/107)*(1+($A$1*6)))/6)*1.07,0)&lt;$B$1,"-",ROUNDUP(((((AH3*100/107)+$D3)*(1+($A$1*6)))/6)*1.07,0)))</f>
        <v>8643</v>
      </c>
      <c r="AK3" s="2">
        <f t="shared" ref="AK3:AK200" si="34">IF(((AH3*$A$1)*9)&lt;$C$1,"-",IF(ROUNDUP((((AH3*100/107)*(1+($A$1*9)))/9)*1.07,0)&lt;$B$1,"-",ROUNDUP(((((AH3*100/107)+$D3)*(1+($A$1*9)))/9)*1.07,0)))</f>
        <v>5948</v>
      </c>
      <c r="AL3" s="2">
        <f t="shared" ref="AL3:AL200" si="35">IF(((AH3*$A$1)*12)&lt;$C$1,"-",IF(ROUNDUP((((AH3*100/107)*(1+($A$1*12)))/12)*1.07,0)&lt;$B$1,"-",ROUNDUP(((((AH3*100/107)+$D3)*(1+($A$1*12)))/12)*1.07,0)))</f>
        <v>4600</v>
      </c>
      <c r="AM3" s="2">
        <f t="shared" ref="AM3:AM200" si="36">IF(((AH3*$A$1)*15)&lt;$C$1,"-",IF(ROUNDUP((((AH3*100/107)*(1+($A$1*15)))/15)*1.07,0)&lt;$B$1,"-",ROUNDUP(((((AH3*100/107)+$D3)*(1+($A$1*15)))/15)*1.07,0)))</f>
        <v>3792</v>
      </c>
      <c r="AN3" s="2">
        <f t="shared" ref="AN3:AN200" si="37">IF(((AH3*$A$1)*18)&lt;$C$1,"-",IF(ROUNDUP((((AH3*100/107)*(1+($A$1*18)))/18)*1.07,0)&lt;$B$1,"-",ROUNDUP(((((AH3*100/107)+$D3)*(1+($A$1*18)))/18)*1.07,0)))</f>
        <v>3253</v>
      </c>
      <c r="AO3" s="2">
        <f t="shared" ref="AO3:AO200" si="38">IF(((AH3*$A$1)*24)&lt;$C$1,"-",IF(ROUNDUP((((AH3*100/107)*(1+($A$1*24)))/24)*1.07,0)&lt;$B$1,"-",ROUNDUP(((((AH3*100/107)+$D3)*(1+($A$1*24)))/24)*1.07,0)))</f>
        <v>2579</v>
      </c>
      <c r="AP3" s="25">
        <f t="shared" ref="AP3:AP200" si="39">ROUNDUP($B3*40%,0)</f>
        <v>27200</v>
      </c>
      <c r="AQ3" s="23">
        <f t="shared" ref="AQ3:AQ200" si="40">$B3-AP3</f>
        <v>40799</v>
      </c>
      <c r="AR3" s="23">
        <f t="shared" ref="AR3:AR200" si="41">AQ3+$D3</f>
        <v>44824</v>
      </c>
      <c r="AS3" s="2">
        <f t="shared" ref="AS3:AS200" si="42">IF(((AQ3*$A$1)*6)&lt;$C$1,"-",IF(ROUNDUP((((AQ3*100/107)*(1+($A$1*6)))/6)*1.07,0)&lt;$B$1,"-",ROUNDUP(((((AQ3*100/107)+$D3)*(1+($A$1*6)))/6)*1.07,0)))</f>
        <v>8037</v>
      </c>
      <c r="AT3" s="2">
        <f t="shared" ref="AT3:AT200" si="43">IF(((AQ3*$A$1)*9)&lt;$C$1,"-",IF(ROUNDUP((((AQ3*100/107)*(1+($A$1*9)))/9)*1.07,0)&lt;$B$1,"-",ROUNDUP(((((AQ3*100/107)+$D3)*(1+($A$1*9)))/9)*1.07,0)))</f>
        <v>5531</v>
      </c>
      <c r="AU3" s="2">
        <f t="shared" ref="AU3:AU200" si="44">IF(((AQ3*$A$1)*12)&lt;$C$1,"-",IF(ROUNDUP((((AQ3*100/107)*(1+($A$1*12)))/12)*1.07,0)&lt;$B$1,"-",ROUNDUP(((((AQ3*100/107)+$D3)*(1+($A$1*12)))/12)*1.07,0)))</f>
        <v>4278</v>
      </c>
      <c r="AV3" s="2">
        <f t="shared" ref="AV3:AV200" si="45">IF(((AQ3*$A$1)*15)&lt;$C$1,"-",IF(ROUNDUP((((AQ3*100/107)*(1+($A$1*15)))/15)*1.07,0)&lt;$B$1,"-",ROUNDUP(((((AQ3*100/107)+$D3)*(1+($A$1*15)))/15)*1.07,0)))</f>
        <v>3526</v>
      </c>
      <c r="AW3" s="2">
        <f t="shared" ref="AW3:AW200" si="46">IF(((AQ3*$A$1)*18)&lt;$C$1,"-",IF(ROUNDUP((((AQ3*100/107)*(1+($A$1*18)))/18)*1.07,0)&lt;$B$1,"-",ROUNDUP(((((AQ3*100/107)+$D3)*(1+($A$1*18)))/18)*1.07,0)))</f>
        <v>3025</v>
      </c>
      <c r="AX3" s="2">
        <f t="shared" ref="AX3:AX200" si="47">IF(((AQ3*$A$1)*24)&lt;$C$1,"-",IF(ROUNDUP((((AQ3*100/107)*(1+($A$1*24)))/24)*1.07,0)&lt;$B$1,"-",ROUNDUP(((((AQ3*100/107)+$D3)*(1+($A$1*24)))/24)*1.07,0)))</f>
        <v>2399</v>
      </c>
    </row>
    <row r="4" ht="14.25" customHeight="1">
      <c r="A4" s="2" t="str">
        <f t="array" ref="A4">IFERROR(INDEX('Product Price'!A:A,SMALL('Product Price'!$D:$D,2)),"")</f>
        <v>HONOR Magic8 Pro 12/512 GB</v>
      </c>
      <c r="B4" s="23">
        <f t="array" ref="B4">IFERROR(INDEX('Product Price'!B:B,SMALL('Product Price'!$D:$D,2)),"")</f>
        <v>39990</v>
      </c>
      <c r="C4" s="2">
        <f t="array" ref="C4">IFERROR(INDEX('Product Price'!C:C,SMALL('Product Price'!$D:$D,2)),"")</f>
        <v>1</v>
      </c>
      <c r="D4" s="2">
        <f t="shared" si="1"/>
        <v>1900</v>
      </c>
      <c r="E4" s="23">
        <f t="shared" si="2"/>
        <v>41890</v>
      </c>
      <c r="F4" s="25">
        <f t="shared" si="3"/>
        <v>7998</v>
      </c>
      <c r="G4" s="23">
        <f t="shared" si="4"/>
        <v>31992</v>
      </c>
      <c r="H4" s="23">
        <f t="shared" si="5"/>
        <v>33892</v>
      </c>
      <c r="I4" s="2">
        <f t="shared" si="6"/>
        <v>6063</v>
      </c>
      <c r="J4" s="2">
        <f t="shared" si="7"/>
        <v>4172</v>
      </c>
      <c r="K4" s="2">
        <f t="shared" si="8"/>
        <v>3227</v>
      </c>
      <c r="L4" s="2">
        <f t="shared" si="9"/>
        <v>2660</v>
      </c>
      <c r="M4" s="2">
        <f t="shared" si="10"/>
        <v>2282</v>
      </c>
      <c r="N4" s="2">
        <f t="shared" si="11"/>
        <v>1809</v>
      </c>
      <c r="O4" s="25">
        <f t="shared" si="12"/>
        <v>9998</v>
      </c>
      <c r="P4" s="23">
        <f t="shared" si="13"/>
        <v>29992</v>
      </c>
      <c r="Q4" s="23">
        <f t="shared" si="14"/>
        <v>31892</v>
      </c>
      <c r="R4" s="2">
        <f t="shared" si="15"/>
        <v>5706</v>
      </c>
      <c r="S4" s="2">
        <f t="shared" si="16"/>
        <v>3927</v>
      </c>
      <c r="T4" s="2">
        <f t="shared" si="17"/>
        <v>3038</v>
      </c>
      <c r="U4" s="2">
        <f t="shared" si="18"/>
        <v>2504</v>
      </c>
      <c r="V4" s="2">
        <f t="shared" si="19"/>
        <v>2148</v>
      </c>
      <c r="W4" s="2">
        <f t="shared" si="20"/>
        <v>1703</v>
      </c>
      <c r="X4" s="25">
        <f t="shared" si="21"/>
        <v>11997</v>
      </c>
      <c r="Y4" s="23">
        <f t="shared" si="22"/>
        <v>27993</v>
      </c>
      <c r="Z4" s="23">
        <f t="shared" si="23"/>
        <v>29893</v>
      </c>
      <c r="AA4" s="2">
        <f t="shared" si="24"/>
        <v>5350</v>
      </c>
      <c r="AB4" s="2">
        <f t="shared" si="25"/>
        <v>3682</v>
      </c>
      <c r="AC4" s="2">
        <f t="shared" si="26"/>
        <v>2848</v>
      </c>
      <c r="AD4" s="2">
        <f t="shared" si="27"/>
        <v>2348</v>
      </c>
      <c r="AE4" s="2">
        <f t="shared" si="28"/>
        <v>2014</v>
      </c>
      <c r="AF4" s="2">
        <f t="shared" si="29"/>
        <v>1597</v>
      </c>
      <c r="AG4" s="25">
        <f t="shared" si="30"/>
        <v>13997</v>
      </c>
      <c r="AH4" s="23">
        <f t="shared" si="31"/>
        <v>25993</v>
      </c>
      <c r="AI4" s="23">
        <f t="shared" si="32"/>
        <v>27893</v>
      </c>
      <c r="AJ4" s="2">
        <f t="shared" si="33"/>
        <v>4994</v>
      </c>
      <c r="AK4" s="2">
        <f t="shared" si="34"/>
        <v>3437</v>
      </c>
      <c r="AL4" s="2">
        <f t="shared" si="35"/>
        <v>2658</v>
      </c>
      <c r="AM4" s="2">
        <f t="shared" si="36"/>
        <v>2191</v>
      </c>
      <c r="AN4" s="2">
        <f t="shared" si="37"/>
        <v>1880</v>
      </c>
      <c r="AO4" s="2">
        <f t="shared" si="38"/>
        <v>1491</v>
      </c>
      <c r="AP4" s="25">
        <f t="shared" si="39"/>
        <v>15996</v>
      </c>
      <c r="AQ4" s="23">
        <f t="shared" si="40"/>
        <v>23994</v>
      </c>
      <c r="AR4" s="23">
        <f t="shared" si="41"/>
        <v>25894</v>
      </c>
      <c r="AS4" s="2">
        <f t="shared" si="42"/>
        <v>4638</v>
      </c>
      <c r="AT4" s="2">
        <f t="shared" si="43"/>
        <v>3192</v>
      </c>
      <c r="AU4" s="2">
        <f t="shared" si="44"/>
        <v>2469</v>
      </c>
      <c r="AV4" s="2">
        <f t="shared" si="45"/>
        <v>2035</v>
      </c>
      <c r="AW4" s="2">
        <f t="shared" si="46"/>
        <v>1746</v>
      </c>
      <c r="AX4" s="2">
        <f t="shared" si="47"/>
        <v>1384</v>
      </c>
    </row>
    <row r="5" ht="14.25" customHeight="1">
      <c r="A5" s="2" t="str">
        <f t="array" ref="A5">IFERROR(INDEX('Product Price'!A:A,SMALL('Product Price'!$D:$D,3)),"")</f>
        <v>HONOR X6d 4/128 GB</v>
      </c>
      <c r="B5" s="23">
        <f t="array" ref="B5">IFERROR(INDEX('Product Price'!B:B,SMALL('Product Price'!$D:$D,3)),"")</f>
        <v>5999</v>
      </c>
      <c r="C5" s="2">
        <f t="array" ref="C5">IFERROR(INDEX('Product Price'!C:C,SMALL('Product Price'!$D:$D,3)),"")</f>
        <v>2</v>
      </c>
      <c r="D5" s="2">
        <f t="shared" si="1"/>
        <v>795</v>
      </c>
      <c r="E5" s="23">
        <f t="shared" si="2"/>
        <v>6794</v>
      </c>
      <c r="F5" s="25">
        <f t="shared" si="3"/>
        <v>1200</v>
      </c>
      <c r="G5" s="23">
        <f t="shared" si="4"/>
        <v>4799</v>
      </c>
      <c r="H5" s="23">
        <f t="shared" si="5"/>
        <v>5594</v>
      </c>
      <c r="I5" s="2">
        <f t="shared" si="6"/>
        <v>1007</v>
      </c>
      <c r="J5" s="2">
        <f t="shared" si="7"/>
        <v>693</v>
      </c>
      <c r="K5" s="2">
        <f t="shared" si="8"/>
        <v>536</v>
      </c>
      <c r="L5" s="2" t="str">
        <f t="shared" si="9"/>
        <v>-</v>
      </c>
      <c r="M5" s="2" t="str">
        <f t="shared" si="10"/>
        <v>-</v>
      </c>
      <c r="N5" s="2" t="str">
        <f t="shared" si="11"/>
        <v>-</v>
      </c>
      <c r="O5" s="25">
        <f t="shared" si="12"/>
        <v>1500</v>
      </c>
      <c r="P5" s="23">
        <f t="shared" si="13"/>
        <v>4499</v>
      </c>
      <c r="Q5" s="23">
        <f t="shared" si="14"/>
        <v>5294</v>
      </c>
      <c r="R5" s="2">
        <f t="shared" si="15"/>
        <v>954</v>
      </c>
      <c r="S5" s="2">
        <f t="shared" si="16"/>
        <v>656</v>
      </c>
      <c r="T5" s="2">
        <f t="shared" si="17"/>
        <v>508</v>
      </c>
      <c r="U5" s="2" t="str">
        <f t="shared" si="18"/>
        <v>-</v>
      </c>
      <c r="V5" s="2" t="str">
        <f t="shared" si="19"/>
        <v>-</v>
      </c>
      <c r="W5" s="2" t="str">
        <f t="shared" si="20"/>
        <v>-</v>
      </c>
      <c r="X5" s="25">
        <f t="shared" si="21"/>
        <v>1800</v>
      </c>
      <c r="Y5" s="23">
        <f t="shared" si="22"/>
        <v>4199</v>
      </c>
      <c r="Z5" s="23">
        <f t="shared" si="23"/>
        <v>4994</v>
      </c>
      <c r="AA5" s="2">
        <f t="shared" si="24"/>
        <v>900</v>
      </c>
      <c r="AB5" s="2">
        <f t="shared" si="25"/>
        <v>620</v>
      </c>
      <c r="AC5" s="2" t="str">
        <f t="shared" si="26"/>
        <v>-</v>
      </c>
      <c r="AD5" s="2" t="str">
        <f t="shared" si="27"/>
        <v>-</v>
      </c>
      <c r="AE5" s="2" t="str">
        <f t="shared" si="28"/>
        <v>-</v>
      </c>
      <c r="AF5" s="2" t="str">
        <f t="shared" si="29"/>
        <v>-</v>
      </c>
      <c r="AG5" s="25">
        <f t="shared" si="30"/>
        <v>2100</v>
      </c>
      <c r="AH5" s="23">
        <f t="shared" si="31"/>
        <v>3899</v>
      </c>
      <c r="AI5" s="23">
        <f t="shared" si="32"/>
        <v>4694</v>
      </c>
      <c r="AJ5" s="2">
        <f t="shared" si="33"/>
        <v>847</v>
      </c>
      <c r="AK5" s="2">
        <f t="shared" si="34"/>
        <v>583</v>
      </c>
      <c r="AL5" s="2" t="str">
        <f t="shared" si="35"/>
        <v>-</v>
      </c>
      <c r="AM5" s="2" t="str">
        <f t="shared" si="36"/>
        <v>-</v>
      </c>
      <c r="AN5" s="2" t="str">
        <f t="shared" si="37"/>
        <v>-</v>
      </c>
      <c r="AO5" s="2" t="str">
        <f t="shared" si="38"/>
        <v>-</v>
      </c>
      <c r="AP5" s="25">
        <f t="shared" si="39"/>
        <v>2400</v>
      </c>
      <c r="AQ5" s="23">
        <f t="shared" si="40"/>
        <v>3599</v>
      </c>
      <c r="AR5" s="23">
        <f t="shared" si="41"/>
        <v>4394</v>
      </c>
      <c r="AS5" s="2">
        <f t="shared" si="42"/>
        <v>793</v>
      </c>
      <c r="AT5" s="2">
        <f t="shared" si="43"/>
        <v>546</v>
      </c>
      <c r="AU5" s="2" t="str">
        <f t="shared" si="44"/>
        <v>-</v>
      </c>
      <c r="AV5" s="2" t="str">
        <f t="shared" si="45"/>
        <v>-</v>
      </c>
      <c r="AW5" s="2" t="str">
        <f t="shared" si="46"/>
        <v>-</v>
      </c>
      <c r="AX5" s="2" t="str">
        <f t="shared" si="47"/>
        <v>-</v>
      </c>
    </row>
    <row r="6" ht="14.25" customHeight="1">
      <c r="A6" s="2" t="str">
        <f t="array" ref="A6">IFERROR(INDEX('Product Price'!A:A,SMALL('Product Price'!$D:$D,4)),"")</f>
        <v>HONOR 600 Lite 5G 8/256 GB</v>
      </c>
      <c r="B6" s="23">
        <f t="array" ref="B6">IFERROR(INDEX('Product Price'!B:B,SMALL('Product Price'!$D:$D,4)),"")</f>
        <v>13999</v>
      </c>
      <c r="C6" s="2">
        <f t="array" ref="C6">IFERROR(INDEX('Product Price'!C:C,SMALL('Product Price'!$D:$D,4)),"")</f>
        <v>3</v>
      </c>
      <c r="D6" s="2">
        <f t="shared" si="1"/>
        <v>1450</v>
      </c>
      <c r="E6" s="23">
        <f t="shared" si="2"/>
        <v>15449</v>
      </c>
      <c r="F6" s="25">
        <f t="shared" si="3"/>
        <v>2800</v>
      </c>
      <c r="G6" s="23">
        <f t="shared" si="4"/>
        <v>11199</v>
      </c>
      <c r="H6" s="23">
        <f t="shared" si="5"/>
        <v>12649</v>
      </c>
      <c r="I6" s="2">
        <f t="shared" si="6"/>
        <v>2272</v>
      </c>
      <c r="J6" s="2">
        <f t="shared" si="7"/>
        <v>1564</v>
      </c>
      <c r="K6" s="2">
        <f t="shared" si="8"/>
        <v>1210</v>
      </c>
      <c r="L6" s="2">
        <f t="shared" si="9"/>
        <v>997</v>
      </c>
      <c r="M6" s="2">
        <f t="shared" si="10"/>
        <v>855</v>
      </c>
      <c r="N6" s="2">
        <f t="shared" si="11"/>
        <v>678</v>
      </c>
      <c r="O6" s="25">
        <f t="shared" si="12"/>
        <v>3500</v>
      </c>
      <c r="P6" s="23">
        <f t="shared" si="13"/>
        <v>10499</v>
      </c>
      <c r="Q6" s="23">
        <f t="shared" si="14"/>
        <v>11949</v>
      </c>
      <c r="R6" s="2">
        <f t="shared" si="15"/>
        <v>2147</v>
      </c>
      <c r="S6" s="2">
        <f t="shared" si="16"/>
        <v>1478</v>
      </c>
      <c r="T6" s="2">
        <f t="shared" si="17"/>
        <v>1143</v>
      </c>
      <c r="U6" s="2">
        <f t="shared" si="18"/>
        <v>942</v>
      </c>
      <c r="V6" s="2">
        <f t="shared" si="19"/>
        <v>809</v>
      </c>
      <c r="W6" s="2">
        <f t="shared" si="20"/>
        <v>641</v>
      </c>
      <c r="X6" s="25">
        <f t="shared" si="21"/>
        <v>4200</v>
      </c>
      <c r="Y6" s="23">
        <f t="shared" si="22"/>
        <v>9799</v>
      </c>
      <c r="Z6" s="23">
        <f t="shared" si="23"/>
        <v>11249</v>
      </c>
      <c r="AA6" s="2">
        <f t="shared" si="24"/>
        <v>2023</v>
      </c>
      <c r="AB6" s="2">
        <f t="shared" si="25"/>
        <v>1392</v>
      </c>
      <c r="AC6" s="2">
        <f t="shared" si="26"/>
        <v>1077</v>
      </c>
      <c r="AD6" s="2">
        <f t="shared" si="27"/>
        <v>888</v>
      </c>
      <c r="AE6" s="2">
        <f t="shared" si="28"/>
        <v>762</v>
      </c>
      <c r="AF6" s="2">
        <f t="shared" si="29"/>
        <v>604</v>
      </c>
      <c r="AG6" s="25">
        <f t="shared" si="30"/>
        <v>4900</v>
      </c>
      <c r="AH6" s="23">
        <f t="shared" si="31"/>
        <v>9099</v>
      </c>
      <c r="AI6" s="23">
        <f t="shared" si="32"/>
        <v>10549</v>
      </c>
      <c r="AJ6" s="2">
        <f t="shared" si="33"/>
        <v>1898</v>
      </c>
      <c r="AK6" s="2">
        <f t="shared" si="34"/>
        <v>1306</v>
      </c>
      <c r="AL6" s="2">
        <f t="shared" si="35"/>
        <v>1011</v>
      </c>
      <c r="AM6" s="2">
        <f t="shared" si="36"/>
        <v>833</v>
      </c>
      <c r="AN6" s="2">
        <f t="shared" si="37"/>
        <v>715</v>
      </c>
      <c r="AO6" s="2">
        <f t="shared" si="38"/>
        <v>567</v>
      </c>
      <c r="AP6" s="25">
        <f t="shared" si="39"/>
        <v>5600</v>
      </c>
      <c r="AQ6" s="23">
        <f t="shared" si="40"/>
        <v>8399</v>
      </c>
      <c r="AR6" s="23">
        <f t="shared" si="41"/>
        <v>9849</v>
      </c>
      <c r="AS6" s="2">
        <f t="shared" si="42"/>
        <v>1773</v>
      </c>
      <c r="AT6" s="2">
        <f t="shared" si="43"/>
        <v>1221</v>
      </c>
      <c r="AU6" s="2">
        <f t="shared" si="44"/>
        <v>944</v>
      </c>
      <c r="AV6" s="2">
        <f t="shared" si="45"/>
        <v>778</v>
      </c>
      <c r="AW6" s="2">
        <f t="shared" si="46"/>
        <v>668</v>
      </c>
      <c r="AX6" s="2">
        <f t="shared" si="47"/>
        <v>530</v>
      </c>
    </row>
    <row r="7" ht="14.25" customHeight="1">
      <c r="A7" s="2" t="str">
        <f t="array" ref="A7">IFERROR(INDEX('Product Price'!A:A,SMALL('Product Price'!$D:$D,5)),"")</f>
        <v>HONOR 600 5G 12/256 GB</v>
      </c>
      <c r="B7" s="23">
        <f t="array" ref="B7">IFERROR(INDEX('Product Price'!B:B,SMALL('Product Price'!$D:$D,5)),"")</f>
        <v>19999</v>
      </c>
      <c r="C7" s="2">
        <f t="array" ref="C7">IFERROR(INDEX('Product Price'!C:C,SMALL('Product Price'!$D:$D,5)),"")</f>
        <v>4</v>
      </c>
      <c r="D7" s="2">
        <f t="shared" si="1"/>
        <v>1450</v>
      </c>
      <c r="E7" s="23">
        <f t="shared" si="2"/>
        <v>21449</v>
      </c>
      <c r="F7" s="25">
        <f t="shared" si="3"/>
        <v>4000</v>
      </c>
      <c r="G7" s="23">
        <f t="shared" si="4"/>
        <v>15999</v>
      </c>
      <c r="H7" s="23">
        <f t="shared" si="5"/>
        <v>17449</v>
      </c>
      <c r="I7" s="2">
        <f t="shared" si="6"/>
        <v>3127</v>
      </c>
      <c r="J7" s="2">
        <f t="shared" si="7"/>
        <v>2152</v>
      </c>
      <c r="K7" s="2">
        <f t="shared" si="8"/>
        <v>1665</v>
      </c>
      <c r="L7" s="2">
        <f t="shared" si="9"/>
        <v>1372</v>
      </c>
      <c r="M7" s="2">
        <f t="shared" si="10"/>
        <v>1177</v>
      </c>
      <c r="N7" s="2">
        <f t="shared" si="11"/>
        <v>934</v>
      </c>
      <c r="O7" s="25">
        <f t="shared" si="12"/>
        <v>5000</v>
      </c>
      <c r="P7" s="23">
        <f t="shared" si="13"/>
        <v>14999</v>
      </c>
      <c r="Q7" s="23">
        <f t="shared" si="14"/>
        <v>16449</v>
      </c>
      <c r="R7" s="2">
        <f t="shared" si="15"/>
        <v>2949</v>
      </c>
      <c r="S7" s="2">
        <f t="shared" si="16"/>
        <v>2030</v>
      </c>
      <c r="T7" s="2">
        <f t="shared" si="17"/>
        <v>1570</v>
      </c>
      <c r="U7" s="2">
        <f t="shared" si="18"/>
        <v>1294</v>
      </c>
      <c r="V7" s="2">
        <f t="shared" si="19"/>
        <v>1110</v>
      </c>
      <c r="W7" s="2">
        <f t="shared" si="20"/>
        <v>880</v>
      </c>
      <c r="X7" s="25">
        <f t="shared" si="21"/>
        <v>6000</v>
      </c>
      <c r="Y7" s="23">
        <f t="shared" si="22"/>
        <v>13999</v>
      </c>
      <c r="Z7" s="23">
        <f t="shared" si="23"/>
        <v>15449</v>
      </c>
      <c r="AA7" s="2">
        <f t="shared" si="24"/>
        <v>2771</v>
      </c>
      <c r="AB7" s="2">
        <f t="shared" si="25"/>
        <v>1907</v>
      </c>
      <c r="AC7" s="2">
        <f t="shared" si="26"/>
        <v>1475</v>
      </c>
      <c r="AD7" s="2">
        <f t="shared" si="27"/>
        <v>1216</v>
      </c>
      <c r="AE7" s="2">
        <f t="shared" si="28"/>
        <v>1043</v>
      </c>
      <c r="AF7" s="2">
        <f t="shared" si="29"/>
        <v>827</v>
      </c>
      <c r="AG7" s="25">
        <f t="shared" si="30"/>
        <v>7000</v>
      </c>
      <c r="AH7" s="23">
        <f t="shared" si="31"/>
        <v>12999</v>
      </c>
      <c r="AI7" s="23">
        <f t="shared" si="32"/>
        <v>14449</v>
      </c>
      <c r="AJ7" s="2">
        <f t="shared" si="33"/>
        <v>2593</v>
      </c>
      <c r="AK7" s="2">
        <f t="shared" si="34"/>
        <v>1785</v>
      </c>
      <c r="AL7" s="2">
        <f t="shared" si="35"/>
        <v>1380</v>
      </c>
      <c r="AM7" s="2">
        <f t="shared" si="36"/>
        <v>1138</v>
      </c>
      <c r="AN7" s="2">
        <f t="shared" si="37"/>
        <v>976</v>
      </c>
      <c r="AO7" s="2">
        <f t="shared" si="38"/>
        <v>774</v>
      </c>
      <c r="AP7" s="25">
        <f t="shared" si="39"/>
        <v>8000</v>
      </c>
      <c r="AQ7" s="23">
        <f t="shared" si="40"/>
        <v>11999</v>
      </c>
      <c r="AR7" s="23">
        <f t="shared" si="41"/>
        <v>13449</v>
      </c>
      <c r="AS7" s="2">
        <f t="shared" si="42"/>
        <v>2415</v>
      </c>
      <c r="AT7" s="2">
        <f t="shared" si="43"/>
        <v>1662</v>
      </c>
      <c r="AU7" s="2">
        <f t="shared" si="44"/>
        <v>1286</v>
      </c>
      <c r="AV7" s="2">
        <f t="shared" si="45"/>
        <v>1060</v>
      </c>
      <c r="AW7" s="2">
        <f t="shared" si="46"/>
        <v>909</v>
      </c>
      <c r="AX7" s="2">
        <f t="shared" si="47"/>
        <v>721</v>
      </c>
    </row>
    <row r="8" ht="14.25" customHeight="1">
      <c r="A8" s="2" t="str">
        <f t="array" ref="A8">IFERROR(INDEX('Product Price'!A:A,SMALL('Product Price'!$D:$D,6)),"")</f>
        <v>HONOR 600 Pro 5G 12/512 GB</v>
      </c>
      <c r="B8" s="23">
        <f t="array" ref="B8">IFERROR(INDEX('Product Price'!B:B,SMALL('Product Price'!$D:$D,6)),"")</f>
        <v>29999</v>
      </c>
      <c r="C8" s="2">
        <f t="array" ref="C8">IFERROR(INDEX('Product Price'!C:C,SMALL('Product Price'!$D:$D,6)),"")</f>
        <v>5</v>
      </c>
      <c r="D8" s="2">
        <f t="shared" si="1"/>
        <v>1900</v>
      </c>
      <c r="E8" s="23">
        <f t="shared" si="2"/>
        <v>31899</v>
      </c>
      <c r="F8" s="25">
        <f t="shared" si="3"/>
        <v>6000</v>
      </c>
      <c r="G8" s="23">
        <f t="shared" si="4"/>
        <v>23999</v>
      </c>
      <c r="H8" s="23">
        <f t="shared" si="5"/>
        <v>25899</v>
      </c>
      <c r="I8" s="2">
        <f t="shared" si="6"/>
        <v>4639</v>
      </c>
      <c r="J8" s="2">
        <f t="shared" si="7"/>
        <v>3192</v>
      </c>
      <c r="K8" s="2">
        <f t="shared" si="8"/>
        <v>2469</v>
      </c>
      <c r="L8" s="2">
        <f t="shared" si="9"/>
        <v>2035</v>
      </c>
      <c r="M8" s="2">
        <f t="shared" si="10"/>
        <v>1746</v>
      </c>
      <c r="N8" s="2">
        <f t="shared" si="11"/>
        <v>1385</v>
      </c>
      <c r="O8" s="25">
        <f t="shared" si="12"/>
        <v>7500</v>
      </c>
      <c r="P8" s="23">
        <f t="shared" si="13"/>
        <v>22499</v>
      </c>
      <c r="Q8" s="23">
        <f t="shared" si="14"/>
        <v>24399</v>
      </c>
      <c r="R8" s="2">
        <f t="shared" si="15"/>
        <v>4371</v>
      </c>
      <c r="S8" s="2">
        <f t="shared" si="16"/>
        <v>3008</v>
      </c>
      <c r="T8" s="2">
        <f t="shared" si="17"/>
        <v>2327</v>
      </c>
      <c r="U8" s="2">
        <f t="shared" si="18"/>
        <v>1918</v>
      </c>
      <c r="V8" s="2">
        <f t="shared" si="19"/>
        <v>1646</v>
      </c>
      <c r="W8" s="2">
        <f t="shared" si="20"/>
        <v>1305</v>
      </c>
      <c r="X8" s="25">
        <f t="shared" si="21"/>
        <v>9000</v>
      </c>
      <c r="Y8" s="23">
        <f t="shared" si="22"/>
        <v>20999</v>
      </c>
      <c r="Z8" s="23">
        <f t="shared" si="23"/>
        <v>22899</v>
      </c>
      <c r="AA8" s="2">
        <f t="shared" si="24"/>
        <v>4104</v>
      </c>
      <c r="AB8" s="2">
        <f t="shared" si="25"/>
        <v>2824</v>
      </c>
      <c r="AC8" s="2">
        <f t="shared" si="26"/>
        <v>2185</v>
      </c>
      <c r="AD8" s="2">
        <f t="shared" si="27"/>
        <v>1801</v>
      </c>
      <c r="AE8" s="2">
        <f t="shared" si="28"/>
        <v>1545</v>
      </c>
      <c r="AF8" s="2">
        <f t="shared" si="29"/>
        <v>1225</v>
      </c>
      <c r="AG8" s="25">
        <f t="shared" si="30"/>
        <v>10500</v>
      </c>
      <c r="AH8" s="23">
        <f t="shared" si="31"/>
        <v>19499</v>
      </c>
      <c r="AI8" s="23">
        <f t="shared" si="32"/>
        <v>21399</v>
      </c>
      <c r="AJ8" s="2">
        <f t="shared" si="33"/>
        <v>3837</v>
      </c>
      <c r="AK8" s="2">
        <f t="shared" si="34"/>
        <v>2641</v>
      </c>
      <c r="AL8" s="2">
        <f t="shared" si="35"/>
        <v>2042</v>
      </c>
      <c r="AM8" s="2">
        <f t="shared" si="36"/>
        <v>1684</v>
      </c>
      <c r="AN8" s="2">
        <f t="shared" si="37"/>
        <v>1444</v>
      </c>
      <c r="AO8" s="2">
        <f t="shared" si="38"/>
        <v>1145</v>
      </c>
      <c r="AP8" s="25">
        <f t="shared" si="39"/>
        <v>12000</v>
      </c>
      <c r="AQ8" s="23">
        <f t="shared" si="40"/>
        <v>17999</v>
      </c>
      <c r="AR8" s="23">
        <f t="shared" si="41"/>
        <v>19899</v>
      </c>
      <c r="AS8" s="2">
        <f t="shared" si="42"/>
        <v>3570</v>
      </c>
      <c r="AT8" s="2">
        <f t="shared" si="43"/>
        <v>2457</v>
      </c>
      <c r="AU8" s="2">
        <f t="shared" si="44"/>
        <v>1900</v>
      </c>
      <c r="AV8" s="2">
        <f t="shared" si="45"/>
        <v>1566</v>
      </c>
      <c r="AW8" s="2">
        <f t="shared" si="46"/>
        <v>1344</v>
      </c>
      <c r="AX8" s="2">
        <f t="shared" si="47"/>
        <v>1066</v>
      </c>
    </row>
    <row r="9" ht="14.25" customHeight="1">
      <c r="A9" s="2" t="str">
        <f t="array" ref="A9">IFERROR(INDEX('Product Price'!A:A,SMALL('Product Price'!$D:$D,7)),"")</f>
        <v>HONOR X7e 6/256 GB</v>
      </c>
      <c r="B9" s="23">
        <f t="array" ref="B9">IFERROR(INDEX('Product Price'!B:B,SMALL('Product Price'!$D:$D,7)),"")</f>
        <v>8999</v>
      </c>
      <c r="C9" s="2">
        <f t="array" ref="C9">IFERROR(INDEX('Product Price'!C:C,SMALL('Product Price'!$D:$D,7)),"")</f>
        <v>159</v>
      </c>
      <c r="D9" s="2">
        <f t="shared" si="1"/>
        <v>795</v>
      </c>
      <c r="E9" s="23">
        <f t="shared" si="2"/>
        <v>9794</v>
      </c>
      <c r="F9" s="25">
        <f t="shared" si="3"/>
        <v>1800</v>
      </c>
      <c r="G9" s="23">
        <f t="shared" si="4"/>
        <v>7199</v>
      </c>
      <c r="H9" s="23">
        <f t="shared" si="5"/>
        <v>7994</v>
      </c>
      <c r="I9" s="2">
        <f t="shared" si="6"/>
        <v>1435</v>
      </c>
      <c r="J9" s="2">
        <f t="shared" si="7"/>
        <v>987</v>
      </c>
      <c r="K9" s="2">
        <f t="shared" si="8"/>
        <v>764</v>
      </c>
      <c r="L9" s="2">
        <f t="shared" si="9"/>
        <v>630</v>
      </c>
      <c r="M9" s="2">
        <f t="shared" si="10"/>
        <v>540</v>
      </c>
      <c r="N9" s="2" t="str">
        <f t="shared" si="11"/>
        <v>-</v>
      </c>
      <c r="O9" s="25">
        <f t="shared" si="12"/>
        <v>2250</v>
      </c>
      <c r="P9" s="23">
        <f t="shared" si="13"/>
        <v>6749</v>
      </c>
      <c r="Q9" s="23">
        <f t="shared" si="14"/>
        <v>7544</v>
      </c>
      <c r="R9" s="2">
        <f t="shared" si="15"/>
        <v>1355</v>
      </c>
      <c r="S9" s="2">
        <f t="shared" si="16"/>
        <v>932</v>
      </c>
      <c r="T9" s="2">
        <f t="shared" si="17"/>
        <v>721</v>
      </c>
      <c r="U9" s="2">
        <f t="shared" si="18"/>
        <v>595</v>
      </c>
      <c r="V9" s="2">
        <f t="shared" si="19"/>
        <v>510</v>
      </c>
      <c r="W9" s="2" t="str">
        <f t="shared" si="20"/>
        <v>-</v>
      </c>
      <c r="X9" s="25">
        <f t="shared" si="21"/>
        <v>2700</v>
      </c>
      <c r="Y9" s="23">
        <f t="shared" si="22"/>
        <v>6299</v>
      </c>
      <c r="Z9" s="23">
        <f t="shared" si="23"/>
        <v>7094</v>
      </c>
      <c r="AA9" s="2">
        <f t="shared" si="24"/>
        <v>1274</v>
      </c>
      <c r="AB9" s="2">
        <f t="shared" si="25"/>
        <v>877</v>
      </c>
      <c r="AC9" s="2">
        <f t="shared" si="26"/>
        <v>679</v>
      </c>
      <c r="AD9" s="2">
        <f t="shared" si="27"/>
        <v>559</v>
      </c>
      <c r="AE9" s="2">
        <f t="shared" si="28"/>
        <v>480</v>
      </c>
      <c r="AF9" s="2" t="str">
        <f t="shared" si="29"/>
        <v>-</v>
      </c>
      <c r="AG9" s="25">
        <f t="shared" si="30"/>
        <v>3150</v>
      </c>
      <c r="AH9" s="23">
        <f t="shared" si="31"/>
        <v>5849</v>
      </c>
      <c r="AI9" s="23">
        <f t="shared" si="32"/>
        <v>6644</v>
      </c>
      <c r="AJ9" s="2">
        <f t="shared" si="33"/>
        <v>1194</v>
      </c>
      <c r="AK9" s="2">
        <f t="shared" si="34"/>
        <v>822</v>
      </c>
      <c r="AL9" s="2">
        <f t="shared" si="35"/>
        <v>636</v>
      </c>
      <c r="AM9" s="2">
        <f t="shared" si="36"/>
        <v>524</v>
      </c>
      <c r="AN9" s="2" t="str">
        <f t="shared" si="37"/>
        <v>-</v>
      </c>
      <c r="AO9" s="2" t="str">
        <f t="shared" si="38"/>
        <v>-</v>
      </c>
      <c r="AP9" s="25">
        <f t="shared" si="39"/>
        <v>3600</v>
      </c>
      <c r="AQ9" s="23">
        <f t="shared" si="40"/>
        <v>5399</v>
      </c>
      <c r="AR9" s="23">
        <f t="shared" si="41"/>
        <v>6194</v>
      </c>
      <c r="AS9" s="2">
        <f t="shared" si="42"/>
        <v>1114</v>
      </c>
      <c r="AT9" s="2">
        <f t="shared" si="43"/>
        <v>767</v>
      </c>
      <c r="AU9" s="2">
        <f t="shared" si="44"/>
        <v>593</v>
      </c>
      <c r="AV9" s="2">
        <f t="shared" si="45"/>
        <v>489</v>
      </c>
      <c r="AW9" s="2" t="str">
        <f t="shared" si="46"/>
        <v>-</v>
      </c>
      <c r="AX9" s="2" t="str">
        <f t="shared" si="47"/>
        <v>-</v>
      </c>
    </row>
    <row r="10" ht="14.25" customHeight="1">
      <c r="A10" s="2" t="str">
        <f t="array" ref="A10">IFERROR(INDEX('Product Price'!A:A,SMALL('Product Price'!$D:$D,8)),"")</f>
        <v>HONOR X7e 6/128 GB</v>
      </c>
      <c r="B10" s="23">
        <f t="array" ref="B10">IFERROR(INDEX('Product Price'!B:B,SMALL('Product Price'!$D:$D,8)),"")</f>
        <v>7999</v>
      </c>
      <c r="C10" s="2">
        <f t="array" ref="C10">IFERROR(INDEX('Product Price'!C:C,SMALL('Product Price'!$D:$D,8)),"")</f>
        <v>160</v>
      </c>
      <c r="D10" s="2">
        <f t="shared" si="1"/>
        <v>795</v>
      </c>
      <c r="E10" s="23">
        <f t="shared" si="2"/>
        <v>8794</v>
      </c>
      <c r="F10" s="25">
        <f t="shared" si="3"/>
        <v>1600</v>
      </c>
      <c r="G10" s="23">
        <f t="shared" si="4"/>
        <v>6399</v>
      </c>
      <c r="H10" s="23">
        <f t="shared" si="5"/>
        <v>7194</v>
      </c>
      <c r="I10" s="2">
        <f t="shared" si="6"/>
        <v>1292</v>
      </c>
      <c r="J10" s="2">
        <f t="shared" si="7"/>
        <v>889</v>
      </c>
      <c r="K10" s="2">
        <f t="shared" si="8"/>
        <v>688</v>
      </c>
      <c r="L10" s="2">
        <f t="shared" si="9"/>
        <v>567</v>
      </c>
      <c r="M10" s="2">
        <f t="shared" si="10"/>
        <v>487</v>
      </c>
      <c r="N10" s="2" t="str">
        <f t="shared" si="11"/>
        <v>-</v>
      </c>
      <c r="O10" s="25">
        <f t="shared" si="12"/>
        <v>2000</v>
      </c>
      <c r="P10" s="23">
        <f t="shared" si="13"/>
        <v>5999</v>
      </c>
      <c r="Q10" s="23">
        <f t="shared" si="14"/>
        <v>6794</v>
      </c>
      <c r="R10" s="2">
        <f t="shared" si="15"/>
        <v>1221</v>
      </c>
      <c r="S10" s="2">
        <f t="shared" si="16"/>
        <v>840</v>
      </c>
      <c r="T10" s="2">
        <f t="shared" si="17"/>
        <v>650</v>
      </c>
      <c r="U10" s="2">
        <f t="shared" si="18"/>
        <v>536</v>
      </c>
      <c r="V10" s="2">
        <f t="shared" si="19"/>
        <v>460</v>
      </c>
      <c r="W10" s="2" t="str">
        <f t="shared" si="20"/>
        <v>-</v>
      </c>
      <c r="X10" s="25">
        <f t="shared" si="21"/>
        <v>2400</v>
      </c>
      <c r="Y10" s="23">
        <f t="shared" si="22"/>
        <v>5599</v>
      </c>
      <c r="Z10" s="23">
        <f t="shared" si="23"/>
        <v>6394</v>
      </c>
      <c r="AA10" s="2">
        <f t="shared" si="24"/>
        <v>1150</v>
      </c>
      <c r="AB10" s="2">
        <f t="shared" si="25"/>
        <v>791</v>
      </c>
      <c r="AC10" s="2">
        <f t="shared" si="26"/>
        <v>612</v>
      </c>
      <c r="AD10" s="2">
        <f t="shared" si="27"/>
        <v>505</v>
      </c>
      <c r="AE10" s="2" t="str">
        <f t="shared" si="28"/>
        <v>-</v>
      </c>
      <c r="AF10" s="2" t="str">
        <f t="shared" si="29"/>
        <v>-</v>
      </c>
      <c r="AG10" s="25">
        <f t="shared" si="30"/>
        <v>2800</v>
      </c>
      <c r="AH10" s="23">
        <f t="shared" si="31"/>
        <v>5199</v>
      </c>
      <c r="AI10" s="23">
        <f t="shared" si="32"/>
        <v>5994</v>
      </c>
      <c r="AJ10" s="2">
        <f t="shared" si="33"/>
        <v>1078</v>
      </c>
      <c r="AK10" s="2">
        <f t="shared" si="34"/>
        <v>742</v>
      </c>
      <c r="AL10" s="2">
        <f t="shared" si="35"/>
        <v>574</v>
      </c>
      <c r="AM10" s="2">
        <f t="shared" si="36"/>
        <v>473</v>
      </c>
      <c r="AN10" s="2" t="str">
        <f t="shared" si="37"/>
        <v>-</v>
      </c>
      <c r="AO10" s="2" t="str">
        <f t="shared" si="38"/>
        <v>-</v>
      </c>
      <c r="AP10" s="25">
        <f t="shared" si="39"/>
        <v>3200</v>
      </c>
      <c r="AQ10" s="23">
        <f t="shared" si="40"/>
        <v>4799</v>
      </c>
      <c r="AR10" s="23">
        <f t="shared" si="41"/>
        <v>5594</v>
      </c>
      <c r="AS10" s="2">
        <f t="shared" si="42"/>
        <v>1007</v>
      </c>
      <c r="AT10" s="2">
        <f t="shared" si="43"/>
        <v>693</v>
      </c>
      <c r="AU10" s="2">
        <f t="shared" si="44"/>
        <v>536</v>
      </c>
      <c r="AV10" s="2" t="str">
        <f t="shared" si="45"/>
        <v>-</v>
      </c>
      <c r="AW10" s="2" t="str">
        <f t="shared" si="46"/>
        <v>-</v>
      </c>
      <c r="AX10" s="2" t="str">
        <f t="shared" si="47"/>
        <v>-</v>
      </c>
    </row>
    <row r="11" ht="14.25" customHeight="1">
      <c r="A11" s="2" t="str">
        <f t="array" ref="A11">IFERROR(INDEX('Product Price'!A:A,SMALL('Product Price'!$D:$D,9)),"")</f>
        <v>HONOR Pad X8b 6/128 GB</v>
      </c>
      <c r="B11" s="23">
        <f t="array" ref="B11">IFERROR(INDEX('Product Price'!B:B,SMALL('Product Price'!$D:$D,9)),"")</f>
        <v>8999</v>
      </c>
      <c r="C11" s="2">
        <f t="array" ref="C11">IFERROR(INDEX('Product Price'!C:C,SMALL('Product Price'!$D:$D,9)),"")</f>
        <v>6</v>
      </c>
      <c r="D11" s="2">
        <f t="shared" si="1"/>
        <v>795</v>
      </c>
      <c r="E11" s="23">
        <f t="shared" si="2"/>
        <v>9794</v>
      </c>
      <c r="F11" s="25">
        <f t="shared" si="3"/>
        <v>1800</v>
      </c>
      <c r="G11" s="23">
        <f t="shared" si="4"/>
        <v>7199</v>
      </c>
      <c r="H11" s="23">
        <f t="shared" si="5"/>
        <v>7994</v>
      </c>
      <c r="I11" s="2">
        <f t="shared" si="6"/>
        <v>1435</v>
      </c>
      <c r="J11" s="2">
        <f t="shared" si="7"/>
        <v>987</v>
      </c>
      <c r="K11" s="2">
        <f t="shared" si="8"/>
        <v>764</v>
      </c>
      <c r="L11" s="2">
        <f t="shared" si="9"/>
        <v>630</v>
      </c>
      <c r="M11" s="2">
        <f t="shared" si="10"/>
        <v>540</v>
      </c>
      <c r="N11" s="2" t="str">
        <f t="shared" si="11"/>
        <v>-</v>
      </c>
      <c r="O11" s="25">
        <f t="shared" si="12"/>
        <v>2250</v>
      </c>
      <c r="P11" s="23">
        <f t="shared" si="13"/>
        <v>6749</v>
      </c>
      <c r="Q11" s="23">
        <f t="shared" si="14"/>
        <v>7544</v>
      </c>
      <c r="R11" s="2">
        <f t="shared" si="15"/>
        <v>1355</v>
      </c>
      <c r="S11" s="2">
        <f t="shared" si="16"/>
        <v>932</v>
      </c>
      <c r="T11" s="2">
        <f t="shared" si="17"/>
        <v>721</v>
      </c>
      <c r="U11" s="2">
        <f t="shared" si="18"/>
        <v>595</v>
      </c>
      <c r="V11" s="2">
        <f t="shared" si="19"/>
        <v>510</v>
      </c>
      <c r="W11" s="2" t="str">
        <f t="shared" si="20"/>
        <v>-</v>
      </c>
      <c r="X11" s="25">
        <f t="shared" si="21"/>
        <v>2700</v>
      </c>
      <c r="Y11" s="23">
        <f t="shared" si="22"/>
        <v>6299</v>
      </c>
      <c r="Z11" s="23">
        <f t="shared" si="23"/>
        <v>7094</v>
      </c>
      <c r="AA11" s="2">
        <f t="shared" si="24"/>
        <v>1274</v>
      </c>
      <c r="AB11" s="2">
        <f t="shared" si="25"/>
        <v>877</v>
      </c>
      <c r="AC11" s="2">
        <f t="shared" si="26"/>
        <v>679</v>
      </c>
      <c r="AD11" s="2">
        <f t="shared" si="27"/>
        <v>559</v>
      </c>
      <c r="AE11" s="2">
        <f t="shared" si="28"/>
        <v>480</v>
      </c>
      <c r="AF11" s="2" t="str">
        <f t="shared" si="29"/>
        <v>-</v>
      </c>
      <c r="AG11" s="25">
        <f t="shared" si="30"/>
        <v>3150</v>
      </c>
      <c r="AH11" s="23">
        <f t="shared" si="31"/>
        <v>5849</v>
      </c>
      <c r="AI11" s="23">
        <f t="shared" si="32"/>
        <v>6644</v>
      </c>
      <c r="AJ11" s="2">
        <f t="shared" si="33"/>
        <v>1194</v>
      </c>
      <c r="AK11" s="2">
        <f t="shared" si="34"/>
        <v>822</v>
      </c>
      <c r="AL11" s="2">
        <f t="shared" si="35"/>
        <v>636</v>
      </c>
      <c r="AM11" s="2">
        <f t="shared" si="36"/>
        <v>524</v>
      </c>
      <c r="AN11" s="2" t="str">
        <f t="shared" si="37"/>
        <v>-</v>
      </c>
      <c r="AO11" s="2" t="str">
        <f t="shared" si="38"/>
        <v>-</v>
      </c>
      <c r="AP11" s="25">
        <f t="shared" si="39"/>
        <v>3600</v>
      </c>
      <c r="AQ11" s="23">
        <f t="shared" si="40"/>
        <v>5399</v>
      </c>
      <c r="AR11" s="23">
        <f t="shared" si="41"/>
        <v>6194</v>
      </c>
      <c r="AS11" s="2">
        <f t="shared" si="42"/>
        <v>1114</v>
      </c>
      <c r="AT11" s="2">
        <f t="shared" si="43"/>
        <v>767</v>
      </c>
      <c r="AU11" s="2">
        <f t="shared" si="44"/>
        <v>593</v>
      </c>
      <c r="AV11" s="2">
        <f t="shared" si="45"/>
        <v>489</v>
      </c>
      <c r="AW11" s="2" t="str">
        <f t="shared" si="46"/>
        <v>-</v>
      </c>
      <c r="AX11" s="2" t="str">
        <f t="shared" si="47"/>
        <v>-</v>
      </c>
    </row>
    <row r="12" ht="14.25" customHeight="1">
      <c r="A12" s="2" t="str">
        <f t="array" ref="A12">IFERROR(INDEX('Product Price'!A:A,SMALL('Product Price'!$D:$D,10)),"")</f>
        <v>HUAWEI Mate X7 16/512 GB</v>
      </c>
      <c r="B12" s="23">
        <f t="array" ref="B12">IFERROR(INDEX('Product Price'!B:B,SMALL('Product Price'!$D:$D,10)),"")</f>
        <v>59990</v>
      </c>
      <c r="C12" s="2">
        <f t="array" ref="C12">IFERROR(INDEX('Product Price'!C:C,SMALL('Product Price'!$D:$D,10)),"")</f>
        <v>7</v>
      </c>
      <c r="D12" s="2">
        <f t="shared" si="1"/>
        <v>2475</v>
      </c>
      <c r="E12" s="23">
        <f t="shared" si="2"/>
        <v>62465</v>
      </c>
      <c r="F12" s="25">
        <f t="shared" si="3"/>
        <v>11998</v>
      </c>
      <c r="G12" s="23">
        <f t="shared" si="4"/>
        <v>47992</v>
      </c>
      <c r="H12" s="23">
        <f t="shared" si="5"/>
        <v>50467</v>
      </c>
      <c r="I12" s="2">
        <f t="shared" si="6"/>
        <v>9023</v>
      </c>
      <c r="J12" s="2">
        <f t="shared" si="7"/>
        <v>6210</v>
      </c>
      <c r="K12" s="2">
        <f t="shared" si="8"/>
        <v>4803</v>
      </c>
      <c r="L12" s="2">
        <f t="shared" si="9"/>
        <v>3959</v>
      </c>
      <c r="M12" s="2">
        <f t="shared" si="10"/>
        <v>3396</v>
      </c>
      <c r="N12" s="2">
        <f t="shared" si="11"/>
        <v>2693</v>
      </c>
      <c r="O12" s="25">
        <f t="shared" si="12"/>
        <v>14998</v>
      </c>
      <c r="P12" s="23">
        <f t="shared" si="13"/>
        <v>44992</v>
      </c>
      <c r="Q12" s="23">
        <f t="shared" si="14"/>
        <v>47467</v>
      </c>
      <c r="R12" s="2">
        <f t="shared" si="15"/>
        <v>8488</v>
      </c>
      <c r="S12" s="2">
        <f t="shared" si="16"/>
        <v>5842</v>
      </c>
      <c r="T12" s="2">
        <f t="shared" si="17"/>
        <v>4518</v>
      </c>
      <c r="U12" s="2">
        <f t="shared" si="18"/>
        <v>3724</v>
      </c>
      <c r="V12" s="2">
        <f t="shared" si="19"/>
        <v>3195</v>
      </c>
      <c r="W12" s="2">
        <f t="shared" si="20"/>
        <v>2533</v>
      </c>
      <c r="X12" s="25">
        <f t="shared" si="21"/>
        <v>17997</v>
      </c>
      <c r="Y12" s="23">
        <f t="shared" si="22"/>
        <v>41993</v>
      </c>
      <c r="Z12" s="23">
        <f t="shared" si="23"/>
        <v>44468</v>
      </c>
      <c r="AA12" s="2">
        <f t="shared" si="24"/>
        <v>7954</v>
      </c>
      <c r="AB12" s="2">
        <f t="shared" si="25"/>
        <v>5474</v>
      </c>
      <c r="AC12" s="2">
        <f t="shared" si="26"/>
        <v>4234</v>
      </c>
      <c r="AD12" s="2">
        <f t="shared" si="27"/>
        <v>3490</v>
      </c>
      <c r="AE12" s="2">
        <f t="shared" si="28"/>
        <v>2994</v>
      </c>
      <c r="AF12" s="2">
        <f t="shared" si="29"/>
        <v>2374</v>
      </c>
      <c r="AG12" s="25">
        <f t="shared" si="30"/>
        <v>20997</v>
      </c>
      <c r="AH12" s="23">
        <f t="shared" si="31"/>
        <v>38993</v>
      </c>
      <c r="AI12" s="23">
        <f t="shared" si="32"/>
        <v>41468</v>
      </c>
      <c r="AJ12" s="2">
        <f t="shared" si="33"/>
        <v>7420</v>
      </c>
      <c r="AK12" s="2">
        <f t="shared" si="34"/>
        <v>5106</v>
      </c>
      <c r="AL12" s="2">
        <f t="shared" si="35"/>
        <v>3949</v>
      </c>
      <c r="AM12" s="2">
        <f t="shared" si="36"/>
        <v>3255</v>
      </c>
      <c r="AN12" s="2">
        <f t="shared" si="37"/>
        <v>2793</v>
      </c>
      <c r="AO12" s="2">
        <f t="shared" si="38"/>
        <v>2214</v>
      </c>
      <c r="AP12" s="25">
        <f t="shared" si="39"/>
        <v>23996</v>
      </c>
      <c r="AQ12" s="23">
        <f t="shared" si="40"/>
        <v>35994</v>
      </c>
      <c r="AR12" s="23">
        <f t="shared" si="41"/>
        <v>38469</v>
      </c>
      <c r="AS12" s="2">
        <f t="shared" si="42"/>
        <v>6885</v>
      </c>
      <c r="AT12" s="2">
        <f t="shared" si="43"/>
        <v>4738</v>
      </c>
      <c r="AU12" s="2">
        <f t="shared" si="44"/>
        <v>3665</v>
      </c>
      <c r="AV12" s="2">
        <f t="shared" si="45"/>
        <v>3021</v>
      </c>
      <c r="AW12" s="2">
        <f t="shared" si="46"/>
        <v>2592</v>
      </c>
      <c r="AX12" s="2">
        <f t="shared" si="47"/>
        <v>2055</v>
      </c>
    </row>
    <row r="13" ht="14.25" customHeight="1">
      <c r="A13" s="2" t="str">
        <f t="array" ref="A13">IFERROR(INDEX('Product Price'!A:A,SMALL('Product Price'!$D:$D,11)),"")</f>
        <v>HUAWEI Pura 90s ProMax 12/512 GB</v>
      </c>
      <c r="B13" s="23">
        <f t="array" ref="B13">IFERROR(INDEX('Product Price'!B:B,SMALL('Product Price'!$D:$D,11)),"")</f>
        <v>49990</v>
      </c>
      <c r="C13" s="2">
        <f t="array" ref="C13">IFERROR(INDEX('Product Price'!C:C,SMALL('Product Price'!$D:$D,11)),"")</f>
        <v>177</v>
      </c>
      <c r="D13" s="2">
        <f t="shared" si="1"/>
        <v>2475</v>
      </c>
      <c r="E13" s="23">
        <f t="shared" si="2"/>
        <v>52465</v>
      </c>
      <c r="F13" s="25">
        <f t="shared" si="3"/>
        <v>9998</v>
      </c>
      <c r="G13" s="23">
        <f t="shared" si="4"/>
        <v>39992</v>
      </c>
      <c r="H13" s="23">
        <f t="shared" si="5"/>
        <v>42467</v>
      </c>
      <c r="I13" s="2">
        <f t="shared" si="6"/>
        <v>7598</v>
      </c>
      <c r="J13" s="2">
        <f t="shared" si="7"/>
        <v>5229</v>
      </c>
      <c r="K13" s="2">
        <f t="shared" si="8"/>
        <v>4044</v>
      </c>
      <c r="L13" s="2">
        <f t="shared" si="9"/>
        <v>3334</v>
      </c>
      <c r="M13" s="2">
        <f t="shared" si="10"/>
        <v>2860</v>
      </c>
      <c r="N13" s="2">
        <f t="shared" si="11"/>
        <v>2268</v>
      </c>
      <c r="O13" s="25">
        <f t="shared" si="12"/>
        <v>12498</v>
      </c>
      <c r="P13" s="23">
        <f t="shared" si="13"/>
        <v>37492</v>
      </c>
      <c r="Q13" s="23">
        <f t="shared" si="14"/>
        <v>39967</v>
      </c>
      <c r="R13" s="2">
        <f t="shared" si="15"/>
        <v>7152</v>
      </c>
      <c r="S13" s="2">
        <f t="shared" si="16"/>
        <v>4922</v>
      </c>
      <c r="T13" s="2">
        <f t="shared" si="17"/>
        <v>3807</v>
      </c>
      <c r="U13" s="2">
        <f t="shared" si="18"/>
        <v>3138</v>
      </c>
      <c r="V13" s="2">
        <f t="shared" si="19"/>
        <v>2692</v>
      </c>
      <c r="W13" s="2">
        <f t="shared" si="20"/>
        <v>2135</v>
      </c>
      <c r="X13" s="25">
        <f t="shared" si="21"/>
        <v>14997</v>
      </c>
      <c r="Y13" s="23">
        <f t="shared" si="22"/>
        <v>34993</v>
      </c>
      <c r="Z13" s="23">
        <f t="shared" si="23"/>
        <v>37468</v>
      </c>
      <c r="AA13" s="2">
        <f t="shared" si="24"/>
        <v>6707</v>
      </c>
      <c r="AB13" s="2">
        <f t="shared" si="25"/>
        <v>4616</v>
      </c>
      <c r="AC13" s="2">
        <f t="shared" si="26"/>
        <v>3570</v>
      </c>
      <c r="AD13" s="2">
        <f t="shared" si="27"/>
        <v>2943</v>
      </c>
      <c r="AE13" s="2">
        <f t="shared" si="28"/>
        <v>2525</v>
      </c>
      <c r="AF13" s="2">
        <f t="shared" si="29"/>
        <v>2002</v>
      </c>
      <c r="AG13" s="25">
        <f t="shared" si="30"/>
        <v>17497</v>
      </c>
      <c r="AH13" s="23">
        <f t="shared" si="31"/>
        <v>32493</v>
      </c>
      <c r="AI13" s="23">
        <f t="shared" si="32"/>
        <v>34968</v>
      </c>
      <c r="AJ13" s="2">
        <f t="shared" si="33"/>
        <v>6261</v>
      </c>
      <c r="AK13" s="2">
        <f t="shared" si="34"/>
        <v>4309</v>
      </c>
      <c r="AL13" s="2">
        <f t="shared" si="35"/>
        <v>3333</v>
      </c>
      <c r="AM13" s="2">
        <f t="shared" si="36"/>
        <v>2747</v>
      </c>
      <c r="AN13" s="2">
        <f t="shared" si="37"/>
        <v>2357</v>
      </c>
      <c r="AO13" s="2">
        <f t="shared" si="38"/>
        <v>1869</v>
      </c>
      <c r="AP13" s="25">
        <f t="shared" si="39"/>
        <v>19996</v>
      </c>
      <c r="AQ13" s="23">
        <f t="shared" si="40"/>
        <v>29994</v>
      </c>
      <c r="AR13" s="23">
        <f t="shared" si="41"/>
        <v>32469</v>
      </c>
      <c r="AS13" s="2">
        <f t="shared" si="42"/>
        <v>5816</v>
      </c>
      <c r="AT13" s="2">
        <f t="shared" si="43"/>
        <v>4003</v>
      </c>
      <c r="AU13" s="2">
        <f t="shared" si="44"/>
        <v>3096</v>
      </c>
      <c r="AV13" s="2">
        <f t="shared" si="45"/>
        <v>2552</v>
      </c>
      <c r="AW13" s="2">
        <f t="shared" si="46"/>
        <v>2189</v>
      </c>
      <c r="AX13" s="2">
        <f t="shared" si="47"/>
        <v>1736</v>
      </c>
    </row>
    <row r="14" ht="14.25" customHeight="1">
      <c r="A14" s="2" t="str">
        <f t="array" ref="A14">IFERROR(INDEX('Product Price'!A:A,SMALL('Product Price'!$D:$D,12)),"")</f>
        <v>HUAWEI Pura 90s 12/512 GB</v>
      </c>
      <c r="B14" s="23">
        <f t="array" ref="B14">IFERROR(INDEX('Product Price'!B:B,SMALL('Product Price'!$D:$D,12)),"")</f>
        <v>38990</v>
      </c>
      <c r="C14" s="2">
        <f t="array" ref="C14">IFERROR(INDEX('Product Price'!C:C,SMALL('Product Price'!$D:$D,12)),"")</f>
        <v>178</v>
      </c>
      <c r="D14" s="2">
        <f t="shared" si="1"/>
        <v>1900</v>
      </c>
      <c r="E14" s="23">
        <f t="shared" si="2"/>
        <v>40890</v>
      </c>
      <c r="F14" s="25">
        <f t="shared" si="3"/>
        <v>7798</v>
      </c>
      <c r="G14" s="23">
        <f t="shared" si="4"/>
        <v>31192</v>
      </c>
      <c r="H14" s="23">
        <f t="shared" si="5"/>
        <v>33092</v>
      </c>
      <c r="I14" s="2">
        <f t="shared" si="6"/>
        <v>5920</v>
      </c>
      <c r="J14" s="2">
        <f t="shared" si="7"/>
        <v>4074</v>
      </c>
      <c r="K14" s="2">
        <f t="shared" si="8"/>
        <v>3151</v>
      </c>
      <c r="L14" s="2">
        <f t="shared" si="9"/>
        <v>2598</v>
      </c>
      <c r="M14" s="2">
        <f t="shared" si="10"/>
        <v>2228</v>
      </c>
      <c r="N14" s="2">
        <f t="shared" si="11"/>
        <v>1767</v>
      </c>
      <c r="O14" s="25">
        <f t="shared" si="12"/>
        <v>9748</v>
      </c>
      <c r="P14" s="23">
        <f t="shared" si="13"/>
        <v>29242</v>
      </c>
      <c r="Q14" s="23">
        <f t="shared" si="14"/>
        <v>31142</v>
      </c>
      <c r="R14" s="2">
        <f t="shared" si="15"/>
        <v>5573</v>
      </c>
      <c r="S14" s="2">
        <f t="shared" si="16"/>
        <v>3835</v>
      </c>
      <c r="T14" s="2">
        <f t="shared" si="17"/>
        <v>2966</v>
      </c>
      <c r="U14" s="2">
        <f t="shared" si="18"/>
        <v>2445</v>
      </c>
      <c r="V14" s="2">
        <f t="shared" si="19"/>
        <v>2098</v>
      </c>
      <c r="W14" s="2">
        <f t="shared" si="20"/>
        <v>1663</v>
      </c>
      <c r="X14" s="25">
        <f t="shared" si="21"/>
        <v>11697</v>
      </c>
      <c r="Y14" s="23">
        <f t="shared" si="22"/>
        <v>27293</v>
      </c>
      <c r="Z14" s="23">
        <f t="shared" si="23"/>
        <v>29193</v>
      </c>
      <c r="AA14" s="2">
        <f t="shared" si="24"/>
        <v>5225</v>
      </c>
      <c r="AB14" s="2">
        <f t="shared" si="25"/>
        <v>3596</v>
      </c>
      <c r="AC14" s="2">
        <f t="shared" si="26"/>
        <v>2782</v>
      </c>
      <c r="AD14" s="2">
        <f t="shared" si="27"/>
        <v>2293</v>
      </c>
      <c r="AE14" s="2">
        <f t="shared" si="28"/>
        <v>1967</v>
      </c>
      <c r="AF14" s="2">
        <f t="shared" si="29"/>
        <v>1560</v>
      </c>
      <c r="AG14" s="25">
        <f t="shared" si="30"/>
        <v>13647</v>
      </c>
      <c r="AH14" s="23">
        <f t="shared" si="31"/>
        <v>25343</v>
      </c>
      <c r="AI14" s="23">
        <f t="shared" si="32"/>
        <v>27243</v>
      </c>
      <c r="AJ14" s="2">
        <f t="shared" si="33"/>
        <v>4878</v>
      </c>
      <c r="AK14" s="2">
        <f t="shared" si="34"/>
        <v>3357</v>
      </c>
      <c r="AL14" s="2">
        <f t="shared" si="35"/>
        <v>2597</v>
      </c>
      <c r="AM14" s="2">
        <f t="shared" si="36"/>
        <v>2140</v>
      </c>
      <c r="AN14" s="2">
        <f t="shared" si="37"/>
        <v>1836</v>
      </c>
      <c r="AO14" s="2">
        <f t="shared" si="38"/>
        <v>1456</v>
      </c>
      <c r="AP14" s="25">
        <f t="shared" si="39"/>
        <v>15596</v>
      </c>
      <c r="AQ14" s="23">
        <f t="shared" si="40"/>
        <v>23394</v>
      </c>
      <c r="AR14" s="23">
        <f t="shared" si="41"/>
        <v>25294</v>
      </c>
      <c r="AS14" s="2">
        <f t="shared" si="42"/>
        <v>4531</v>
      </c>
      <c r="AT14" s="2">
        <f t="shared" si="43"/>
        <v>3118</v>
      </c>
      <c r="AU14" s="2">
        <f t="shared" si="44"/>
        <v>2412</v>
      </c>
      <c r="AV14" s="2">
        <f t="shared" si="45"/>
        <v>1988</v>
      </c>
      <c r="AW14" s="2">
        <f t="shared" si="46"/>
        <v>1706</v>
      </c>
      <c r="AX14" s="2">
        <f t="shared" si="47"/>
        <v>1352</v>
      </c>
    </row>
    <row r="15" ht="14.25" customHeight="1">
      <c r="A15" s="2" t="str">
        <f t="array" ref="A15">IFERROR(INDEX('Product Price'!A:A,SMALL('Product Price'!$D:$D,13)),"")</f>
        <v>HUAWEI Pura 90s 12/256 GB</v>
      </c>
      <c r="B15" s="23">
        <f t="array" ref="B15">IFERROR(INDEX('Product Price'!B:B,SMALL('Product Price'!$D:$D,13)),"")</f>
        <v>34990</v>
      </c>
      <c r="C15" s="2">
        <f t="array" ref="C15">IFERROR(INDEX('Product Price'!C:C,SMALL('Product Price'!$D:$D,13)),"")</f>
        <v>179</v>
      </c>
      <c r="D15" s="2">
        <f t="shared" si="1"/>
        <v>1900</v>
      </c>
      <c r="E15" s="23">
        <f t="shared" si="2"/>
        <v>36890</v>
      </c>
      <c r="F15" s="25">
        <f t="shared" si="3"/>
        <v>6998</v>
      </c>
      <c r="G15" s="23">
        <f t="shared" si="4"/>
        <v>27992</v>
      </c>
      <c r="H15" s="23">
        <f t="shared" si="5"/>
        <v>29892</v>
      </c>
      <c r="I15" s="2">
        <f t="shared" si="6"/>
        <v>5350</v>
      </c>
      <c r="J15" s="2">
        <f t="shared" si="7"/>
        <v>3682</v>
      </c>
      <c r="K15" s="2">
        <f t="shared" si="8"/>
        <v>2848</v>
      </c>
      <c r="L15" s="2">
        <f t="shared" si="9"/>
        <v>2347</v>
      </c>
      <c r="M15" s="2">
        <f t="shared" si="10"/>
        <v>2014</v>
      </c>
      <c r="N15" s="2">
        <f t="shared" si="11"/>
        <v>1597</v>
      </c>
      <c r="O15" s="25">
        <f t="shared" si="12"/>
        <v>8748</v>
      </c>
      <c r="P15" s="23">
        <f t="shared" si="13"/>
        <v>26242</v>
      </c>
      <c r="Q15" s="23">
        <f t="shared" si="14"/>
        <v>28142</v>
      </c>
      <c r="R15" s="2">
        <f t="shared" si="15"/>
        <v>5038</v>
      </c>
      <c r="S15" s="2">
        <f t="shared" si="16"/>
        <v>3467</v>
      </c>
      <c r="T15" s="2">
        <f t="shared" si="17"/>
        <v>2682</v>
      </c>
      <c r="U15" s="2">
        <f t="shared" si="18"/>
        <v>2211</v>
      </c>
      <c r="V15" s="2">
        <f t="shared" si="19"/>
        <v>1896</v>
      </c>
      <c r="W15" s="2">
        <f t="shared" si="20"/>
        <v>1504</v>
      </c>
      <c r="X15" s="25">
        <f t="shared" si="21"/>
        <v>10497</v>
      </c>
      <c r="Y15" s="23">
        <f t="shared" si="22"/>
        <v>24493</v>
      </c>
      <c r="Z15" s="23">
        <f t="shared" si="23"/>
        <v>26393</v>
      </c>
      <c r="AA15" s="2">
        <f t="shared" si="24"/>
        <v>4727</v>
      </c>
      <c r="AB15" s="2">
        <f t="shared" si="25"/>
        <v>3253</v>
      </c>
      <c r="AC15" s="2">
        <f t="shared" si="26"/>
        <v>2516</v>
      </c>
      <c r="AD15" s="2">
        <f t="shared" si="27"/>
        <v>2074</v>
      </c>
      <c r="AE15" s="2">
        <f t="shared" si="28"/>
        <v>1779</v>
      </c>
      <c r="AF15" s="2">
        <f t="shared" si="29"/>
        <v>1411</v>
      </c>
      <c r="AG15" s="25">
        <f t="shared" si="30"/>
        <v>12247</v>
      </c>
      <c r="AH15" s="23">
        <f t="shared" si="31"/>
        <v>22743</v>
      </c>
      <c r="AI15" s="23">
        <f t="shared" si="32"/>
        <v>24643</v>
      </c>
      <c r="AJ15" s="2">
        <f t="shared" si="33"/>
        <v>4415</v>
      </c>
      <c r="AK15" s="2">
        <f t="shared" si="34"/>
        <v>3038</v>
      </c>
      <c r="AL15" s="2">
        <f t="shared" si="35"/>
        <v>2350</v>
      </c>
      <c r="AM15" s="2">
        <f t="shared" si="36"/>
        <v>1937</v>
      </c>
      <c r="AN15" s="2">
        <f t="shared" si="37"/>
        <v>1662</v>
      </c>
      <c r="AO15" s="2">
        <f t="shared" si="38"/>
        <v>1318</v>
      </c>
      <c r="AP15" s="25">
        <f t="shared" si="39"/>
        <v>13996</v>
      </c>
      <c r="AQ15" s="23">
        <f t="shared" si="40"/>
        <v>20994</v>
      </c>
      <c r="AR15" s="23">
        <f t="shared" si="41"/>
        <v>22894</v>
      </c>
      <c r="AS15" s="2">
        <f t="shared" si="42"/>
        <v>4103</v>
      </c>
      <c r="AT15" s="2">
        <f t="shared" si="43"/>
        <v>2824</v>
      </c>
      <c r="AU15" s="2">
        <f t="shared" si="44"/>
        <v>2184</v>
      </c>
      <c r="AV15" s="2">
        <f t="shared" si="45"/>
        <v>1800</v>
      </c>
      <c r="AW15" s="2">
        <f t="shared" si="46"/>
        <v>1545</v>
      </c>
      <c r="AX15" s="2">
        <f t="shared" si="47"/>
        <v>1225</v>
      </c>
    </row>
    <row r="16" ht="14.25" customHeight="1">
      <c r="A16" s="2" t="str">
        <f t="array" ref="A16">IFERROR(INDEX('Product Price'!A:A,SMALL('Product Price'!$D:$D,14)),"")</f>
        <v>HUAWEI 80 Pro 16/512 GB</v>
      </c>
      <c r="B16" s="23">
        <f t="array" ref="B16">IFERROR(INDEX('Product Price'!B:B,SMALL('Product Price'!$D:$D,14)),"")</f>
        <v>37990</v>
      </c>
      <c r="C16" s="2">
        <f t="array" ref="C16">IFERROR(INDEX('Product Price'!C:C,SMALL('Product Price'!$D:$D,14)),"")</f>
        <v>8</v>
      </c>
      <c r="D16" s="2">
        <f t="shared" si="1"/>
        <v>1900</v>
      </c>
      <c r="E16" s="23">
        <f t="shared" si="2"/>
        <v>39890</v>
      </c>
      <c r="F16" s="25">
        <f t="shared" si="3"/>
        <v>7598</v>
      </c>
      <c r="G16" s="23">
        <f t="shared" si="4"/>
        <v>30392</v>
      </c>
      <c r="H16" s="23">
        <f t="shared" si="5"/>
        <v>32292</v>
      </c>
      <c r="I16" s="2">
        <f t="shared" si="6"/>
        <v>5778</v>
      </c>
      <c r="J16" s="2">
        <f t="shared" si="7"/>
        <v>3976</v>
      </c>
      <c r="K16" s="2">
        <f t="shared" si="8"/>
        <v>3075</v>
      </c>
      <c r="L16" s="2">
        <f t="shared" si="9"/>
        <v>2535</v>
      </c>
      <c r="M16" s="2">
        <f t="shared" si="10"/>
        <v>2175</v>
      </c>
      <c r="N16" s="2">
        <f t="shared" si="11"/>
        <v>1724</v>
      </c>
      <c r="O16" s="25">
        <f t="shared" si="12"/>
        <v>9498</v>
      </c>
      <c r="P16" s="23">
        <f t="shared" si="13"/>
        <v>28492</v>
      </c>
      <c r="Q16" s="23">
        <f t="shared" si="14"/>
        <v>30392</v>
      </c>
      <c r="R16" s="2">
        <f t="shared" si="15"/>
        <v>5439</v>
      </c>
      <c r="S16" s="2">
        <f t="shared" si="16"/>
        <v>3743</v>
      </c>
      <c r="T16" s="2">
        <f t="shared" si="17"/>
        <v>2895</v>
      </c>
      <c r="U16" s="2">
        <f t="shared" si="18"/>
        <v>2387</v>
      </c>
      <c r="V16" s="2">
        <f t="shared" si="19"/>
        <v>2047</v>
      </c>
      <c r="W16" s="2">
        <f t="shared" si="20"/>
        <v>1623</v>
      </c>
      <c r="X16" s="25">
        <f t="shared" si="21"/>
        <v>11397</v>
      </c>
      <c r="Y16" s="23">
        <f t="shared" si="22"/>
        <v>26593</v>
      </c>
      <c r="Z16" s="23">
        <f t="shared" si="23"/>
        <v>28493</v>
      </c>
      <c r="AA16" s="2">
        <f t="shared" si="24"/>
        <v>5101</v>
      </c>
      <c r="AB16" s="2">
        <f t="shared" si="25"/>
        <v>3510</v>
      </c>
      <c r="AC16" s="2">
        <f t="shared" si="26"/>
        <v>2715</v>
      </c>
      <c r="AD16" s="2">
        <f t="shared" si="27"/>
        <v>2238</v>
      </c>
      <c r="AE16" s="2">
        <f t="shared" si="28"/>
        <v>1920</v>
      </c>
      <c r="AF16" s="2">
        <f t="shared" si="29"/>
        <v>1522</v>
      </c>
      <c r="AG16" s="25">
        <f t="shared" si="30"/>
        <v>13297</v>
      </c>
      <c r="AH16" s="23">
        <f t="shared" si="31"/>
        <v>24693</v>
      </c>
      <c r="AI16" s="23">
        <f t="shared" si="32"/>
        <v>26593</v>
      </c>
      <c r="AJ16" s="2">
        <f t="shared" si="33"/>
        <v>4762</v>
      </c>
      <c r="AK16" s="2">
        <f t="shared" si="34"/>
        <v>3277</v>
      </c>
      <c r="AL16" s="2">
        <f t="shared" si="35"/>
        <v>2535</v>
      </c>
      <c r="AM16" s="2">
        <f t="shared" si="36"/>
        <v>2090</v>
      </c>
      <c r="AN16" s="2">
        <f t="shared" si="37"/>
        <v>1793</v>
      </c>
      <c r="AO16" s="2">
        <f t="shared" si="38"/>
        <v>1421</v>
      </c>
      <c r="AP16" s="25">
        <f t="shared" si="39"/>
        <v>15196</v>
      </c>
      <c r="AQ16" s="23">
        <f t="shared" si="40"/>
        <v>22794</v>
      </c>
      <c r="AR16" s="23">
        <f t="shared" si="41"/>
        <v>24694</v>
      </c>
      <c r="AS16" s="2">
        <f t="shared" si="42"/>
        <v>4424</v>
      </c>
      <c r="AT16" s="2">
        <f t="shared" si="43"/>
        <v>3045</v>
      </c>
      <c r="AU16" s="2">
        <f t="shared" si="44"/>
        <v>2355</v>
      </c>
      <c r="AV16" s="2">
        <f t="shared" si="45"/>
        <v>1941</v>
      </c>
      <c r="AW16" s="2">
        <f t="shared" si="46"/>
        <v>1665</v>
      </c>
      <c r="AX16" s="2">
        <f t="shared" si="47"/>
        <v>1320</v>
      </c>
    </row>
    <row r="17" ht="14.25" customHeight="1">
      <c r="A17" s="2" t="str">
        <f t="array" ref="A17">IFERROR(INDEX('Product Price'!A:A,SMALL('Product Price'!$D:$D,15)),"")</f>
        <v>HUAWEI Pura 80 Ultra 16/512 GB</v>
      </c>
      <c r="B17" s="23">
        <f t="array" ref="B17">IFERROR(INDEX('Product Price'!B:B,SMALL('Product Price'!$D:$D,15)),"")</f>
        <v>39990</v>
      </c>
      <c r="C17" s="2">
        <f t="array" ref="C17">IFERROR(INDEX('Product Price'!C:C,SMALL('Product Price'!$D:$D,15)),"")</f>
        <v>9</v>
      </c>
      <c r="D17" s="2">
        <f t="shared" si="1"/>
        <v>1900</v>
      </c>
      <c r="E17" s="23">
        <f t="shared" si="2"/>
        <v>41890</v>
      </c>
      <c r="F17" s="25">
        <f t="shared" si="3"/>
        <v>7998</v>
      </c>
      <c r="G17" s="23">
        <f t="shared" si="4"/>
        <v>31992</v>
      </c>
      <c r="H17" s="23">
        <f t="shared" si="5"/>
        <v>33892</v>
      </c>
      <c r="I17" s="2">
        <f t="shared" si="6"/>
        <v>6063</v>
      </c>
      <c r="J17" s="2">
        <f t="shared" si="7"/>
        <v>4172</v>
      </c>
      <c r="K17" s="2">
        <f t="shared" si="8"/>
        <v>3227</v>
      </c>
      <c r="L17" s="2">
        <f t="shared" si="9"/>
        <v>2660</v>
      </c>
      <c r="M17" s="2">
        <f t="shared" si="10"/>
        <v>2282</v>
      </c>
      <c r="N17" s="2">
        <f t="shared" si="11"/>
        <v>1809</v>
      </c>
      <c r="O17" s="25">
        <f t="shared" si="12"/>
        <v>9998</v>
      </c>
      <c r="P17" s="23">
        <f t="shared" si="13"/>
        <v>29992</v>
      </c>
      <c r="Q17" s="23">
        <f t="shared" si="14"/>
        <v>31892</v>
      </c>
      <c r="R17" s="2">
        <f t="shared" si="15"/>
        <v>5706</v>
      </c>
      <c r="S17" s="2">
        <f t="shared" si="16"/>
        <v>3927</v>
      </c>
      <c r="T17" s="2">
        <f t="shared" si="17"/>
        <v>3038</v>
      </c>
      <c r="U17" s="2">
        <f t="shared" si="18"/>
        <v>2504</v>
      </c>
      <c r="V17" s="2">
        <f t="shared" si="19"/>
        <v>2148</v>
      </c>
      <c r="W17" s="2">
        <f t="shared" si="20"/>
        <v>1703</v>
      </c>
      <c r="X17" s="25">
        <f t="shared" si="21"/>
        <v>11997</v>
      </c>
      <c r="Y17" s="23">
        <f t="shared" si="22"/>
        <v>27993</v>
      </c>
      <c r="Z17" s="23">
        <f t="shared" si="23"/>
        <v>29893</v>
      </c>
      <c r="AA17" s="2">
        <f t="shared" si="24"/>
        <v>5350</v>
      </c>
      <c r="AB17" s="2">
        <f t="shared" si="25"/>
        <v>3682</v>
      </c>
      <c r="AC17" s="2">
        <f t="shared" si="26"/>
        <v>2848</v>
      </c>
      <c r="AD17" s="2">
        <f t="shared" si="27"/>
        <v>2348</v>
      </c>
      <c r="AE17" s="2">
        <f t="shared" si="28"/>
        <v>2014</v>
      </c>
      <c r="AF17" s="2">
        <f t="shared" si="29"/>
        <v>1597</v>
      </c>
      <c r="AG17" s="25">
        <f t="shared" si="30"/>
        <v>13997</v>
      </c>
      <c r="AH17" s="23">
        <f t="shared" si="31"/>
        <v>25993</v>
      </c>
      <c r="AI17" s="23">
        <f t="shared" si="32"/>
        <v>27893</v>
      </c>
      <c r="AJ17" s="2">
        <f t="shared" si="33"/>
        <v>4994</v>
      </c>
      <c r="AK17" s="2">
        <f t="shared" si="34"/>
        <v>3437</v>
      </c>
      <c r="AL17" s="2">
        <f t="shared" si="35"/>
        <v>2658</v>
      </c>
      <c r="AM17" s="2">
        <f t="shared" si="36"/>
        <v>2191</v>
      </c>
      <c r="AN17" s="2">
        <f t="shared" si="37"/>
        <v>1880</v>
      </c>
      <c r="AO17" s="2">
        <f t="shared" si="38"/>
        <v>1491</v>
      </c>
      <c r="AP17" s="25">
        <f t="shared" si="39"/>
        <v>15996</v>
      </c>
      <c r="AQ17" s="23">
        <f t="shared" si="40"/>
        <v>23994</v>
      </c>
      <c r="AR17" s="23">
        <f t="shared" si="41"/>
        <v>25894</v>
      </c>
      <c r="AS17" s="2">
        <f t="shared" si="42"/>
        <v>4638</v>
      </c>
      <c r="AT17" s="2">
        <f t="shared" si="43"/>
        <v>3192</v>
      </c>
      <c r="AU17" s="2">
        <f t="shared" si="44"/>
        <v>2469</v>
      </c>
      <c r="AV17" s="2">
        <f t="shared" si="45"/>
        <v>2035</v>
      </c>
      <c r="AW17" s="2">
        <f t="shared" si="46"/>
        <v>1746</v>
      </c>
      <c r="AX17" s="2">
        <f t="shared" si="47"/>
        <v>1384</v>
      </c>
    </row>
    <row r="18" ht="14.25" customHeight="1">
      <c r="A18" s="2" t="str">
        <f t="array" ref="A18">IFERROR(INDEX('Product Price'!A:A,SMALL('Product Price'!$D:$D,16)),"")</f>
        <v>HUAWEI Pura 80 Pro 12/512 GB</v>
      </c>
      <c r="B18" s="23">
        <f t="array" ref="B18">IFERROR(INDEX('Product Price'!B:B,SMALL('Product Price'!$D:$D,16)),"")</f>
        <v>29990</v>
      </c>
      <c r="C18" s="2">
        <f t="array" ref="C18">IFERROR(INDEX('Product Price'!C:C,SMALL('Product Price'!$D:$D,16)),"")</f>
        <v>10</v>
      </c>
      <c r="D18" s="2">
        <f t="shared" si="1"/>
        <v>1900</v>
      </c>
      <c r="E18" s="23">
        <f t="shared" si="2"/>
        <v>31890</v>
      </c>
      <c r="F18" s="25">
        <f t="shared" si="3"/>
        <v>5998</v>
      </c>
      <c r="G18" s="23">
        <f t="shared" si="4"/>
        <v>23992</v>
      </c>
      <c r="H18" s="23">
        <f t="shared" si="5"/>
        <v>25892</v>
      </c>
      <c r="I18" s="2">
        <f t="shared" si="6"/>
        <v>4637</v>
      </c>
      <c r="J18" s="2">
        <f t="shared" si="7"/>
        <v>3191</v>
      </c>
      <c r="K18" s="2">
        <f t="shared" si="8"/>
        <v>2469</v>
      </c>
      <c r="L18" s="2">
        <f t="shared" si="9"/>
        <v>2035</v>
      </c>
      <c r="M18" s="2">
        <f t="shared" si="10"/>
        <v>1746</v>
      </c>
      <c r="N18" s="2">
        <f t="shared" si="11"/>
        <v>1384</v>
      </c>
      <c r="O18" s="25">
        <f t="shared" si="12"/>
        <v>7498</v>
      </c>
      <c r="P18" s="23">
        <f t="shared" si="13"/>
        <v>22492</v>
      </c>
      <c r="Q18" s="23">
        <f t="shared" si="14"/>
        <v>24392</v>
      </c>
      <c r="R18" s="2">
        <f t="shared" si="15"/>
        <v>4370</v>
      </c>
      <c r="S18" s="2">
        <f t="shared" si="16"/>
        <v>3008</v>
      </c>
      <c r="T18" s="2">
        <f t="shared" si="17"/>
        <v>2326</v>
      </c>
      <c r="U18" s="2">
        <f t="shared" si="18"/>
        <v>1918</v>
      </c>
      <c r="V18" s="2">
        <f t="shared" si="19"/>
        <v>1645</v>
      </c>
      <c r="W18" s="2">
        <f t="shared" si="20"/>
        <v>1304</v>
      </c>
      <c r="X18" s="25">
        <f t="shared" si="21"/>
        <v>8997</v>
      </c>
      <c r="Y18" s="23">
        <f t="shared" si="22"/>
        <v>20993</v>
      </c>
      <c r="Z18" s="23">
        <f t="shared" si="23"/>
        <v>22893</v>
      </c>
      <c r="AA18" s="2">
        <f t="shared" si="24"/>
        <v>4103</v>
      </c>
      <c r="AB18" s="2">
        <f t="shared" si="25"/>
        <v>2824</v>
      </c>
      <c r="AC18" s="2">
        <f t="shared" si="26"/>
        <v>2184</v>
      </c>
      <c r="AD18" s="2">
        <f t="shared" si="27"/>
        <v>1800</v>
      </c>
      <c r="AE18" s="2">
        <f t="shared" si="28"/>
        <v>1545</v>
      </c>
      <c r="AF18" s="2">
        <f t="shared" si="29"/>
        <v>1225</v>
      </c>
      <c r="AG18" s="25">
        <f t="shared" si="30"/>
        <v>10497</v>
      </c>
      <c r="AH18" s="23">
        <f t="shared" si="31"/>
        <v>19493</v>
      </c>
      <c r="AI18" s="23">
        <f t="shared" si="32"/>
        <v>21393</v>
      </c>
      <c r="AJ18" s="2">
        <f t="shared" si="33"/>
        <v>3836</v>
      </c>
      <c r="AK18" s="2">
        <f t="shared" si="34"/>
        <v>2640</v>
      </c>
      <c r="AL18" s="2">
        <f t="shared" si="35"/>
        <v>2042</v>
      </c>
      <c r="AM18" s="2">
        <f t="shared" si="36"/>
        <v>1683</v>
      </c>
      <c r="AN18" s="2">
        <f t="shared" si="37"/>
        <v>1444</v>
      </c>
      <c r="AO18" s="2">
        <f t="shared" si="38"/>
        <v>1145</v>
      </c>
      <c r="AP18" s="25">
        <f t="shared" si="39"/>
        <v>11996</v>
      </c>
      <c r="AQ18" s="23">
        <f t="shared" si="40"/>
        <v>17994</v>
      </c>
      <c r="AR18" s="23">
        <f t="shared" si="41"/>
        <v>19894</v>
      </c>
      <c r="AS18" s="2">
        <f t="shared" si="42"/>
        <v>3569</v>
      </c>
      <c r="AT18" s="2">
        <f t="shared" si="43"/>
        <v>2456</v>
      </c>
      <c r="AU18" s="2">
        <f t="shared" si="44"/>
        <v>1900</v>
      </c>
      <c r="AV18" s="2">
        <f t="shared" si="45"/>
        <v>1566</v>
      </c>
      <c r="AW18" s="2">
        <f t="shared" si="46"/>
        <v>1343</v>
      </c>
      <c r="AX18" s="2">
        <f t="shared" si="47"/>
        <v>1065</v>
      </c>
    </row>
    <row r="19" ht="14.25" customHeight="1">
      <c r="A19" s="2" t="str">
        <f t="array" ref="A19">IFERROR(INDEX('Product Price'!A:A,SMALL('Product Price'!$D:$D,17)),"")</f>
        <v>HUAWEI Pura 80 12/256 GB</v>
      </c>
      <c r="B19" s="23">
        <f t="array" ref="B19">IFERROR(INDEX('Product Price'!B:B,SMALL('Product Price'!$D:$D,17)),"")</f>
        <v>19990</v>
      </c>
      <c r="C19" s="2">
        <f t="array" ref="C19">IFERROR(INDEX('Product Price'!C:C,SMALL('Product Price'!$D:$D,17)),"")</f>
        <v>11</v>
      </c>
      <c r="D19" s="2">
        <f t="shared" si="1"/>
        <v>1450</v>
      </c>
      <c r="E19" s="23">
        <f t="shared" si="2"/>
        <v>21440</v>
      </c>
      <c r="F19" s="25">
        <f t="shared" si="3"/>
        <v>3998</v>
      </c>
      <c r="G19" s="23">
        <f t="shared" si="4"/>
        <v>15992</v>
      </c>
      <c r="H19" s="23">
        <f t="shared" si="5"/>
        <v>17442</v>
      </c>
      <c r="I19" s="2">
        <f t="shared" si="6"/>
        <v>3126</v>
      </c>
      <c r="J19" s="2">
        <f t="shared" si="7"/>
        <v>2152</v>
      </c>
      <c r="K19" s="2">
        <f t="shared" si="8"/>
        <v>1664</v>
      </c>
      <c r="L19" s="2">
        <f t="shared" si="9"/>
        <v>1372</v>
      </c>
      <c r="M19" s="2">
        <f t="shared" si="10"/>
        <v>1177</v>
      </c>
      <c r="N19" s="2">
        <f t="shared" si="11"/>
        <v>933</v>
      </c>
      <c r="O19" s="25">
        <f t="shared" si="12"/>
        <v>4998</v>
      </c>
      <c r="P19" s="23">
        <f t="shared" si="13"/>
        <v>14992</v>
      </c>
      <c r="Q19" s="23">
        <f t="shared" si="14"/>
        <v>16442</v>
      </c>
      <c r="R19" s="2">
        <f t="shared" si="15"/>
        <v>2948</v>
      </c>
      <c r="S19" s="2">
        <f t="shared" si="16"/>
        <v>2029</v>
      </c>
      <c r="T19" s="2">
        <f t="shared" si="17"/>
        <v>1569</v>
      </c>
      <c r="U19" s="2">
        <f t="shared" si="18"/>
        <v>1294</v>
      </c>
      <c r="V19" s="2">
        <f t="shared" si="19"/>
        <v>1110</v>
      </c>
      <c r="W19" s="2">
        <f t="shared" si="20"/>
        <v>880</v>
      </c>
      <c r="X19" s="25">
        <f t="shared" si="21"/>
        <v>5997</v>
      </c>
      <c r="Y19" s="23">
        <f t="shared" si="22"/>
        <v>13993</v>
      </c>
      <c r="Z19" s="23">
        <f t="shared" si="23"/>
        <v>15443</v>
      </c>
      <c r="AA19" s="2">
        <f t="shared" si="24"/>
        <v>2770</v>
      </c>
      <c r="AB19" s="2">
        <f t="shared" si="25"/>
        <v>1906</v>
      </c>
      <c r="AC19" s="2">
        <f t="shared" si="26"/>
        <v>1475</v>
      </c>
      <c r="AD19" s="2">
        <f t="shared" si="27"/>
        <v>1216</v>
      </c>
      <c r="AE19" s="2">
        <f t="shared" si="28"/>
        <v>1043</v>
      </c>
      <c r="AF19" s="2">
        <f t="shared" si="29"/>
        <v>827</v>
      </c>
      <c r="AG19" s="25">
        <f t="shared" si="30"/>
        <v>6997</v>
      </c>
      <c r="AH19" s="23">
        <f t="shared" si="31"/>
        <v>12993</v>
      </c>
      <c r="AI19" s="23">
        <f t="shared" si="32"/>
        <v>14443</v>
      </c>
      <c r="AJ19" s="2">
        <f t="shared" si="33"/>
        <v>2592</v>
      </c>
      <c r="AK19" s="2">
        <f t="shared" si="34"/>
        <v>1784</v>
      </c>
      <c r="AL19" s="2">
        <f t="shared" si="35"/>
        <v>1380</v>
      </c>
      <c r="AM19" s="2">
        <f t="shared" si="36"/>
        <v>1137</v>
      </c>
      <c r="AN19" s="2">
        <f t="shared" si="37"/>
        <v>976</v>
      </c>
      <c r="AO19" s="2">
        <f t="shared" si="38"/>
        <v>774</v>
      </c>
      <c r="AP19" s="25">
        <f t="shared" si="39"/>
        <v>7996</v>
      </c>
      <c r="AQ19" s="23">
        <f t="shared" si="40"/>
        <v>11994</v>
      </c>
      <c r="AR19" s="23">
        <f t="shared" si="41"/>
        <v>13444</v>
      </c>
      <c r="AS19" s="2">
        <f t="shared" si="42"/>
        <v>2414</v>
      </c>
      <c r="AT19" s="2">
        <f t="shared" si="43"/>
        <v>1661</v>
      </c>
      <c r="AU19" s="2">
        <f t="shared" si="44"/>
        <v>1285</v>
      </c>
      <c r="AV19" s="2">
        <f t="shared" si="45"/>
        <v>1059</v>
      </c>
      <c r="AW19" s="2">
        <f t="shared" si="46"/>
        <v>909</v>
      </c>
      <c r="AX19" s="2">
        <f t="shared" si="47"/>
        <v>721</v>
      </c>
    </row>
    <row r="20" ht="14.25" customHeight="1">
      <c r="A20" s="2" t="str">
        <f t="array" ref="A20">IFERROR(INDEX('Product Price'!A:A,SMALL('Product Price'!$D:$D,18)),"")</f>
        <v>HUAWEI Nova 14 Pro 12/512 GB</v>
      </c>
      <c r="B20" s="23">
        <f t="array" ref="B20">IFERROR(INDEX('Product Price'!B:B,SMALL('Product Price'!$D:$D,18)),"")</f>
        <v>15990</v>
      </c>
      <c r="C20" s="2">
        <f t="array" ref="C20">IFERROR(INDEX('Product Price'!C:C,SMALL('Product Price'!$D:$D,18)),"")</f>
        <v>12</v>
      </c>
      <c r="D20" s="2">
        <f t="shared" si="1"/>
        <v>1450</v>
      </c>
      <c r="E20" s="23">
        <f t="shared" si="2"/>
        <v>17440</v>
      </c>
      <c r="F20" s="25">
        <f t="shared" si="3"/>
        <v>3198</v>
      </c>
      <c r="G20" s="23">
        <f t="shared" si="4"/>
        <v>12792</v>
      </c>
      <c r="H20" s="23">
        <f t="shared" si="5"/>
        <v>14242</v>
      </c>
      <c r="I20" s="2">
        <f t="shared" si="6"/>
        <v>2556</v>
      </c>
      <c r="J20" s="2">
        <f t="shared" si="7"/>
        <v>1759</v>
      </c>
      <c r="K20" s="2">
        <f t="shared" si="8"/>
        <v>1361</v>
      </c>
      <c r="L20" s="2">
        <f t="shared" si="9"/>
        <v>1122</v>
      </c>
      <c r="M20" s="2">
        <f t="shared" si="10"/>
        <v>962</v>
      </c>
      <c r="N20" s="2">
        <f t="shared" si="11"/>
        <v>763</v>
      </c>
      <c r="O20" s="25">
        <f t="shared" si="12"/>
        <v>3998</v>
      </c>
      <c r="P20" s="23">
        <f t="shared" si="13"/>
        <v>11992</v>
      </c>
      <c r="Q20" s="23">
        <f t="shared" si="14"/>
        <v>13442</v>
      </c>
      <c r="R20" s="2">
        <f t="shared" si="15"/>
        <v>2414</v>
      </c>
      <c r="S20" s="2">
        <f t="shared" si="16"/>
        <v>1661</v>
      </c>
      <c r="T20" s="2">
        <f t="shared" si="17"/>
        <v>1285</v>
      </c>
      <c r="U20" s="2">
        <f t="shared" si="18"/>
        <v>1059</v>
      </c>
      <c r="V20" s="2">
        <f t="shared" si="19"/>
        <v>909</v>
      </c>
      <c r="W20" s="2">
        <f t="shared" si="20"/>
        <v>721</v>
      </c>
      <c r="X20" s="25">
        <f t="shared" si="21"/>
        <v>4797</v>
      </c>
      <c r="Y20" s="23">
        <f t="shared" si="22"/>
        <v>11193</v>
      </c>
      <c r="Z20" s="23">
        <f t="shared" si="23"/>
        <v>12643</v>
      </c>
      <c r="AA20" s="2">
        <f t="shared" si="24"/>
        <v>2271</v>
      </c>
      <c r="AB20" s="2">
        <f t="shared" si="25"/>
        <v>1563</v>
      </c>
      <c r="AC20" s="2">
        <f t="shared" si="26"/>
        <v>1209</v>
      </c>
      <c r="AD20" s="2">
        <f t="shared" si="27"/>
        <v>997</v>
      </c>
      <c r="AE20" s="2">
        <f t="shared" si="28"/>
        <v>855</v>
      </c>
      <c r="AF20" s="2">
        <f t="shared" si="29"/>
        <v>678</v>
      </c>
      <c r="AG20" s="25">
        <f t="shared" si="30"/>
        <v>5597</v>
      </c>
      <c r="AH20" s="23">
        <f t="shared" si="31"/>
        <v>10393</v>
      </c>
      <c r="AI20" s="23">
        <f t="shared" si="32"/>
        <v>11843</v>
      </c>
      <c r="AJ20" s="2">
        <f t="shared" si="33"/>
        <v>2129</v>
      </c>
      <c r="AK20" s="2">
        <f t="shared" si="34"/>
        <v>1465</v>
      </c>
      <c r="AL20" s="2">
        <f t="shared" si="35"/>
        <v>1133</v>
      </c>
      <c r="AM20" s="2">
        <f t="shared" si="36"/>
        <v>934</v>
      </c>
      <c r="AN20" s="2">
        <f t="shared" si="37"/>
        <v>801</v>
      </c>
      <c r="AO20" s="2">
        <f t="shared" si="38"/>
        <v>636</v>
      </c>
      <c r="AP20" s="25">
        <f t="shared" si="39"/>
        <v>6396</v>
      </c>
      <c r="AQ20" s="23">
        <f t="shared" si="40"/>
        <v>9594</v>
      </c>
      <c r="AR20" s="23">
        <f t="shared" si="41"/>
        <v>11044</v>
      </c>
      <c r="AS20" s="2">
        <f t="shared" si="42"/>
        <v>1986</v>
      </c>
      <c r="AT20" s="2">
        <f t="shared" si="43"/>
        <v>1367</v>
      </c>
      <c r="AU20" s="2">
        <f t="shared" si="44"/>
        <v>1057</v>
      </c>
      <c r="AV20" s="2">
        <f t="shared" si="45"/>
        <v>872</v>
      </c>
      <c r="AW20" s="2">
        <f t="shared" si="46"/>
        <v>748</v>
      </c>
      <c r="AX20" s="2">
        <f t="shared" si="47"/>
        <v>593</v>
      </c>
    </row>
    <row r="21" ht="14.25" customHeight="1">
      <c r="A21" s="2" t="str">
        <f t="array" ref="A21">IFERROR(INDEX('Product Price'!A:A,SMALL('Product Price'!$D:$D,19)),"")</f>
        <v>HUAWEI Nova 14 12/256 GB</v>
      </c>
      <c r="B21" s="23">
        <f t="array" ref="B21">IFERROR(INDEX('Product Price'!B:B,SMALL('Product Price'!$D:$D,19)),"")</f>
        <v>11990</v>
      </c>
      <c r="C21" s="2">
        <f t="array" ref="C21">IFERROR(INDEX('Product Price'!C:C,SMALL('Product Price'!$D:$D,19)),"")</f>
        <v>13</v>
      </c>
      <c r="D21" s="2">
        <f t="shared" si="1"/>
        <v>1450</v>
      </c>
      <c r="E21" s="23">
        <f t="shared" si="2"/>
        <v>13440</v>
      </c>
      <c r="F21" s="25">
        <f t="shared" si="3"/>
        <v>2398</v>
      </c>
      <c r="G21" s="23">
        <f t="shared" si="4"/>
        <v>9592</v>
      </c>
      <c r="H21" s="23">
        <f t="shared" si="5"/>
        <v>11042</v>
      </c>
      <c r="I21" s="2">
        <f t="shared" si="6"/>
        <v>1986</v>
      </c>
      <c r="J21" s="2">
        <f t="shared" si="7"/>
        <v>1367</v>
      </c>
      <c r="K21" s="2">
        <f t="shared" si="8"/>
        <v>1057</v>
      </c>
      <c r="L21" s="2">
        <f t="shared" si="9"/>
        <v>872</v>
      </c>
      <c r="M21" s="2">
        <f t="shared" si="10"/>
        <v>748</v>
      </c>
      <c r="N21" s="2">
        <f t="shared" si="11"/>
        <v>593</v>
      </c>
      <c r="O21" s="25">
        <f t="shared" si="12"/>
        <v>2998</v>
      </c>
      <c r="P21" s="23">
        <f t="shared" si="13"/>
        <v>8992</v>
      </c>
      <c r="Q21" s="23">
        <f t="shared" si="14"/>
        <v>10442</v>
      </c>
      <c r="R21" s="2">
        <f t="shared" si="15"/>
        <v>1879</v>
      </c>
      <c r="S21" s="2">
        <f t="shared" si="16"/>
        <v>1293</v>
      </c>
      <c r="T21" s="2">
        <f t="shared" si="17"/>
        <v>1000</v>
      </c>
      <c r="U21" s="2">
        <f t="shared" si="18"/>
        <v>825</v>
      </c>
      <c r="V21" s="2">
        <f t="shared" si="19"/>
        <v>708</v>
      </c>
      <c r="W21" s="2">
        <f t="shared" si="20"/>
        <v>561</v>
      </c>
      <c r="X21" s="25">
        <f t="shared" si="21"/>
        <v>3597</v>
      </c>
      <c r="Y21" s="23">
        <f t="shared" si="22"/>
        <v>8393</v>
      </c>
      <c r="Z21" s="23">
        <f t="shared" si="23"/>
        <v>9843</v>
      </c>
      <c r="AA21" s="2">
        <f t="shared" si="24"/>
        <v>1772</v>
      </c>
      <c r="AB21" s="2">
        <f t="shared" si="25"/>
        <v>1220</v>
      </c>
      <c r="AC21" s="2">
        <f t="shared" si="26"/>
        <v>944</v>
      </c>
      <c r="AD21" s="2">
        <f t="shared" si="27"/>
        <v>778</v>
      </c>
      <c r="AE21" s="2">
        <f t="shared" si="28"/>
        <v>667</v>
      </c>
      <c r="AF21" s="2">
        <f t="shared" si="29"/>
        <v>529</v>
      </c>
      <c r="AG21" s="25">
        <f t="shared" si="30"/>
        <v>4197</v>
      </c>
      <c r="AH21" s="23">
        <f t="shared" si="31"/>
        <v>7793</v>
      </c>
      <c r="AI21" s="23">
        <f t="shared" si="32"/>
        <v>9243</v>
      </c>
      <c r="AJ21" s="2">
        <f t="shared" si="33"/>
        <v>1665</v>
      </c>
      <c r="AK21" s="2">
        <f t="shared" si="34"/>
        <v>1146</v>
      </c>
      <c r="AL21" s="2">
        <f t="shared" si="35"/>
        <v>887</v>
      </c>
      <c r="AM21" s="2">
        <f t="shared" si="36"/>
        <v>731</v>
      </c>
      <c r="AN21" s="2">
        <f t="shared" si="37"/>
        <v>627</v>
      </c>
      <c r="AO21" s="2">
        <f t="shared" si="38"/>
        <v>497</v>
      </c>
      <c r="AP21" s="25">
        <f t="shared" si="39"/>
        <v>4796</v>
      </c>
      <c r="AQ21" s="23">
        <f t="shared" si="40"/>
        <v>7194</v>
      </c>
      <c r="AR21" s="23">
        <f t="shared" si="41"/>
        <v>8644</v>
      </c>
      <c r="AS21" s="2">
        <f t="shared" si="42"/>
        <v>1559</v>
      </c>
      <c r="AT21" s="2">
        <f t="shared" si="43"/>
        <v>1073</v>
      </c>
      <c r="AU21" s="2">
        <f t="shared" si="44"/>
        <v>830</v>
      </c>
      <c r="AV21" s="2">
        <f t="shared" si="45"/>
        <v>684</v>
      </c>
      <c r="AW21" s="2">
        <f t="shared" si="46"/>
        <v>587</v>
      </c>
      <c r="AX21" s="2" t="str">
        <f t="shared" si="47"/>
        <v>-</v>
      </c>
    </row>
    <row r="22" ht="14.25" customHeight="1">
      <c r="A22" s="2" t="str">
        <f t="array" ref="A22">IFERROR(INDEX('Product Price'!A:A,SMALL('Product Price'!$D:$D,20)),"")</f>
        <v>HUAWEI Nova Y73 8/256 GB</v>
      </c>
      <c r="B22" s="23">
        <f t="array" ref="B22">IFERROR(INDEX('Product Price'!B:B,SMALL('Product Price'!$D:$D,20)),"")</f>
        <v>5990</v>
      </c>
      <c r="C22" s="2">
        <f t="array" ref="C22">IFERROR(INDEX('Product Price'!C:C,SMALL('Product Price'!$D:$D,20)),"")</f>
        <v>14</v>
      </c>
      <c r="D22" s="2">
        <f t="shared" si="1"/>
        <v>795</v>
      </c>
      <c r="E22" s="23">
        <f t="shared" si="2"/>
        <v>6785</v>
      </c>
      <c r="F22" s="25">
        <f t="shared" si="3"/>
        <v>1198</v>
      </c>
      <c r="G22" s="23">
        <f t="shared" si="4"/>
        <v>4792</v>
      </c>
      <c r="H22" s="23">
        <f t="shared" si="5"/>
        <v>5587</v>
      </c>
      <c r="I22" s="2">
        <f t="shared" si="6"/>
        <v>1006</v>
      </c>
      <c r="J22" s="2">
        <f t="shared" si="7"/>
        <v>692</v>
      </c>
      <c r="K22" s="2">
        <f t="shared" si="8"/>
        <v>536</v>
      </c>
      <c r="L22" s="2" t="str">
        <f t="shared" si="9"/>
        <v>-</v>
      </c>
      <c r="M22" s="2" t="str">
        <f t="shared" si="10"/>
        <v>-</v>
      </c>
      <c r="N22" s="2" t="str">
        <f t="shared" si="11"/>
        <v>-</v>
      </c>
      <c r="O22" s="25">
        <f t="shared" si="12"/>
        <v>1498</v>
      </c>
      <c r="P22" s="23">
        <f t="shared" si="13"/>
        <v>4492</v>
      </c>
      <c r="Q22" s="23">
        <f t="shared" si="14"/>
        <v>5287</v>
      </c>
      <c r="R22" s="2">
        <f t="shared" si="15"/>
        <v>952</v>
      </c>
      <c r="S22" s="2">
        <f t="shared" si="16"/>
        <v>656</v>
      </c>
      <c r="T22" s="2">
        <f t="shared" si="17"/>
        <v>507</v>
      </c>
      <c r="U22" s="2" t="str">
        <f t="shared" si="18"/>
        <v>-</v>
      </c>
      <c r="V22" s="2" t="str">
        <f t="shared" si="19"/>
        <v>-</v>
      </c>
      <c r="W22" s="2" t="str">
        <f t="shared" si="20"/>
        <v>-</v>
      </c>
      <c r="X22" s="25">
        <f t="shared" si="21"/>
        <v>1797</v>
      </c>
      <c r="Y22" s="23">
        <f t="shared" si="22"/>
        <v>4193</v>
      </c>
      <c r="Z22" s="23">
        <f t="shared" si="23"/>
        <v>4988</v>
      </c>
      <c r="AA22" s="2">
        <f t="shared" si="24"/>
        <v>899</v>
      </c>
      <c r="AB22" s="2">
        <f t="shared" si="25"/>
        <v>619</v>
      </c>
      <c r="AC22" s="2" t="str">
        <f t="shared" si="26"/>
        <v>-</v>
      </c>
      <c r="AD22" s="2" t="str">
        <f t="shared" si="27"/>
        <v>-</v>
      </c>
      <c r="AE22" s="2" t="str">
        <f t="shared" si="28"/>
        <v>-</v>
      </c>
      <c r="AF22" s="2" t="str">
        <f t="shared" si="29"/>
        <v>-</v>
      </c>
      <c r="AG22" s="25">
        <f t="shared" si="30"/>
        <v>2097</v>
      </c>
      <c r="AH22" s="23">
        <f t="shared" si="31"/>
        <v>3893</v>
      </c>
      <c r="AI22" s="23">
        <f t="shared" si="32"/>
        <v>4688</v>
      </c>
      <c r="AJ22" s="2">
        <f t="shared" si="33"/>
        <v>846</v>
      </c>
      <c r="AK22" s="2">
        <f t="shared" si="34"/>
        <v>582</v>
      </c>
      <c r="AL22" s="2" t="str">
        <f t="shared" si="35"/>
        <v>-</v>
      </c>
      <c r="AM22" s="2" t="str">
        <f t="shared" si="36"/>
        <v>-</v>
      </c>
      <c r="AN22" s="2" t="str">
        <f t="shared" si="37"/>
        <v>-</v>
      </c>
      <c r="AO22" s="2" t="str">
        <f t="shared" si="38"/>
        <v>-</v>
      </c>
      <c r="AP22" s="25">
        <f t="shared" si="39"/>
        <v>2396</v>
      </c>
      <c r="AQ22" s="23">
        <f t="shared" si="40"/>
        <v>3594</v>
      </c>
      <c r="AR22" s="23">
        <f t="shared" si="41"/>
        <v>4389</v>
      </c>
      <c r="AS22" s="2">
        <f t="shared" si="42"/>
        <v>792</v>
      </c>
      <c r="AT22" s="2">
        <f t="shared" si="43"/>
        <v>545</v>
      </c>
      <c r="AU22" s="2" t="str">
        <f t="shared" si="44"/>
        <v>-</v>
      </c>
      <c r="AV22" s="2" t="str">
        <f t="shared" si="45"/>
        <v>-</v>
      </c>
      <c r="AW22" s="2" t="str">
        <f t="shared" si="46"/>
        <v>-</v>
      </c>
      <c r="AX22" s="2" t="str">
        <f t="shared" si="47"/>
        <v>-</v>
      </c>
    </row>
    <row r="23" ht="14.25" customHeight="1">
      <c r="A23" s="2" t="str">
        <f t="array" ref="A23">IFERROR(INDEX('Product Price'!A:A,SMALL('Product Price'!$D:$D,21)),"")</f>
        <v>HUAWEI MatePad ProMax 12/512 GB</v>
      </c>
      <c r="B23" s="23">
        <f t="array" ref="B23">IFERROR(INDEX('Product Price'!B:B,SMALL('Product Price'!$D:$D,21)),"")</f>
        <v>52990</v>
      </c>
      <c r="C23" s="2">
        <f t="array" ref="C23">IFERROR(INDEX('Product Price'!C:C,SMALL('Product Price'!$D:$D,21)),"")</f>
        <v>180</v>
      </c>
      <c r="D23" s="2">
        <f t="shared" si="1"/>
        <v>2475</v>
      </c>
      <c r="E23" s="23">
        <f t="shared" si="2"/>
        <v>55465</v>
      </c>
      <c r="F23" s="25">
        <f t="shared" si="3"/>
        <v>10598</v>
      </c>
      <c r="G23" s="23">
        <f t="shared" si="4"/>
        <v>42392</v>
      </c>
      <c r="H23" s="23">
        <f t="shared" si="5"/>
        <v>44867</v>
      </c>
      <c r="I23" s="2">
        <f t="shared" si="6"/>
        <v>8025</v>
      </c>
      <c r="J23" s="2">
        <f t="shared" si="7"/>
        <v>5523</v>
      </c>
      <c r="K23" s="2">
        <f t="shared" si="8"/>
        <v>4272</v>
      </c>
      <c r="L23" s="2">
        <f t="shared" si="9"/>
        <v>3521</v>
      </c>
      <c r="M23" s="2">
        <f t="shared" si="10"/>
        <v>3021</v>
      </c>
      <c r="N23" s="2">
        <f t="shared" si="11"/>
        <v>2395</v>
      </c>
      <c r="O23" s="25">
        <f t="shared" si="12"/>
        <v>13248</v>
      </c>
      <c r="P23" s="23">
        <f t="shared" si="13"/>
        <v>39742</v>
      </c>
      <c r="Q23" s="23">
        <f t="shared" si="14"/>
        <v>42217</v>
      </c>
      <c r="R23" s="2">
        <f t="shared" si="15"/>
        <v>7553</v>
      </c>
      <c r="S23" s="2">
        <f t="shared" si="16"/>
        <v>5198</v>
      </c>
      <c r="T23" s="2">
        <f t="shared" si="17"/>
        <v>4021</v>
      </c>
      <c r="U23" s="2">
        <f t="shared" si="18"/>
        <v>3314</v>
      </c>
      <c r="V23" s="2">
        <f t="shared" si="19"/>
        <v>2843</v>
      </c>
      <c r="W23" s="2">
        <f t="shared" si="20"/>
        <v>2254</v>
      </c>
      <c r="X23" s="25">
        <f t="shared" si="21"/>
        <v>15897</v>
      </c>
      <c r="Y23" s="23">
        <f t="shared" si="22"/>
        <v>37093</v>
      </c>
      <c r="Z23" s="23">
        <f t="shared" si="23"/>
        <v>39568</v>
      </c>
      <c r="AA23" s="2">
        <f t="shared" si="24"/>
        <v>7081</v>
      </c>
      <c r="AB23" s="2">
        <f t="shared" si="25"/>
        <v>4873</v>
      </c>
      <c r="AC23" s="2">
        <f t="shared" si="26"/>
        <v>3769</v>
      </c>
      <c r="AD23" s="2">
        <f t="shared" si="27"/>
        <v>3107</v>
      </c>
      <c r="AE23" s="2">
        <f t="shared" si="28"/>
        <v>2665</v>
      </c>
      <c r="AF23" s="2">
        <f t="shared" si="29"/>
        <v>2113</v>
      </c>
      <c r="AG23" s="25">
        <f t="shared" si="30"/>
        <v>18547</v>
      </c>
      <c r="AH23" s="23">
        <f t="shared" si="31"/>
        <v>34443</v>
      </c>
      <c r="AI23" s="23">
        <f t="shared" si="32"/>
        <v>36918</v>
      </c>
      <c r="AJ23" s="2">
        <f t="shared" si="33"/>
        <v>6609</v>
      </c>
      <c r="AK23" s="2">
        <f t="shared" si="34"/>
        <v>4548</v>
      </c>
      <c r="AL23" s="2">
        <f t="shared" si="35"/>
        <v>3518</v>
      </c>
      <c r="AM23" s="2">
        <f t="shared" si="36"/>
        <v>2900</v>
      </c>
      <c r="AN23" s="2">
        <f t="shared" si="37"/>
        <v>2488</v>
      </c>
      <c r="AO23" s="2">
        <f t="shared" si="38"/>
        <v>1973</v>
      </c>
      <c r="AP23" s="25">
        <f t="shared" si="39"/>
        <v>21196</v>
      </c>
      <c r="AQ23" s="23">
        <f t="shared" si="40"/>
        <v>31794</v>
      </c>
      <c r="AR23" s="23">
        <f t="shared" si="41"/>
        <v>34269</v>
      </c>
      <c r="AS23" s="2">
        <f t="shared" si="42"/>
        <v>6137</v>
      </c>
      <c r="AT23" s="2">
        <f t="shared" si="43"/>
        <v>4224</v>
      </c>
      <c r="AU23" s="2">
        <f t="shared" si="44"/>
        <v>3267</v>
      </c>
      <c r="AV23" s="2">
        <f t="shared" si="45"/>
        <v>2693</v>
      </c>
      <c r="AW23" s="2">
        <f t="shared" si="46"/>
        <v>2310</v>
      </c>
      <c r="AX23" s="2">
        <f t="shared" si="47"/>
        <v>1832</v>
      </c>
    </row>
    <row r="24" ht="14.25" customHeight="1">
      <c r="A24" s="2" t="str">
        <f t="array" ref="A24">IFERROR(INDEX('Product Price'!A:A,SMALL('Product Price'!$D:$D,22)),"")</f>
        <v>HUAWEI MatePad ProMax 12/256 GB</v>
      </c>
      <c r="B24" s="23">
        <f t="array" ref="B24">IFERROR(INDEX('Product Price'!B:B,SMALL('Product Price'!$D:$D,22)),"")</f>
        <v>39990</v>
      </c>
      <c r="C24" s="2">
        <f t="array" ref="C24">IFERROR(INDEX('Product Price'!C:C,SMALL('Product Price'!$D:$D,22)),"")</f>
        <v>181</v>
      </c>
      <c r="D24" s="2">
        <f t="shared" si="1"/>
        <v>1900</v>
      </c>
      <c r="E24" s="23">
        <f t="shared" si="2"/>
        <v>41890</v>
      </c>
      <c r="F24" s="25">
        <f t="shared" si="3"/>
        <v>7998</v>
      </c>
      <c r="G24" s="23">
        <f t="shared" si="4"/>
        <v>31992</v>
      </c>
      <c r="H24" s="23">
        <f t="shared" si="5"/>
        <v>33892</v>
      </c>
      <c r="I24" s="2">
        <f t="shared" si="6"/>
        <v>6063</v>
      </c>
      <c r="J24" s="2">
        <f t="shared" si="7"/>
        <v>4172</v>
      </c>
      <c r="K24" s="2">
        <f t="shared" si="8"/>
        <v>3227</v>
      </c>
      <c r="L24" s="2">
        <f t="shared" si="9"/>
        <v>2660</v>
      </c>
      <c r="M24" s="2">
        <f t="shared" si="10"/>
        <v>2282</v>
      </c>
      <c r="N24" s="2">
        <f t="shared" si="11"/>
        <v>1809</v>
      </c>
      <c r="O24" s="25">
        <f t="shared" si="12"/>
        <v>9998</v>
      </c>
      <c r="P24" s="23">
        <f t="shared" si="13"/>
        <v>29992</v>
      </c>
      <c r="Q24" s="23">
        <f t="shared" si="14"/>
        <v>31892</v>
      </c>
      <c r="R24" s="2">
        <f t="shared" si="15"/>
        <v>5706</v>
      </c>
      <c r="S24" s="2">
        <f t="shared" si="16"/>
        <v>3927</v>
      </c>
      <c r="T24" s="2">
        <f t="shared" si="17"/>
        <v>3038</v>
      </c>
      <c r="U24" s="2">
        <f t="shared" si="18"/>
        <v>2504</v>
      </c>
      <c r="V24" s="2">
        <f t="shared" si="19"/>
        <v>2148</v>
      </c>
      <c r="W24" s="2">
        <f t="shared" si="20"/>
        <v>1703</v>
      </c>
      <c r="X24" s="25">
        <f t="shared" si="21"/>
        <v>11997</v>
      </c>
      <c r="Y24" s="23">
        <f t="shared" si="22"/>
        <v>27993</v>
      </c>
      <c r="Z24" s="23">
        <f t="shared" si="23"/>
        <v>29893</v>
      </c>
      <c r="AA24" s="2">
        <f t="shared" si="24"/>
        <v>5350</v>
      </c>
      <c r="AB24" s="2">
        <f t="shared" si="25"/>
        <v>3682</v>
      </c>
      <c r="AC24" s="2">
        <f t="shared" si="26"/>
        <v>2848</v>
      </c>
      <c r="AD24" s="2">
        <f t="shared" si="27"/>
        <v>2348</v>
      </c>
      <c r="AE24" s="2">
        <f t="shared" si="28"/>
        <v>2014</v>
      </c>
      <c r="AF24" s="2">
        <f t="shared" si="29"/>
        <v>1597</v>
      </c>
      <c r="AG24" s="25">
        <f t="shared" si="30"/>
        <v>13997</v>
      </c>
      <c r="AH24" s="23">
        <f t="shared" si="31"/>
        <v>25993</v>
      </c>
      <c r="AI24" s="23">
        <f t="shared" si="32"/>
        <v>27893</v>
      </c>
      <c r="AJ24" s="2">
        <f t="shared" si="33"/>
        <v>4994</v>
      </c>
      <c r="AK24" s="2">
        <f t="shared" si="34"/>
        <v>3437</v>
      </c>
      <c r="AL24" s="2">
        <f t="shared" si="35"/>
        <v>2658</v>
      </c>
      <c r="AM24" s="2">
        <f t="shared" si="36"/>
        <v>2191</v>
      </c>
      <c r="AN24" s="2">
        <f t="shared" si="37"/>
        <v>1880</v>
      </c>
      <c r="AO24" s="2">
        <f t="shared" si="38"/>
        <v>1491</v>
      </c>
      <c r="AP24" s="25">
        <f t="shared" si="39"/>
        <v>15996</v>
      </c>
      <c r="AQ24" s="23">
        <f t="shared" si="40"/>
        <v>23994</v>
      </c>
      <c r="AR24" s="23">
        <f t="shared" si="41"/>
        <v>25894</v>
      </c>
      <c r="AS24" s="2">
        <f t="shared" si="42"/>
        <v>4638</v>
      </c>
      <c r="AT24" s="2">
        <f t="shared" si="43"/>
        <v>3192</v>
      </c>
      <c r="AU24" s="2">
        <f t="shared" si="44"/>
        <v>2469</v>
      </c>
      <c r="AV24" s="2">
        <f t="shared" si="45"/>
        <v>2035</v>
      </c>
      <c r="AW24" s="2">
        <f t="shared" si="46"/>
        <v>1746</v>
      </c>
      <c r="AX24" s="2">
        <f t="shared" si="47"/>
        <v>1384</v>
      </c>
    </row>
    <row r="25" ht="14.25" customHeight="1">
      <c r="A25" s="2" t="str">
        <f t="array" ref="A25">IFERROR(INDEX('Product Price'!A:A,SMALL('Product Price'!$D:$D,23)),"")</f>
        <v>HUAWEI MatePad Pro 13.2 12/512 GB</v>
      </c>
      <c r="B25" s="23">
        <f t="array" ref="B25">IFERROR(INDEX('Product Price'!B:B,SMALL('Product Price'!$D:$D,23)),"")</f>
        <v>32990</v>
      </c>
      <c r="C25" s="2">
        <f t="array" ref="C25">IFERROR(INDEX('Product Price'!C:C,SMALL('Product Price'!$D:$D,23)),"")</f>
        <v>15</v>
      </c>
      <c r="D25" s="2">
        <f t="shared" si="1"/>
        <v>1900</v>
      </c>
      <c r="E25" s="23">
        <f t="shared" si="2"/>
        <v>34890</v>
      </c>
      <c r="F25" s="25">
        <f t="shared" si="3"/>
        <v>6598</v>
      </c>
      <c r="G25" s="23">
        <f t="shared" si="4"/>
        <v>26392</v>
      </c>
      <c r="H25" s="23">
        <f t="shared" si="5"/>
        <v>28292</v>
      </c>
      <c r="I25" s="2">
        <f t="shared" si="6"/>
        <v>5065</v>
      </c>
      <c r="J25" s="2">
        <f t="shared" si="7"/>
        <v>3486</v>
      </c>
      <c r="K25" s="2">
        <f t="shared" si="8"/>
        <v>2696</v>
      </c>
      <c r="L25" s="2">
        <f t="shared" si="9"/>
        <v>2222</v>
      </c>
      <c r="M25" s="2">
        <f t="shared" si="10"/>
        <v>1907</v>
      </c>
      <c r="N25" s="2">
        <f t="shared" si="11"/>
        <v>1512</v>
      </c>
      <c r="O25" s="25">
        <f t="shared" si="12"/>
        <v>8248</v>
      </c>
      <c r="P25" s="23">
        <f t="shared" si="13"/>
        <v>24742</v>
      </c>
      <c r="Q25" s="23">
        <f t="shared" si="14"/>
        <v>26642</v>
      </c>
      <c r="R25" s="2">
        <f t="shared" si="15"/>
        <v>4771</v>
      </c>
      <c r="S25" s="2">
        <f t="shared" si="16"/>
        <v>3283</v>
      </c>
      <c r="T25" s="2">
        <f t="shared" si="17"/>
        <v>2540</v>
      </c>
      <c r="U25" s="2">
        <f t="shared" si="18"/>
        <v>2093</v>
      </c>
      <c r="V25" s="2">
        <f t="shared" si="19"/>
        <v>1796</v>
      </c>
      <c r="W25" s="2">
        <f t="shared" si="20"/>
        <v>1424</v>
      </c>
      <c r="X25" s="25">
        <f t="shared" si="21"/>
        <v>9897</v>
      </c>
      <c r="Y25" s="23">
        <f t="shared" si="22"/>
        <v>23093</v>
      </c>
      <c r="Z25" s="23">
        <f t="shared" si="23"/>
        <v>24993</v>
      </c>
      <c r="AA25" s="2">
        <f t="shared" si="24"/>
        <v>4477</v>
      </c>
      <c r="AB25" s="2">
        <f t="shared" si="25"/>
        <v>3081</v>
      </c>
      <c r="AC25" s="2">
        <f t="shared" si="26"/>
        <v>2383</v>
      </c>
      <c r="AD25" s="2">
        <f t="shared" si="27"/>
        <v>1965</v>
      </c>
      <c r="AE25" s="2">
        <f t="shared" si="28"/>
        <v>1685</v>
      </c>
      <c r="AF25" s="2">
        <f t="shared" si="29"/>
        <v>1336</v>
      </c>
      <c r="AG25" s="25">
        <f t="shared" si="30"/>
        <v>11547</v>
      </c>
      <c r="AH25" s="23">
        <f t="shared" si="31"/>
        <v>21443</v>
      </c>
      <c r="AI25" s="23">
        <f t="shared" si="32"/>
        <v>23343</v>
      </c>
      <c r="AJ25" s="2">
        <f t="shared" si="33"/>
        <v>4183</v>
      </c>
      <c r="AK25" s="2">
        <f t="shared" si="34"/>
        <v>2879</v>
      </c>
      <c r="AL25" s="2">
        <f t="shared" si="35"/>
        <v>2227</v>
      </c>
      <c r="AM25" s="2">
        <f t="shared" si="36"/>
        <v>1836</v>
      </c>
      <c r="AN25" s="2">
        <f t="shared" si="37"/>
        <v>1575</v>
      </c>
      <c r="AO25" s="2">
        <f t="shared" si="38"/>
        <v>1249</v>
      </c>
      <c r="AP25" s="25">
        <f t="shared" si="39"/>
        <v>13196</v>
      </c>
      <c r="AQ25" s="23">
        <f t="shared" si="40"/>
        <v>19794</v>
      </c>
      <c r="AR25" s="23">
        <f t="shared" si="41"/>
        <v>21694</v>
      </c>
      <c r="AS25" s="2">
        <f t="shared" si="42"/>
        <v>3889</v>
      </c>
      <c r="AT25" s="2">
        <f t="shared" si="43"/>
        <v>2677</v>
      </c>
      <c r="AU25" s="2">
        <f t="shared" si="44"/>
        <v>2070</v>
      </c>
      <c r="AV25" s="2">
        <f t="shared" si="45"/>
        <v>1707</v>
      </c>
      <c r="AW25" s="2">
        <f t="shared" si="46"/>
        <v>1464</v>
      </c>
      <c r="AX25" s="2">
        <f t="shared" si="47"/>
        <v>1161</v>
      </c>
    </row>
    <row r="26" ht="14.25" customHeight="1">
      <c r="A26" s="2" t="str">
        <f t="array" ref="A26">IFERROR(INDEX('Product Price'!A:A,SMALL('Product Price'!$D:$D,24)),"")</f>
        <v>HUAWEI MatePad Pro 12.2 2025 12/512 GB</v>
      </c>
      <c r="B26" s="23">
        <f t="array" ref="B26">IFERROR(INDEX('Product Price'!B:B,SMALL('Product Price'!$D:$D,24)),"")</f>
        <v>27990</v>
      </c>
      <c r="C26" s="2">
        <f t="array" ref="C26">IFERROR(INDEX('Product Price'!C:C,SMALL('Product Price'!$D:$D,24)),"")</f>
        <v>16</v>
      </c>
      <c r="D26" s="2">
        <f t="shared" si="1"/>
        <v>1900</v>
      </c>
      <c r="E26" s="23">
        <f t="shared" si="2"/>
        <v>29890</v>
      </c>
      <c r="F26" s="25">
        <f t="shared" si="3"/>
        <v>5598</v>
      </c>
      <c r="G26" s="23">
        <f t="shared" si="4"/>
        <v>22392</v>
      </c>
      <c r="H26" s="23">
        <f t="shared" si="5"/>
        <v>24292</v>
      </c>
      <c r="I26" s="2">
        <f t="shared" si="6"/>
        <v>4352</v>
      </c>
      <c r="J26" s="2">
        <f t="shared" si="7"/>
        <v>2995</v>
      </c>
      <c r="K26" s="2">
        <f t="shared" si="8"/>
        <v>2317</v>
      </c>
      <c r="L26" s="2">
        <f t="shared" si="9"/>
        <v>1910</v>
      </c>
      <c r="M26" s="2">
        <f t="shared" si="10"/>
        <v>1638</v>
      </c>
      <c r="N26" s="2">
        <f t="shared" si="11"/>
        <v>1299</v>
      </c>
      <c r="O26" s="25">
        <f t="shared" si="12"/>
        <v>6998</v>
      </c>
      <c r="P26" s="23">
        <f t="shared" si="13"/>
        <v>20992</v>
      </c>
      <c r="Q26" s="23">
        <f t="shared" si="14"/>
        <v>22892</v>
      </c>
      <c r="R26" s="2">
        <f t="shared" si="15"/>
        <v>4103</v>
      </c>
      <c r="S26" s="2">
        <f t="shared" si="16"/>
        <v>2824</v>
      </c>
      <c r="T26" s="2">
        <f t="shared" si="17"/>
        <v>2184</v>
      </c>
      <c r="U26" s="2">
        <f t="shared" si="18"/>
        <v>1800</v>
      </c>
      <c r="V26" s="2">
        <f t="shared" si="19"/>
        <v>1544</v>
      </c>
      <c r="W26" s="2">
        <f t="shared" si="20"/>
        <v>1225</v>
      </c>
      <c r="X26" s="25">
        <f t="shared" si="21"/>
        <v>8397</v>
      </c>
      <c r="Y26" s="23">
        <f t="shared" si="22"/>
        <v>19593</v>
      </c>
      <c r="Z26" s="23">
        <f t="shared" si="23"/>
        <v>21493</v>
      </c>
      <c r="AA26" s="2">
        <f t="shared" si="24"/>
        <v>3854</v>
      </c>
      <c r="AB26" s="2">
        <f t="shared" si="25"/>
        <v>2652</v>
      </c>
      <c r="AC26" s="2">
        <f t="shared" si="26"/>
        <v>2051</v>
      </c>
      <c r="AD26" s="2">
        <f t="shared" si="27"/>
        <v>1691</v>
      </c>
      <c r="AE26" s="2">
        <f t="shared" si="28"/>
        <v>1451</v>
      </c>
      <c r="AF26" s="2">
        <f t="shared" si="29"/>
        <v>1150</v>
      </c>
      <c r="AG26" s="25">
        <f t="shared" si="30"/>
        <v>9797</v>
      </c>
      <c r="AH26" s="23">
        <f t="shared" si="31"/>
        <v>18193</v>
      </c>
      <c r="AI26" s="23">
        <f t="shared" si="32"/>
        <v>20093</v>
      </c>
      <c r="AJ26" s="2">
        <f t="shared" si="33"/>
        <v>3604</v>
      </c>
      <c r="AK26" s="2">
        <f t="shared" si="34"/>
        <v>2480</v>
      </c>
      <c r="AL26" s="2">
        <f t="shared" si="35"/>
        <v>1919</v>
      </c>
      <c r="AM26" s="2">
        <f t="shared" si="36"/>
        <v>1581</v>
      </c>
      <c r="AN26" s="2">
        <f t="shared" si="37"/>
        <v>1357</v>
      </c>
      <c r="AO26" s="2">
        <f t="shared" si="38"/>
        <v>1076</v>
      </c>
      <c r="AP26" s="25">
        <f t="shared" si="39"/>
        <v>11196</v>
      </c>
      <c r="AQ26" s="23">
        <f t="shared" si="40"/>
        <v>16794</v>
      </c>
      <c r="AR26" s="23">
        <f t="shared" si="41"/>
        <v>18694</v>
      </c>
      <c r="AS26" s="2">
        <f t="shared" si="42"/>
        <v>3355</v>
      </c>
      <c r="AT26" s="2">
        <f t="shared" si="43"/>
        <v>2309</v>
      </c>
      <c r="AU26" s="2">
        <f t="shared" si="44"/>
        <v>1786</v>
      </c>
      <c r="AV26" s="2">
        <f t="shared" si="45"/>
        <v>1472</v>
      </c>
      <c r="AW26" s="2">
        <f t="shared" si="46"/>
        <v>1263</v>
      </c>
      <c r="AX26" s="2">
        <f t="shared" si="47"/>
        <v>1001</v>
      </c>
    </row>
    <row r="27" ht="14.25" customHeight="1">
      <c r="A27" s="2" t="str">
        <f t="array" ref="A27">IFERROR(INDEX('Product Price'!A:A,SMALL('Product Price'!$D:$D,25)),"")</f>
        <v>HUAWEI MatePad 11.5 2025 8/256 GB</v>
      </c>
      <c r="B27" s="23">
        <f t="array" ref="B27">IFERROR(INDEX('Product Price'!B:B,SMALL('Product Price'!$D:$D,25)),"")</f>
        <v>11990</v>
      </c>
      <c r="C27" s="2">
        <f t="array" ref="C27">IFERROR(INDEX('Product Price'!C:C,SMALL('Product Price'!$D:$D,25)),"")</f>
        <v>17</v>
      </c>
      <c r="D27" s="2">
        <f t="shared" si="1"/>
        <v>1450</v>
      </c>
      <c r="E27" s="23">
        <f t="shared" si="2"/>
        <v>13440</v>
      </c>
      <c r="F27" s="25">
        <f t="shared" si="3"/>
        <v>2398</v>
      </c>
      <c r="G27" s="23">
        <f t="shared" si="4"/>
        <v>9592</v>
      </c>
      <c r="H27" s="23">
        <f t="shared" si="5"/>
        <v>11042</v>
      </c>
      <c r="I27" s="2">
        <f t="shared" si="6"/>
        <v>1986</v>
      </c>
      <c r="J27" s="2">
        <f t="shared" si="7"/>
        <v>1367</v>
      </c>
      <c r="K27" s="2">
        <f t="shared" si="8"/>
        <v>1057</v>
      </c>
      <c r="L27" s="2">
        <f t="shared" si="9"/>
        <v>872</v>
      </c>
      <c r="M27" s="2">
        <f t="shared" si="10"/>
        <v>748</v>
      </c>
      <c r="N27" s="2">
        <f t="shared" si="11"/>
        <v>593</v>
      </c>
      <c r="O27" s="25">
        <f t="shared" si="12"/>
        <v>2998</v>
      </c>
      <c r="P27" s="23">
        <f t="shared" si="13"/>
        <v>8992</v>
      </c>
      <c r="Q27" s="23">
        <f t="shared" si="14"/>
        <v>10442</v>
      </c>
      <c r="R27" s="2">
        <f t="shared" si="15"/>
        <v>1879</v>
      </c>
      <c r="S27" s="2">
        <f t="shared" si="16"/>
        <v>1293</v>
      </c>
      <c r="T27" s="2">
        <f t="shared" si="17"/>
        <v>1000</v>
      </c>
      <c r="U27" s="2">
        <f t="shared" si="18"/>
        <v>825</v>
      </c>
      <c r="V27" s="2">
        <f t="shared" si="19"/>
        <v>708</v>
      </c>
      <c r="W27" s="2">
        <f t="shared" si="20"/>
        <v>561</v>
      </c>
      <c r="X27" s="25">
        <f t="shared" si="21"/>
        <v>3597</v>
      </c>
      <c r="Y27" s="23">
        <f t="shared" si="22"/>
        <v>8393</v>
      </c>
      <c r="Z27" s="23">
        <f t="shared" si="23"/>
        <v>9843</v>
      </c>
      <c r="AA27" s="2">
        <f t="shared" si="24"/>
        <v>1772</v>
      </c>
      <c r="AB27" s="2">
        <f t="shared" si="25"/>
        <v>1220</v>
      </c>
      <c r="AC27" s="2">
        <f t="shared" si="26"/>
        <v>944</v>
      </c>
      <c r="AD27" s="2">
        <f t="shared" si="27"/>
        <v>778</v>
      </c>
      <c r="AE27" s="2">
        <f t="shared" si="28"/>
        <v>667</v>
      </c>
      <c r="AF27" s="2">
        <f t="shared" si="29"/>
        <v>529</v>
      </c>
      <c r="AG27" s="25">
        <f t="shared" si="30"/>
        <v>4197</v>
      </c>
      <c r="AH27" s="23">
        <f t="shared" si="31"/>
        <v>7793</v>
      </c>
      <c r="AI27" s="23">
        <f t="shared" si="32"/>
        <v>9243</v>
      </c>
      <c r="AJ27" s="2">
        <f t="shared" si="33"/>
        <v>1665</v>
      </c>
      <c r="AK27" s="2">
        <f t="shared" si="34"/>
        <v>1146</v>
      </c>
      <c r="AL27" s="2">
        <f t="shared" si="35"/>
        <v>887</v>
      </c>
      <c r="AM27" s="2">
        <f t="shared" si="36"/>
        <v>731</v>
      </c>
      <c r="AN27" s="2">
        <f t="shared" si="37"/>
        <v>627</v>
      </c>
      <c r="AO27" s="2">
        <f t="shared" si="38"/>
        <v>497</v>
      </c>
      <c r="AP27" s="25">
        <f t="shared" si="39"/>
        <v>4796</v>
      </c>
      <c r="AQ27" s="23">
        <f t="shared" si="40"/>
        <v>7194</v>
      </c>
      <c r="AR27" s="23">
        <f t="shared" si="41"/>
        <v>8644</v>
      </c>
      <c r="AS27" s="2">
        <f t="shared" si="42"/>
        <v>1559</v>
      </c>
      <c r="AT27" s="2">
        <f t="shared" si="43"/>
        <v>1073</v>
      </c>
      <c r="AU27" s="2">
        <f t="shared" si="44"/>
        <v>830</v>
      </c>
      <c r="AV27" s="2">
        <f t="shared" si="45"/>
        <v>684</v>
      </c>
      <c r="AW27" s="2">
        <f t="shared" si="46"/>
        <v>587</v>
      </c>
      <c r="AX27" s="2" t="str">
        <f t="shared" si="47"/>
        <v>-</v>
      </c>
    </row>
    <row r="28" ht="14.25" customHeight="1">
      <c r="A28" s="2" t="str">
        <f t="array" ref="A28">IFERROR(INDEX('Product Price'!A:A,SMALL('Product Price'!$D:$D,26)),"")</f>
        <v>HUAWEI MatePad 11.5 S 12/256 GB</v>
      </c>
      <c r="B28" s="29">
        <f t="array" ref="B28">IFERROR(INDEX('Product Price'!B:B,SMALL('Product Price'!$D:$D,26)),"")</f>
        <v>13990</v>
      </c>
      <c r="C28" s="2">
        <f t="array" ref="C28">IFERROR(INDEX('Product Price'!C:C,SMALL('Product Price'!$D:$D,26)),"")</f>
        <v>18</v>
      </c>
      <c r="D28" s="2">
        <f t="shared" si="1"/>
        <v>1450</v>
      </c>
      <c r="E28" s="29">
        <f t="shared" si="2"/>
        <v>15440</v>
      </c>
      <c r="F28" s="25">
        <f t="shared" si="3"/>
        <v>2798</v>
      </c>
      <c r="G28" s="29">
        <f t="shared" si="4"/>
        <v>11192</v>
      </c>
      <c r="H28" s="29">
        <f t="shared" si="5"/>
        <v>12642</v>
      </c>
      <c r="I28" s="2">
        <f t="shared" si="6"/>
        <v>2271</v>
      </c>
      <c r="J28" s="2">
        <f t="shared" si="7"/>
        <v>1563</v>
      </c>
      <c r="K28" s="2">
        <f t="shared" si="8"/>
        <v>1209</v>
      </c>
      <c r="L28" s="2">
        <f t="shared" si="9"/>
        <v>997</v>
      </c>
      <c r="M28" s="2">
        <f t="shared" si="10"/>
        <v>855</v>
      </c>
      <c r="N28" s="2">
        <f t="shared" si="11"/>
        <v>678</v>
      </c>
      <c r="O28" s="25">
        <f t="shared" si="12"/>
        <v>3498</v>
      </c>
      <c r="P28" s="29">
        <f t="shared" si="13"/>
        <v>10492</v>
      </c>
      <c r="Q28" s="29">
        <f t="shared" si="14"/>
        <v>11942</v>
      </c>
      <c r="R28" s="2">
        <f t="shared" si="15"/>
        <v>2146</v>
      </c>
      <c r="S28" s="2">
        <f t="shared" si="16"/>
        <v>1477</v>
      </c>
      <c r="T28" s="2">
        <f t="shared" si="17"/>
        <v>1143</v>
      </c>
      <c r="U28" s="2">
        <f t="shared" si="18"/>
        <v>942</v>
      </c>
      <c r="V28" s="2">
        <f t="shared" si="19"/>
        <v>808</v>
      </c>
      <c r="W28" s="2">
        <f t="shared" si="20"/>
        <v>641</v>
      </c>
      <c r="X28" s="25">
        <f t="shared" si="21"/>
        <v>4197</v>
      </c>
      <c r="Y28" s="29">
        <f t="shared" si="22"/>
        <v>9793</v>
      </c>
      <c r="Z28" s="29">
        <f t="shared" si="23"/>
        <v>11243</v>
      </c>
      <c r="AA28" s="2">
        <f t="shared" si="24"/>
        <v>2022</v>
      </c>
      <c r="AB28" s="2">
        <f t="shared" si="25"/>
        <v>1391</v>
      </c>
      <c r="AC28" s="2">
        <f t="shared" si="26"/>
        <v>1076</v>
      </c>
      <c r="AD28" s="2">
        <f t="shared" si="27"/>
        <v>887</v>
      </c>
      <c r="AE28" s="2">
        <f t="shared" si="28"/>
        <v>761</v>
      </c>
      <c r="AF28" s="2">
        <f t="shared" si="29"/>
        <v>604</v>
      </c>
      <c r="AG28" s="25">
        <f t="shared" si="30"/>
        <v>4897</v>
      </c>
      <c r="AH28" s="29">
        <f t="shared" si="31"/>
        <v>9093</v>
      </c>
      <c r="AI28" s="29">
        <f t="shared" si="32"/>
        <v>10543</v>
      </c>
      <c r="AJ28" s="2">
        <f t="shared" si="33"/>
        <v>1897</v>
      </c>
      <c r="AK28" s="2">
        <f t="shared" si="34"/>
        <v>1306</v>
      </c>
      <c r="AL28" s="2">
        <f t="shared" si="35"/>
        <v>1010</v>
      </c>
      <c r="AM28" s="2">
        <f t="shared" si="36"/>
        <v>833</v>
      </c>
      <c r="AN28" s="2">
        <f t="shared" si="37"/>
        <v>714</v>
      </c>
      <c r="AO28" s="2">
        <f t="shared" si="38"/>
        <v>566</v>
      </c>
      <c r="AP28" s="25">
        <f t="shared" si="39"/>
        <v>5596</v>
      </c>
      <c r="AQ28" s="29">
        <f t="shared" si="40"/>
        <v>8394</v>
      </c>
      <c r="AR28" s="29">
        <f t="shared" si="41"/>
        <v>9844</v>
      </c>
      <c r="AS28" s="2">
        <f t="shared" si="42"/>
        <v>1772</v>
      </c>
      <c r="AT28" s="2">
        <f t="shared" si="43"/>
        <v>1220</v>
      </c>
      <c r="AU28" s="2">
        <f t="shared" si="44"/>
        <v>944</v>
      </c>
      <c r="AV28" s="2">
        <f t="shared" si="45"/>
        <v>778</v>
      </c>
      <c r="AW28" s="2">
        <f t="shared" si="46"/>
        <v>667</v>
      </c>
      <c r="AX28" s="2">
        <f t="shared" si="47"/>
        <v>529</v>
      </c>
    </row>
    <row r="29" ht="14.25" customHeight="1">
      <c r="A29" s="2" t="str">
        <f t="array" ref="A29">IFERROR(INDEX('Product Price'!A:A,SMALL('Product Price'!$D:$D,27)),"")</f>
        <v>HUAWEI MatePad Mini 12/256 GB</v>
      </c>
      <c r="B29" s="29">
        <f t="array" ref="B29">IFERROR(INDEX('Product Price'!B:B,SMALL('Product Price'!$D:$D,27)),"")</f>
        <v>18990</v>
      </c>
      <c r="C29" s="2">
        <f t="array" ref="C29">IFERROR(INDEX('Product Price'!C:C,SMALL('Product Price'!$D:$D,27)),"")</f>
        <v>19</v>
      </c>
      <c r="D29" s="2">
        <f t="shared" si="1"/>
        <v>1450</v>
      </c>
      <c r="E29" s="29">
        <f t="shared" si="2"/>
        <v>20440</v>
      </c>
      <c r="F29" s="25">
        <f t="shared" si="3"/>
        <v>3798</v>
      </c>
      <c r="G29" s="29">
        <f t="shared" si="4"/>
        <v>15192</v>
      </c>
      <c r="H29" s="29">
        <f t="shared" si="5"/>
        <v>16642</v>
      </c>
      <c r="I29" s="2">
        <f t="shared" si="6"/>
        <v>2984</v>
      </c>
      <c r="J29" s="2">
        <f t="shared" si="7"/>
        <v>2053</v>
      </c>
      <c r="K29" s="2">
        <f t="shared" si="8"/>
        <v>1588</v>
      </c>
      <c r="L29" s="2">
        <f t="shared" si="9"/>
        <v>1309</v>
      </c>
      <c r="M29" s="2">
        <f t="shared" si="10"/>
        <v>1123</v>
      </c>
      <c r="N29" s="2">
        <f t="shared" si="11"/>
        <v>891</v>
      </c>
      <c r="O29" s="25">
        <f t="shared" si="12"/>
        <v>4748</v>
      </c>
      <c r="P29" s="29">
        <f t="shared" si="13"/>
        <v>14242</v>
      </c>
      <c r="Q29" s="29">
        <f t="shared" si="14"/>
        <v>15692</v>
      </c>
      <c r="R29" s="2">
        <f t="shared" si="15"/>
        <v>2814</v>
      </c>
      <c r="S29" s="2">
        <f t="shared" si="16"/>
        <v>1937</v>
      </c>
      <c r="T29" s="2">
        <f t="shared" si="17"/>
        <v>1498</v>
      </c>
      <c r="U29" s="2">
        <f t="shared" si="18"/>
        <v>1235</v>
      </c>
      <c r="V29" s="2">
        <f t="shared" si="19"/>
        <v>1060</v>
      </c>
      <c r="W29" s="2">
        <f t="shared" si="20"/>
        <v>840</v>
      </c>
      <c r="X29" s="25">
        <f t="shared" si="21"/>
        <v>5697</v>
      </c>
      <c r="Y29" s="29">
        <f t="shared" si="22"/>
        <v>13293</v>
      </c>
      <c r="Z29" s="29">
        <f t="shared" si="23"/>
        <v>14743</v>
      </c>
      <c r="AA29" s="2">
        <f t="shared" si="24"/>
        <v>2645</v>
      </c>
      <c r="AB29" s="2">
        <f t="shared" si="25"/>
        <v>1821</v>
      </c>
      <c r="AC29" s="2">
        <f t="shared" si="26"/>
        <v>1408</v>
      </c>
      <c r="AD29" s="2">
        <f t="shared" si="27"/>
        <v>1161</v>
      </c>
      <c r="AE29" s="2">
        <f t="shared" si="28"/>
        <v>996</v>
      </c>
      <c r="AF29" s="2">
        <f t="shared" si="29"/>
        <v>790</v>
      </c>
      <c r="AG29" s="25">
        <f t="shared" si="30"/>
        <v>6647</v>
      </c>
      <c r="AH29" s="29">
        <f t="shared" si="31"/>
        <v>12343</v>
      </c>
      <c r="AI29" s="29">
        <f t="shared" si="32"/>
        <v>13793</v>
      </c>
      <c r="AJ29" s="2">
        <f t="shared" si="33"/>
        <v>2476</v>
      </c>
      <c r="AK29" s="2">
        <f t="shared" si="34"/>
        <v>1704</v>
      </c>
      <c r="AL29" s="2">
        <f t="shared" si="35"/>
        <v>1318</v>
      </c>
      <c r="AM29" s="2">
        <f t="shared" si="36"/>
        <v>1087</v>
      </c>
      <c r="AN29" s="2">
        <f t="shared" si="37"/>
        <v>932</v>
      </c>
      <c r="AO29" s="2">
        <f t="shared" si="38"/>
        <v>739</v>
      </c>
      <c r="AP29" s="25">
        <f t="shared" si="39"/>
        <v>7596</v>
      </c>
      <c r="AQ29" s="29">
        <f t="shared" si="40"/>
        <v>11394</v>
      </c>
      <c r="AR29" s="29">
        <f t="shared" si="41"/>
        <v>12844</v>
      </c>
      <c r="AS29" s="2">
        <f t="shared" si="42"/>
        <v>2307</v>
      </c>
      <c r="AT29" s="2">
        <f t="shared" si="43"/>
        <v>1588</v>
      </c>
      <c r="AU29" s="2">
        <f t="shared" si="44"/>
        <v>1228</v>
      </c>
      <c r="AV29" s="2">
        <f t="shared" si="45"/>
        <v>1012</v>
      </c>
      <c r="AW29" s="2">
        <f t="shared" si="46"/>
        <v>869</v>
      </c>
      <c r="AX29" s="2">
        <f t="shared" si="47"/>
        <v>689</v>
      </c>
    </row>
    <row r="30" ht="14.25" customHeight="1">
      <c r="A30" s="2" t="str">
        <f t="array" ref="A30">IFERROR(INDEX('Product Price'!A:A,SMALL('Product Price'!$D:$D,28)),"")</f>
        <v>HUAWEI MatePad 12 X 12/256 GB</v>
      </c>
      <c r="B30" s="29">
        <f t="array" ref="B30">IFERROR(INDEX('Product Price'!B:B,SMALL('Product Price'!$D:$D,28)),"")</f>
        <v>19990</v>
      </c>
      <c r="C30" s="2">
        <f t="array" ref="C30">IFERROR(INDEX('Product Price'!C:C,SMALL('Product Price'!$D:$D,28)),"")</f>
        <v>20</v>
      </c>
      <c r="D30" s="2">
        <f t="shared" si="1"/>
        <v>1450</v>
      </c>
      <c r="E30" s="29">
        <f t="shared" si="2"/>
        <v>21440</v>
      </c>
      <c r="F30" s="25">
        <f t="shared" si="3"/>
        <v>3998</v>
      </c>
      <c r="G30" s="29">
        <f t="shared" si="4"/>
        <v>15992</v>
      </c>
      <c r="H30" s="29">
        <f t="shared" si="5"/>
        <v>17442</v>
      </c>
      <c r="I30" s="2">
        <f t="shared" si="6"/>
        <v>3126</v>
      </c>
      <c r="J30" s="2">
        <f t="shared" si="7"/>
        <v>2152</v>
      </c>
      <c r="K30" s="2">
        <f t="shared" si="8"/>
        <v>1664</v>
      </c>
      <c r="L30" s="2">
        <f t="shared" si="9"/>
        <v>1372</v>
      </c>
      <c r="M30" s="2">
        <f t="shared" si="10"/>
        <v>1177</v>
      </c>
      <c r="N30" s="2">
        <f t="shared" si="11"/>
        <v>933</v>
      </c>
      <c r="O30" s="25">
        <f t="shared" si="12"/>
        <v>4998</v>
      </c>
      <c r="P30" s="29">
        <f t="shared" si="13"/>
        <v>14992</v>
      </c>
      <c r="Q30" s="29">
        <f t="shared" si="14"/>
        <v>16442</v>
      </c>
      <c r="R30" s="2">
        <f t="shared" si="15"/>
        <v>2948</v>
      </c>
      <c r="S30" s="2">
        <f t="shared" si="16"/>
        <v>2029</v>
      </c>
      <c r="T30" s="2">
        <f t="shared" si="17"/>
        <v>1569</v>
      </c>
      <c r="U30" s="2">
        <f t="shared" si="18"/>
        <v>1294</v>
      </c>
      <c r="V30" s="2">
        <f t="shared" si="19"/>
        <v>1110</v>
      </c>
      <c r="W30" s="2">
        <f t="shared" si="20"/>
        <v>880</v>
      </c>
      <c r="X30" s="25">
        <f t="shared" si="21"/>
        <v>5997</v>
      </c>
      <c r="Y30" s="29">
        <f t="shared" si="22"/>
        <v>13993</v>
      </c>
      <c r="Z30" s="29">
        <f t="shared" si="23"/>
        <v>15443</v>
      </c>
      <c r="AA30" s="2">
        <f t="shared" si="24"/>
        <v>2770</v>
      </c>
      <c r="AB30" s="2">
        <f t="shared" si="25"/>
        <v>1906</v>
      </c>
      <c r="AC30" s="2">
        <f t="shared" si="26"/>
        <v>1475</v>
      </c>
      <c r="AD30" s="2">
        <f t="shared" si="27"/>
        <v>1216</v>
      </c>
      <c r="AE30" s="2">
        <f t="shared" si="28"/>
        <v>1043</v>
      </c>
      <c r="AF30" s="2">
        <f t="shared" si="29"/>
        <v>827</v>
      </c>
      <c r="AG30" s="25">
        <f t="shared" si="30"/>
        <v>6997</v>
      </c>
      <c r="AH30" s="29">
        <f t="shared" si="31"/>
        <v>12993</v>
      </c>
      <c r="AI30" s="29">
        <f t="shared" si="32"/>
        <v>14443</v>
      </c>
      <c r="AJ30" s="2">
        <f t="shared" si="33"/>
        <v>2592</v>
      </c>
      <c r="AK30" s="2">
        <f t="shared" si="34"/>
        <v>1784</v>
      </c>
      <c r="AL30" s="2">
        <f t="shared" si="35"/>
        <v>1380</v>
      </c>
      <c r="AM30" s="2">
        <f t="shared" si="36"/>
        <v>1137</v>
      </c>
      <c r="AN30" s="2">
        <f t="shared" si="37"/>
        <v>976</v>
      </c>
      <c r="AO30" s="2">
        <f t="shared" si="38"/>
        <v>774</v>
      </c>
      <c r="AP30" s="25">
        <f t="shared" si="39"/>
        <v>7996</v>
      </c>
      <c r="AQ30" s="29">
        <f t="shared" si="40"/>
        <v>11994</v>
      </c>
      <c r="AR30" s="29">
        <f t="shared" si="41"/>
        <v>13444</v>
      </c>
      <c r="AS30" s="2">
        <f t="shared" si="42"/>
        <v>2414</v>
      </c>
      <c r="AT30" s="2">
        <f t="shared" si="43"/>
        <v>1661</v>
      </c>
      <c r="AU30" s="2">
        <f t="shared" si="44"/>
        <v>1285</v>
      </c>
      <c r="AV30" s="2">
        <f t="shared" si="45"/>
        <v>1059</v>
      </c>
      <c r="AW30" s="2">
        <f t="shared" si="46"/>
        <v>909</v>
      </c>
      <c r="AX30" s="2">
        <f t="shared" si="47"/>
        <v>721</v>
      </c>
    </row>
    <row r="31" ht="14.25" customHeight="1">
      <c r="A31" s="2" t="str">
        <f t="array" ref="A31">IFERROR(INDEX('Product Price'!A:A,SMALL('Product Price'!$D:$D,29)),"")</f>
        <v>HUAWEI MatePad SE 11 8/128 GB</v>
      </c>
      <c r="B31" s="29">
        <f t="array" ref="B31">IFERROR(INDEX('Product Price'!B:B,SMALL('Product Price'!$D:$D,29)),"")</f>
        <v>7990</v>
      </c>
      <c r="C31" s="2">
        <f t="array" ref="C31">IFERROR(INDEX('Product Price'!C:C,SMALL('Product Price'!$D:$D,29)),"")</f>
        <v>21</v>
      </c>
      <c r="D31" s="2">
        <f t="shared" si="1"/>
        <v>795</v>
      </c>
      <c r="E31" s="29">
        <f t="shared" si="2"/>
        <v>8785</v>
      </c>
      <c r="F31" s="25">
        <f t="shared" si="3"/>
        <v>1598</v>
      </c>
      <c r="G31" s="29">
        <f t="shared" si="4"/>
        <v>6392</v>
      </c>
      <c r="H31" s="29">
        <f t="shared" si="5"/>
        <v>7187</v>
      </c>
      <c r="I31" s="2">
        <f t="shared" si="6"/>
        <v>1291</v>
      </c>
      <c r="J31" s="2">
        <f t="shared" si="7"/>
        <v>889</v>
      </c>
      <c r="K31" s="2">
        <f t="shared" si="8"/>
        <v>687</v>
      </c>
      <c r="L31" s="2">
        <f t="shared" si="9"/>
        <v>567</v>
      </c>
      <c r="M31" s="2">
        <f t="shared" si="10"/>
        <v>486</v>
      </c>
      <c r="N31" s="2" t="str">
        <f t="shared" si="11"/>
        <v>-</v>
      </c>
      <c r="O31" s="25">
        <f t="shared" si="12"/>
        <v>1998</v>
      </c>
      <c r="P31" s="29">
        <f t="shared" si="13"/>
        <v>5992</v>
      </c>
      <c r="Q31" s="29">
        <f t="shared" si="14"/>
        <v>6787</v>
      </c>
      <c r="R31" s="2">
        <f t="shared" si="15"/>
        <v>1220</v>
      </c>
      <c r="S31" s="2">
        <f t="shared" si="16"/>
        <v>839</v>
      </c>
      <c r="T31" s="2">
        <f t="shared" si="17"/>
        <v>649</v>
      </c>
      <c r="U31" s="2">
        <f t="shared" si="18"/>
        <v>535</v>
      </c>
      <c r="V31" s="2">
        <f t="shared" si="19"/>
        <v>459</v>
      </c>
      <c r="W31" s="2" t="str">
        <f t="shared" si="20"/>
        <v>-</v>
      </c>
      <c r="X31" s="25">
        <f t="shared" si="21"/>
        <v>2397</v>
      </c>
      <c r="Y31" s="29">
        <f t="shared" si="22"/>
        <v>5593</v>
      </c>
      <c r="Z31" s="29">
        <f t="shared" si="23"/>
        <v>6388</v>
      </c>
      <c r="AA31" s="2">
        <f t="shared" si="24"/>
        <v>1149</v>
      </c>
      <c r="AB31" s="2">
        <f t="shared" si="25"/>
        <v>791</v>
      </c>
      <c r="AC31" s="2">
        <f t="shared" si="26"/>
        <v>612</v>
      </c>
      <c r="AD31" s="2">
        <f t="shared" si="27"/>
        <v>504</v>
      </c>
      <c r="AE31" s="2" t="str">
        <f t="shared" si="28"/>
        <v>-</v>
      </c>
      <c r="AF31" s="2" t="str">
        <f t="shared" si="29"/>
        <v>-</v>
      </c>
      <c r="AG31" s="25">
        <f t="shared" si="30"/>
        <v>2797</v>
      </c>
      <c r="AH31" s="29">
        <f t="shared" si="31"/>
        <v>5193</v>
      </c>
      <c r="AI31" s="29">
        <f t="shared" si="32"/>
        <v>5988</v>
      </c>
      <c r="AJ31" s="2">
        <f t="shared" si="33"/>
        <v>1077</v>
      </c>
      <c r="AK31" s="2">
        <f t="shared" si="34"/>
        <v>742</v>
      </c>
      <c r="AL31" s="2">
        <f t="shared" si="35"/>
        <v>574</v>
      </c>
      <c r="AM31" s="2">
        <f t="shared" si="36"/>
        <v>473</v>
      </c>
      <c r="AN31" s="2" t="str">
        <f t="shared" si="37"/>
        <v>-</v>
      </c>
      <c r="AO31" s="2" t="str">
        <f t="shared" si="38"/>
        <v>-</v>
      </c>
      <c r="AP31" s="25">
        <f t="shared" si="39"/>
        <v>3196</v>
      </c>
      <c r="AQ31" s="29">
        <f t="shared" si="40"/>
        <v>4794</v>
      </c>
      <c r="AR31" s="29">
        <f t="shared" si="41"/>
        <v>5589</v>
      </c>
      <c r="AS31" s="2">
        <f t="shared" si="42"/>
        <v>1006</v>
      </c>
      <c r="AT31" s="2">
        <f t="shared" si="43"/>
        <v>693</v>
      </c>
      <c r="AU31" s="2">
        <f t="shared" si="44"/>
        <v>536</v>
      </c>
      <c r="AV31" s="2" t="str">
        <f t="shared" si="45"/>
        <v>-</v>
      </c>
      <c r="AW31" s="2" t="str">
        <f t="shared" si="46"/>
        <v>-</v>
      </c>
      <c r="AX31" s="2" t="str">
        <f t="shared" si="47"/>
        <v>-</v>
      </c>
    </row>
    <row r="32" ht="14.25" customHeight="1">
      <c r="A32" s="2" t="str">
        <f t="array" ref="A32">IFERROR(INDEX('Product Price'!A:A,SMALL('Product Price'!$D:$D,30)),"")</f>
        <v>INFINIX GT 50 Pro 5G 12/512 GB</v>
      </c>
      <c r="B32" s="29">
        <f t="array" ref="B32">IFERROR(INDEX('Product Price'!B:B,SMALL('Product Price'!$D:$D,30)),"")</f>
        <v>19999</v>
      </c>
      <c r="C32" s="2">
        <f t="array" ref="C32">IFERROR(INDEX('Product Price'!C:C,SMALL('Product Price'!$D:$D,30)),"")</f>
        <v>253</v>
      </c>
      <c r="D32" s="2">
        <f t="shared" si="1"/>
        <v>1450</v>
      </c>
      <c r="E32" s="29">
        <f t="shared" si="2"/>
        <v>21449</v>
      </c>
      <c r="F32" s="25">
        <f t="shared" si="3"/>
        <v>4000</v>
      </c>
      <c r="G32" s="29">
        <f t="shared" si="4"/>
        <v>15999</v>
      </c>
      <c r="H32" s="29">
        <f t="shared" si="5"/>
        <v>17449</v>
      </c>
      <c r="I32" s="2">
        <f t="shared" si="6"/>
        <v>3127</v>
      </c>
      <c r="J32" s="2">
        <f t="shared" si="7"/>
        <v>2152</v>
      </c>
      <c r="K32" s="2">
        <f t="shared" si="8"/>
        <v>1665</v>
      </c>
      <c r="L32" s="2">
        <f t="shared" si="9"/>
        <v>1372</v>
      </c>
      <c r="M32" s="2">
        <f t="shared" si="10"/>
        <v>1177</v>
      </c>
      <c r="N32" s="2">
        <f t="shared" si="11"/>
        <v>934</v>
      </c>
      <c r="O32" s="25">
        <f t="shared" si="12"/>
        <v>5000</v>
      </c>
      <c r="P32" s="29">
        <f t="shared" si="13"/>
        <v>14999</v>
      </c>
      <c r="Q32" s="29">
        <f t="shared" si="14"/>
        <v>16449</v>
      </c>
      <c r="R32" s="2">
        <f t="shared" si="15"/>
        <v>2949</v>
      </c>
      <c r="S32" s="2">
        <f t="shared" si="16"/>
        <v>2030</v>
      </c>
      <c r="T32" s="2">
        <f t="shared" si="17"/>
        <v>1570</v>
      </c>
      <c r="U32" s="2">
        <f t="shared" si="18"/>
        <v>1294</v>
      </c>
      <c r="V32" s="2">
        <f t="shared" si="19"/>
        <v>1110</v>
      </c>
      <c r="W32" s="2">
        <f t="shared" si="20"/>
        <v>880</v>
      </c>
      <c r="X32" s="25">
        <f t="shared" si="21"/>
        <v>6000</v>
      </c>
      <c r="Y32" s="29">
        <f t="shared" si="22"/>
        <v>13999</v>
      </c>
      <c r="Z32" s="29">
        <f t="shared" si="23"/>
        <v>15449</v>
      </c>
      <c r="AA32" s="2">
        <f t="shared" si="24"/>
        <v>2771</v>
      </c>
      <c r="AB32" s="2">
        <f t="shared" si="25"/>
        <v>1907</v>
      </c>
      <c r="AC32" s="2">
        <f t="shared" si="26"/>
        <v>1475</v>
      </c>
      <c r="AD32" s="2">
        <f t="shared" si="27"/>
        <v>1216</v>
      </c>
      <c r="AE32" s="2">
        <f t="shared" si="28"/>
        <v>1043</v>
      </c>
      <c r="AF32" s="2">
        <f t="shared" si="29"/>
        <v>827</v>
      </c>
      <c r="AG32" s="25">
        <f t="shared" si="30"/>
        <v>7000</v>
      </c>
      <c r="AH32" s="29">
        <f t="shared" si="31"/>
        <v>12999</v>
      </c>
      <c r="AI32" s="29">
        <f t="shared" si="32"/>
        <v>14449</v>
      </c>
      <c r="AJ32" s="2">
        <f t="shared" si="33"/>
        <v>2593</v>
      </c>
      <c r="AK32" s="2">
        <f t="shared" si="34"/>
        <v>1785</v>
      </c>
      <c r="AL32" s="2">
        <f t="shared" si="35"/>
        <v>1380</v>
      </c>
      <c r="AM32" s="2">
        <f t="shared" si="36"/>
        <v>1138</v>
      </c>
      <c r="AN32" s="2">
        <f t="shared" si="37"/>
        <v>976</v>
      </c>
      <c r="AO32" s="2">
        <f t="shared" si="38"/>
        <v>774</v>
      </c>
      <c r="AP32" s="25">
        <f t="shared" si="39"/>
        <v>8000</v>
      </c>
      <c r="AQ32" s="29">
        <f t="shared" si="40"/>
        <v>11999</v>
      </c>
      <c r="AR32" s="29">
        <f t="shared" si="41"/>
        <v>13449</v>
      </c>
      <c r="AS32" s="2">
        <f t="shared" si="42"/>
        <v>2415</v>
      </c>
      <c r="AT32" s="2">
        <f t="shared" si="43"/>
        <v>1662</v>
      </c>
      <c r="AU32" s="2">
        <f t="shared" si="44"/>
        <v>1286</v>
      </c>
      <c r="AV32" s="2">
        <f t="shared" si="45"/>
        <v>1060</v>
      </c>
      <c r="AW32" s="2">
        <f t="shared" si="46"/>
        <v>909</v>
      </c>
      <c r="AX32" s="2">
        <f t="shared" si="47"/>
        <v>721</v>
      </c>
    </row>
    <row r="33" ht="14.25" customHeight="1">
      <c r="A33" s="2" t="str">
        <f t="array" ref="A33">IFERROR(INDEX('Product Price'!A:A,SMALL('Product Price'!$D:$D,31)),"")</f>
        <v>INFINIX GT 50 Pro 5G 12/256 GB</v>
      </c>
      <c r="B33" s="29">
        <f t="array" ref="B33">IFERROR(INDEX('Product Price'!B:B,SMALL('Product Price'!$D:$D,31)),"")</f>
        <v>15999</v>
      </c>
      <c r="C33" s="2">
        <f t="array" ref="C33">IFERROR(INDEX('Product Price'!C:C,SMALL('Product Price'!$D:$D,31)),"")</f>
        <v>22</v>
      </c>
      <c r="D33" s="2">
        <f t="shared" si="1"/>
        <v>1450</v>
      </c>
      <c r="E33" s="29">
        <f t="shared" si="2"/>
        <v>17449</v>
      </c>
      <c r="F33" s="25">
        <f t="shared" si="3"/>
        <v>3200</v>
      </c>
      <c r="G33" s="29">
        <f t="shared" si="4"/>
        <v>12799</v>
      </c>
      <c r="H33" s="29">
        <f t="shared" si="5"/>
        <v>14249</v>
      </c>
      <c r="I33" s="2">
        <f t="shared" si="6"/>
        <v>2557</v>
      </c>
      <c r="J33" s="2">
        <f t="shared" si="7"/>
        <v>1760</v>
      </c>
      <c r="K33" s="2">
        <f t="shared" si="8"/>
        <v>1361</v>
      </c>
      <c r="L33" s="2">
        <f t="shared" si="9"/>
        <v>1122</v>
      </c>
      <c r="M33" s="2">
        <f t="shared" si="10"/>
        <v>963</v>
      </c>
      <c r="N33" s="2">
        <f t="shared" si="11"/>
        <v>763</v>
      </c>
      <c r="O33" s="25">
        <f t="shared" si="12"/>
        <v>4000</v>
      </c>
      <c r="P33" s="29">
        <f t="shared" si="13"/>
        <v>11999</v>
      </c>
      <c r="Q33" s="29">
        <f t="shared" si="14"/>
        <v>13449</v>
      </c>
      <c r="R33" s="2">
        <f t="shared" si="15"/>
        <v>2415</v>
      </c>
      <c r="S33" s="2">
        <f t="shared" si="16"/>
        <v>1662</v>
      </c>
      <c r="T33" s="2">
        <f t="shared" si="17"/>
        <v>1286</v>
      </c>
      <c r="U33" s="2">
        <f t="shared" si="18"/>
        <v>1060</v>
      </c>
      <c r="V33" s="2">
        <f t="shared" si="19"/>
        <v>909</v>
      </c>
      <c r="W33" s="2">
        <f t="shared" si="20"/>
        <v>721</v>
      </c>
      <c r="X33" s="25">
        <f t="shared" si="21"/>
        <v>4800</v>
      </c>
      <c r="Y33" s="29">
        <f t="shared" si="22"/>
        <v>11199</v>
      </c>
      <c r="Z33" s="29">
        <f t="shared" si="23"/>
        <v>12649</v>
      </c>
      <c r="AA33" s="2">
        <f t="shared" si="24"/>
        <v>2272</v>
      </c>
      <c r="AB33" s="2">
        <f t="shared" si="25"/>
        <v>1564</v>
      </c>
      <c r="AC33" s="2">
        <f t="shared" si="26"/>
        <v>1210</v>
      </c>
      <c r="AD33" s="2">
        <f t="shared" si="27"/>
        <v>997</v>
      </c>
      <c r="AE33" s="2">
        <f t="shared" si="28"/>
        <v>855</v>
      </c>
      <c r="AF33" s="2">
        <f t="shared" si="29"/>
        <v>678</v>
      </c>
      <c r="AG33" s="25">
        <f t="shared" si="30"/>
        <v>5600</v>
      </c>
      <c r="AH33" s="29">
        <f t="shared" si="31"/>
        <v>10399</v>
      </c>
      <c r="AI33" s="29">
        <f t="shared" si="32"/>
        <v>11849</v>
      </c>
      <c r="AJ33" s="2">
        <f t="shared" si="33"/>
        <v>2130</v>
      </c>
      <c r="AK33" s="2">
        <f t="shared" si="34"/>
        <v>1466</v>
      </c>
      <c r="AL33" s="2">
        <f t="shared" si="35"/>
        <v>1134</v>
      </c>
      <c r="AM33" s="2">
        <f t="shared" si="36"/>
        <v>935</v>
      </c>
      <c r="AN33" s="2">
        <f t="shared" si="37"/>
        <v>802</v>
      </c>
      <c r="AO33" s="2">
        <f t="shared" si="38"/>
        <v>636</v>
      </c>
      <c r="AP33" s="25">
        <f t="shared" si="39"/>
        <v>6400</v>
      </c>
      <c r="AQ33" s="29">
        <f t="shared" si="40"/>
        <v>9599</v>
      </c>
      <c r="AR33" s="29">
        <f t="shared" si="41"/>
        <v>11049</v>
      </c>
      <c r="AS33" s="2">
        <f t="shared" si="42"/>
        <v>1987</v>
      </c>
      <c r="AT33" s="2">
        <f t="shared" si="43"/>
        <v>1368</v>
      </c>
      <c r="AU33" s="2">
        <f t="shared" si="44"/>
        <v>1058</v>
      </c>
      <c r="AV33" s="2">
        <f t="shared" si="45"/>
        <v>872</v>
      </c>
      <c r="AW33" s="2">
        <f t="shared" si="46"/>
        <v>748</v>
      </c>
      <c r="AX33" s="2">
        <f t="shared" si="47"/>
        <v>593</v>
      </c>
    </row>
    <row r="34" ht="14.25" customHeight="1">
      <c r="A34" s="2" t="str">
        <f t="array" ref="A34">IFERROR(INDEX('Product Price'!A:A,SMALL('Product Price'!$D:$D,32)),"")</f>
        <v>INFINIX NOTE 50 Pro+ 5G 12/256 GB</v>
      </c>
      <c r="B34" s="29">
        <f t="array" ref="B34">IFERROR(INDEX('Product Price'!B:B,SMALL('Product Price'!$D:$D,32)),"")</f>
        <v>13999</v>
      </c>
      <c r="C34" s="2">
        <f t="array" ref="C34">IFERROR(INDEX('Product Price'!C:C,SMALL('Product Price'!$D:$D,32)),"")</f>
        <v>23</v>
      </c>
      <c r="D34" s="2">
        <f t="shared" si="1"/>
        <v>1450</v>
      </c>
      <c r="E34" s="29">
        <f t="shared" si="2"/>
        <v>15449</v>
      </c>
      <c r="F34" s="25">
        <f t="shared" si="3"/>
        <v>2800</v>
      </c>
      <c r="G34" s="29">
        <f t="shared" si="4"/>
        <v>11199</v>
      </c>
      <c r="H34" s="29">
        <f t="shared" si="5"/>
        <v>12649</v>
      </c>
      <c r="I34" s="2">
        <f t="shared" si="6"/>
        <v>2272</v>
      </c>
      <c r="J34" s="2">
        <f t="shared" si="7"/>
        <v>1564</v>
      </c>
      <c r="K34" s="2">
        <f t="shared" si="8"/>
        <v>1210</v>
      </c>
      <c r="L34" s="2">
        <f t="shared" si="9"/>
        <v>997</v>
      </c>
      <c r="M34" s="2">
        <f t="shared" si="10"/>
        <v>855</v>
      </c>
      <c r="N34" s="2">
        <f t="shared" si="11"/>
        <v>678</v>
      </c>
      <c r="O34" s="25">
        <f t="shared" si="12"/>
        <v>3500</v>
      </c>
      <c r="P34" s="29">
        <f t="shared" si="13"/>
        <v>10499</v>
      </c>
      <c r="Q34" s="29">
        <f t="shared" si="14"/>
        <v>11949</v>
      </c>
      <c r="R34" s="2">
        <f t="shared" si="15"/>
        <v>2147</v>
      </c>
      <c r="S34" s="2">
        <f t="shared" si="16"/>
        <v>1478</v>
      </c>
      <c r="T34" s="2">
        <f t="shared" si="17"/>
        <v>1143</v>
      </c>
      <c r="U34" s="2">
        <f t="shared" si="18"/>
        <v>942</v>
      </c>
      <c r="V34" s="2">
        <f t="shared" si="19"/>
        <v>809</v>
      </c>
      <c r="W34" s="2">
        <f t="shared" si="20"/>
        <v>641</v>
      </c>
      <c r="X34" s="25">
        <f t="shared" si="21"/>
        <v>4200</v>
      </c>
      <c r="Y34" s="29">
        <f t="shared" si="22"/>
        <v>9799</v>
      </c>
      <c r="Z34" s="29">
        <f t="shared" si="23"/>
        <v>11249</v>
      </c>
      <c r="AA34" s="2">
        <f t="shared" si="24"/>
        <v>2023</v>
      </c>
      <c r="AB34" s="2">
        <f t="shared" si="25"/>
        <v>1392</v>
      </c>
      <c r="AC34" s="2">
        <f t="shared" si="26"/>
        <v>1077</v>
      </c>
      <c r="AD34" s="2">
        <f t="shared" si="27"/>
        <v>888</v>
      </c>
      <c r="AE34" s="2">
        <f t="shared" si="28"/>
        <v>762</v>
      </c>
      <c r="AF34" s="2">
        <f t="shared" si="29"/>
        <v>604</v>
      </c>
      <c r="AG34" s="25">
        <f t="shared" si="30"/>
        <v>4900</v>
      </c>
      <c r="AH34" s="29">
        <f t="shared" si="31"/>
        <v>9099</v>
      </c>
      <c r="AI34" s="29">
        <f t="shared" si="32"/>
        <v>10549</v>
      </c>
      <c r="AJ34" s="2">
        <f t="shared" si="33"/>
        <v>1898</v>
      </c>
      <c r="AK34" s="2">
        <f t="shared" si="34"/>
        <v>1306</v>
      </c>
      <c r="AL34" s="2">
        <f t="shared" si="35"/>
        <v>1011</v>
      </c>
      <c r="AM34" s="2">
        <f t="shared" si="36"/>
        <v>833</v>
      </c>
      <c r="AN34" s="2">
        <f t="shared" si="37"/>
        <v>715</v>
      </c>
      <c r="AO34" s="2">
        <f t="shared" si="38"/>
        <v>567</v>
      </c>
      <c r="AP34" s="25">
        <f t="shared" si="39"/>
        <v>5600</v>
      </c>
      <c r="AQ34" s="29">
        <f t="shared" si="40"/>
        <v>8399</v>
      </c>
      <c r="AR34" s="29">
        <f t="shared" si="41"/>
        <v>9849</v>
      </c>
      <c r="AS34" s="2">
        <f t="shared" si="42"/>
        <v>1773</v>
      </c>
      <c r="AT34" s="2">
        <f t="shared" si="43"/>
        <v>1221</v>
      </c>
      <c r="AU34" s="2">
        <f t="shared" si="44"/>
        <v>944</v>
      </c>
      <c r="AV34" s="2">
        <f t="shared" si="45"/>
        <v>778</v>
      </c>
      <c r="AW34" s="2">
        <f t="shared" si="46"/>
        <v>668</v>
      </c>
      <c r="AX34" s="2">
        <f t="shared" si="47"/>
        <v>530</v>
      </c>
    </row>
    <row r="35" ht="14.25" customHeight="1">
      <c r="A35" s="2" t="str">
        <f t="array" ref="A35">IFERROR(INDEX('Product Price'!A:A,SMALL('Product Price'!$D:$D,33)),"")</f>
        <v>INFINIX NOTE 60 Pro 5G 12/256 GB</v>
      </c>
      <c r="B35" s="29">
        <f t="array" ref="B35">IFERROR(INDEX('Product Price'!B:B,SMALL('Product Price'!$D:$D,33)),"")</f>
        <v>12999</v>
      </c>
      <c r="C35" s="2">
        <f t="array" ref="C35">IFERROR(INDEX('Product Price'!C:C,SMALL('Product Price'!$D:$D,33)),"")</f>
        <v>24</v>
      </c>
      <c r="D35" s="2">
        <f t="shared" si="1"/>
        <v>1450</v>
      </c>
      <c r="E35" s="29">
        <f t="shared" si="2"/>
        <v>14449</v>
      </c>
      <c r="F35" s="25">
        <f t="shared" si="3"/>
        <v>2600</v>
      </c>
      <c r="G35" s="29">
        <f t="shared" si="4"/>
        <v>10399</v>
      </c>
      <c r="H35" s="29">
        <f t="shared" si="5"/>
        <v>11849</v>
      </c>
      <c r="I35" s="2">
        <f t="shared" si="6"/>
        <v>2130</v>
      </c>
      <c r="J35" s="2">
        <f t="shared" si="7"/>
        <v>1466</v>
      </c>
      <c r="K35" s="2">
        <f t="shared" si="8"/>
        <v>1134</v>
      </c>
      <c r="L35" s="2">
        <f t="shared" si="9"/>
        <v>935</v>
      </c>
      <c r="M35" s="2">
        <f t="shared" si="10"/>
        <v>802</v>
      </c>
      <c r="N35" s="2">
        <f t="shared" si="11"/>
        <v>636</v>
      </c>
      <c r="O35" s="25">
        <f t="shared" si="12"/>
        <v>3250</v>
      </c>
      <c r="P35" s="29">
        <f t="shared" si="13"/>
        <v>9749</v>
      </c>
      <c r="Q35" s="29">
        <f t="shared" si="14"/>
        <v>11199</v>
      </c>
      <c r="R35" s="2">
        <f t="shared" si="15"/>
        <v>2014</v>
      </c>
      <c r="S35" s="2">
        <f t="shared" si="16"/>
        <v>1386</v>
      </c>
      <c r="T35" s="2">
        <f t="shared" si="17"/>
        <v>1072</v>
      </c>
      <c r="U35" s="2">
        <f t="shared" si="18"/>
        <v>884</v>
      </c>
      <c r="V35" s="2">
        <f t="shared" si="19"/>
        <v>758</v>
      </c>
      <c r="W35" s="2">
        <f t="shared" si="20"/>
        <v>601</v>
      </c>
      <c r="X35" s="25">
        <f t="shared" si="21"/>
        <v>3900</v>
      </c>
      <c r="Y35" s="29">
        <f t="shared" si="22"/>
        <v>9099</v>
      </c>
      <c r="Z35" s="29">
        <f t="shared" si="23"/>
        <v>10549</v>
      </c>
      <c r="AA35" s="2">
        <f t="shared" si="24"/>
        <v>1898</v>
      </c>
      <c r="AB35" s="2">
        <f t="shared" si="25"/>
        <v>1306</v>
      </c>
      <c r="AC35" s="2">
        <f t="shared" si="26"/>
        <v>1011</v>
      </c>
      <c r="AD35" s="2">
        <f t="shared" si="27"/>
        <v>833</v>
      </c>
      <c r="AE35" s="2">
        <f t="shared" si="28"/>
        <v>715</v>
      </c>
      <c r="AF35" s="2">
        <f t="shared" si="29"/>
        <v>567</v>
      </c>
      <c r="AG35" s="25">
        <f t="shared" si="30"/>
        <v>4550</v>
      </c>
      <c r="AH35" s="29">
        <f t="shared" si="31"/>
        <v>8449</v>
      </c>
      <c r="AI35" s="29">
        <f t="shared" si="32"/>
        <v>9899</v>
      </c>
      <c r="AJ35" s="2">
        <f t="shared" si="33"/>
        <v>1782</v>
      </c>
      <c r="AK35" s="2">
        <f t="shared" si="34"/>
        <v>1227</v>
      </c>
      <c r="AL35" s="2">
        <f t="shared" si="35"/>
        <v>949</v>
      </c>
      <c r="AM35" s="2">
        <f t="shared" si="36"/>
        <v>782</v>
      </c>
      <c r="AN35" s="2">
        <f t="shared" si="37"/>
        <v>671</v>
      </c>
      <c r="AO35" s="2">
        <f t="shared" si="38"/>
        <v>532</v>
      </c>
      <c r="AP35" s="25">
        <f t="shared" si="39"/>
        <v>5200</v>
      </c>
      <c r="AQ35" s="29">
        <f t="shared" si="40"/>
        <v>7799</v>
      </c>
      <c r="AR35" s="29">
        <f t="shared" si="41"/>
        <v>9249</v>
      </c>
      <c r="AS35" s="2">
        <f t="shared" si="42"/>
        <v>1666</v>
      </c>
      <c r="AT35" s="2">
        <f t="shared" si="43"/>
        <v>1147</v>
      </c>
      <c r="AU35" s="2">
        <f t="shared" si="44"/>
        <v>887</v>
      </c>
      <c r="AV35" s="2">
        <f t="shared" si="45"/>
        <v>731</v>
      </c>
      <c r="AW35" s="2">
        <f t="shared" si="46"/>
        <v>628</v>
      </c>
      <c r="AX35" s="2">
        <f t="shared" si="47"/>
        <v>498</v>
      </c>
    </row>
    <row r="36" ht="14.25" customHeight="1">
      <c r="A36" s="2" t="str">
        <f t="array" ref="A36">IFERROR(INDEX('Product Price'!A:A,SMALL('Product Price'!$D:$D,34)),"")</f>
        <v>INFINIX GT 30 Pro 5G 12/512 GB</v>
      </c>
      <c r="B36" s="29">
        <f t="array" ref="B36">IFERROR(INDEX('Product Price'!B:B,SMALL('Product Price'!$D:$D,34)),"")</f>
        <v>12999</v>
      </c>
      <c r="C36" s="2">
        <f t="array" ref="C36">IFERROR(INDEX('Product Price'!C:C,SMALL('Product Price'!$D:$D,34)),"")</f>
        <v>25</v>
      </c>
      <c r="D36" s="2">
        <f t="shared" si="1"/>
        <v>1450</v>
      </c>
      <c r="E36" s="29">
        <f t="shared" si="2"/>
        <v>14449</v>
      </c>
      <c r="F36" s="25">
        <f t="shared" si="3"/>
        <v>2600</v>
      </c>
      <c r="G36" s="29">
        <f t="shared" si="4"/>
        <v>10399</v>
      </c>
      <c r="H36" s="29">
        <f t="shared" si="5"/>
        <v>11849</v>
      </c>
      <c r="I36" s="2">
        <f t="shared" si="6"/>
        <v>2130</v>
      </c>
      <c r="J36" s="2">
        <f t="shared" si="7"/>
        <v>1466</v>
      </c>
      <c r="K36" s="2">
        <f t="shared" si="8"/>
        <v>1134</v>
      </c>
      <c r="L36" s="2">
        <f t="shared" si="9"/>
        <v>935</v>
      </c>
      <c r="M36" s="2">
        <f t="shared" si="10"/>
        <v>802</v>
      </c>
      <c r="N36" s="2">
        <f t="shared" si="11"/>
        <v>636</v>
      </c>
      <c r="O36" s="25">
        <f t="shared" si="12"/>
        <v>3250</v>
      </c>
      <c r="P36" s="29">
        <f t="shared" si="13"/>
        <v>9749</v>
      </c>
      <c r="Q36" s="29">
        <f t="shared" si="14"/>
        <v>11199</v>
      </c>
      <c r="R36" s="2">
        <f t="shared" si="15"/>
        <v>2014</v>
      </c>
      <c r="S36" s="2">
        <f t="shared" si="16"/>
        <v>1386</v>
      </c>
      <c r="T36" s="2">
        <f t="shared" si="17"/>
        <v>1072</v>
      </c>
      <c r="U36" s="2">
        <f t="shared" si="18"/>
        <v>884</v>
      </c>
      <c r="V36" s="2">
        <f t="shared" si="19"/>
        <v>758</v>
      </c>
      <c r="W36" s="2">
        <f t="shared" si="20"/>
        <v>601</v>
      </c>
      <c r="X36" s="25">
        <f t="shared" si="21"/>
        <v>3900</v>
      </c>
      <c r="Y36" s="29">
        <f t="shared" si="22"/>
        <v>9099</v>
      </c>
      <c r="Z36" s="29">
        <f t="shared" si="23"/>
        <v>10549</v>
      </c>
      <c r="AA36" s="2">
        <f t="shared" si="24"/>
        <v>1898</v>
      </c>
      <c r="AB36" s="2">
        <f t="shared" si="25"/>
        <v>1306</v>
      </c>
      <c r="AC36" s="2">
        <f t="shared" si="26"/>
        <v>1011</v>
      </c>
      <c r="AD36" s="2">
        <f t="shared" si="27"/>
        <v>833</v>
      </c>
      <c r="AE36" s="2">
        <f t="shared" si="28"/>
        <v>715</v>
      </c>
      <c r="AF36" s="2">
        <f t="shared" si="29"/>
        <v>567</v>
      </c>
      <c r="AG36" s="25">
        <f t="shared" si="30"/>
        <v>4550</v>
      </c>
      <c r="AH36" s="29">
        <f t="shared" si="31"/>
        <v>8449</v>
      </c>
      <c r="AI36" s="29">
        <f t="shared" si="32"/>
        <v>9899</v>
      </c>
      <c r="AJ36" s="2">
        <f t="shared" si="33"/>
        <v>1782</v>
      </c>
      <c r="AK36" s="2">
        <f t="shared" si="34"/>
        <v>1227</v>
      </c>
      <c r="AL36" s="2">
        <f t="shared" si="35"/>
        <v>949</v>
      </c>
      <c r="AM36" s="2">
        <f t="shared" si="36"/>
        <v>782</v>
      </c>
      <c r="AN36" s="2">
        <f t="shared" si="37"/>
        <v>671</v>
      </c>
      <c r="AO36" s="2">
        <f t="shared" si="38"/>
        <v>532</v>
      </c>
      <c r="AP36" s="25">
        <f t="shared" si="39"/>
        <v>5200</v>
      </c>
      <c r="AQ36" s="29">
        <f t="shared" si="40"/>
        <v>7799</v>
      </c>
      <c r="AR36" s="29">
        <f t="shared" si="41"/>
        <v>9249</v>
      </c>
      <c r="AS36" s="2">
        <f t="shared" si="42"/>
        <v>1666</v>
      </c>
      <c r="AT36" s="2">
        <f t="shared" si="43"/>
        <v>1147</v>
      </c>
      <c r="AU36" s="2">
        <f t="shared" si="44"/>
        <v>887</v>
      </c>
      <c r="AV36" s="2">
        <f t="shared" si="45"/>
        <v>731</v>
      </c>
      <c r="AW36" s="2">
        <f t="shared" si="46"/>
        <v>628</v>
      </c>
      <c r="AX36" s="2">
        <f t="shared" si="47"/>
        <v>498</v>
      </c>
    </row>
    <row r="37" ht="14.25" customHeight="1">
      <c r="A37" s="2" t="str">
        <f t="array" ref="A37">IFERROR(INDEX('Product Price'!A:A,SMALL('Product Price'!$D:$D,35)),"")</f>
        <v>INFINIX NOTE 60 Pro 5G 8/256 GB</v>
      </c>
      <c r="B37" s="29">
        <f t="array" ref="B37">IFERROR(INDEX('Product Price'!B:B,SMALL('Product Price'!$D:$D,35)),"")</f>
        <v>11999</v>
      </c>
      <c r="C37" s="2">
        <f t="array" ref="C37">IFERROR(INDEX('Product Price'!C:C,SMALL('Product Price'!$D:$D,35)),"")</f>
        <v>26</v>
      </c>
      <c r="D37" s="2">
        <f t="shared" si="1"/>
        <v>1450</v>
      </c>
      <c r="E37" s="29">
        <f t="shared" si="2"/>
        <v>13449</v>
      </c>
      <c r="F37" s="25">
        <f t="shared" si="3"/>
        <v>2400</v>
      </c>
      <c r="G37" s="29">
        <f t="shared" si="4"/>
        <v>9599</v>
      </c>
      <c r="H37" s="29">
        <f t="shared" si="5"/>
        <v>11049</v>
      </c>
      <c r="I37" s="2">
        <f t="shared" si="6"/>
        <v>1987</v>
      </c>
      <c r="J37" s="2">
        <f t="shared" si="7"/>
        <v>1368</v>
      </c>
      <c r="K37" s="2">
        <f t="shared" si="8"/>
        <v>1058</v>
      </c>
      <c r="L37" s="2">
        <f t="shared" si="9"/>
        <v>872</v>
      </c>
      <c r="M37" s="2">
        <f t="shared" si="10"/>
        <v>748</v>
      </c>
      <c r="N37" s="2">
        <f t="shared" si="11"/>
        <v>593</v>
      </c>
      <c r="O37" s="25">
        <f t="shared" si="12"/>
        <v>3000</v>
      </c>
      <c r="P37" s="29">
        <f t="shared" si="13"/>
        <v>8999</v>
      </c>
      <c r="Q37" s="29">
        <f t="shared" si="14"/>
        <v>10449</v>
      </c>
      <c r="R37" s="2">
        <f t="shared" si="15"/>
        <v>1880</v>
      </c>
      <c r="S37" s="2">
        <f t="shared" si="16"/>
        <v>1294</v>
      </c>
      <c r="T37" s="2">
        <f t="shared" si="17"/>
        <v>1001</v>
      </c>
      <c r="U37" s="2">
        <f t="shared" si="18"/>
        <v>825</v>
      </c>
      <c r="V37" s="2">
        <f t="shared" si="19"/>
        <v>708</v>
      </c>
      <c r="W37" s="2">
        <f t="shared" si="20"/>
        <v>561</v>
      </c>
      <c r="X37" s="25">
        <f t="shared" si="21"/>
        <v>3600</v>
      </c>
      <c r="Y37" s="29">
        <f t="shared" si="22"/>
        <v>8399</v>
      </c>
      <c r="Z37" s="29">
        <f t="shared" si="23"/>
        <v>9849</v>
      </c>
      <c r="AA37" s="2">
        <f t="shared" si="24"/>
        <v>1773</v>
      </c>
      <c r="AB37" s="2">
        <f t="shared" si="25"/>
        <v>1221</v>
      </c>
      <c r="AC37" s="2">
        <f t="shared" si="26"/>
        <v>944</v>
      </c>
      <c r="AD37" s="2">
        <f t="shared" si="27"/>
        <v>778</v>
      </c>
      <c r="AE37" s="2">
        <f t="shared" si="28"/>
        <v>668</v>
      </c>
      <c r="AF37" s="2">
        <f t="shared" si="29"/>
        <v>530</v>
      </c>
      <c r="AG37" s="25">
        <f t="shared" si="30"/>
        <v>4200</v>
      </c>
      <c r="AH37" s="29">
        <f t="shared" si="31"/>
        <v>7799</v>
      </c>
      <c r="AI37" s="29">
        <f t="shared" si="32"/>
        <v>9249</v>
      </c>
      <c r="AJ37" s="2">
        <f t="shared" si="33"/>
        <v>1666</v>
      </c>
      <c r="AK37" s="2">
        <f t="shared" si="34"/>
        <v>1147</v>
      </c>
      <c r="AL37" s="2">
        <f t="shared" si="35"/>
        <v>887</v>
      </c>
      <c r="AM37" s="2">
        <f t="shared" si="36"/>
        <v>731</v>
      </c>
      <c r="AN37" s="2">
        <f t="shared" si="37"/>
        <v>628</v>
      </c>
      <c r="AO37" s="2">
        <f t="shared" si="38"/>
        <v>498</v>
      </c>
      <c r="AP37" s="25">
        <f t="shared" si="39"/>
        <v>4800</v>
      </c>
      <c r="AQ37" s="29">
        <f t="shared" si="40"/>
        <v>7199</v>
      </c>
      <c r="AR37" s="29">
        <f t="shared" si="41"/>
        <v>8649</v>
      </c>
      <c r="AS37" s="2">
        <f t="shared" si="42"/>
        <v>1560</v>
      </c>
      <c r="AT37" s="2">
        <f t="shared" si="43"/>
        <v>1073</v>
      </c>
      <c r="AU37" s="2">
        <f t="shared" si="44"/>
        <v>830</v>
      </c>
      <c r="AV37" s="2">
        <f t="shared" si="45"/>
        <v>684</v>
      </c>
      <c r="AW37" s="2">
        <f t="shared" si="46"/>
        <v>587</v>
      </c>
      <c r="AX37" s="2" t="str">
        <f t="shared" si="47"/>
        <v>-</v>
      </c>
    </row>
    <row r="38" ht="14.25" customHeight="1">
      <c r="A38" s="2" t="str">
        <f t="array" ref="A38">IFERROR(INDEX('Product Price'!A:A,SMALL('Product Price'!$D:$D,36)),"")</f>
        <v>INFINIX GT 30 Pro 5G 8/256 GB</v>
      </c>
      <c r="B38" s="29">
        <f t="array" ref="B38">IFERROR(INDEX('Product Price'!B:B,SMALL('Product Price'!$D:$D,36)),"")</f>
        <v>9999</v>
      </c>
      <c r="C38" s="2">
        <f t="array" ref="C38">IFERROR(INDEX('Product Price'!C:C,SMALL('Product Price'!$D:$D,36)),"")</f>
        <v>27</v>
      </c>
      <c r="D38" s="2">
        <f t="shared" si="1"/>
        <v>795</v>
      </c>
      <c r="E38" s="29">
        <f t="shared" si="2"/>
        <v>10794</v>
      </c>
      <c r="F38" s="25">
        <f t="shared" si="3"/>
        <v>2000</v>
      </c>
      <c r="G38" s="29">
        <f t="shared" si="4"/>
        <v>7999</v>
      </c>
      <c r="H38" s="29">
        <f t="shared" si="5"/>
        <v>8794</v>
      </c>
      <c r="I38" s="2">
        <f t="shared" si="6"/>
        <v>1577</v>
      </c>
      <c r="J38" s="2">
        <f t="shared" si="7"/>
        <v>1086</v>
      </c>
      <c r="K38" s="2">
        <f t="shared" si="8"/>
        <v>840</v>
      </c>
      <c r="L38" s="2">
        <f t="shared" si="9"/>
        <v>692</v>
      </c>
      <c r="M38" s="2">
        <f t="shared" si="10"/>
        <v>594</v>
      </c>
      <c r="N38" s="2">
        <f t="shared" si="11"/>
        <v>471</v>
      </c>
      <c r="O38" s="25">
        <f t="shared" si="12"/>
        <v>2500</v>
      </c>
      <c r="P38" s="29">
        <f t="shared" si="13"/>
        <v>7499</v>
      </c>
      <c r="Q38" s="29">
        <f t="shared" si="14"/>
        <v>8294</v>
      </c>
      <c r="R38" s="2">
        <f t="shared" si="15"/>
        <v>1488</v>
      </c>
      <c r="S38" s="2">
        <f t="shared" si="16"/>
        <v>1024</v>
      </c>
      <c r="T38" s="2">
        <f t="shared" si="17"/>
        <v>792</v>
      </c>
      <c r="U38" s="2">
        <f t="shared" si="18"/>
        <v>653</v>
      </c>
      <c r="V38" s="2">
        <f t="shared" si="19"/>
        <v>560</v>
      </c>
      <c r="W38" s="2" t="str">
        <f t="shared" si="20"/>
        <v>-</v>
      </c>
      <c r="X38" s="25">
        <f t="shared" si="21"/>
        <v>3000</v>
      </c>
      <c r="Y38" s="29">
        <f t="shared" si="22"/>
        <v>6999</v>
      </c>
      <c r="Z38" s="29">
        <f t="shared" si="23"/>
        <v>7794</v>
      </c>
      <c r="AA38" s="2">
        <f t="shared" si="24"/>
        <v>1399</v>
      </c>
      <c r="AB38" s="2">
        <f t="shared" si="25"/>
        <v>963</v>
      </c>
      <c r="AC38" s="2">
        <f t="shared" si="26"/>
        <v>745</v>
      </c>
      <c r="AD38" s="2">
        <f t="shared" si="27"/>
        <v>614</v>
      </c>
      <c r="AE38" s="2">
        <f t="shared" si="28"/>
        <v>527</v>
      </c>
      <c r="AF38" s="2" t="str">
        <f t="shared" si="29"/>
        <v>-</v>
      </c>
      <c r="AG38" s="25">
        <f t="shared" si="30"/>
        <v>3500</v>
      </c>
      <c r="AH38" s="29">
        <f t="shared" si="31"/>
        <v>6499</v>
      </c>
      <c r="AI38" s="29">
        <f t="shared" si="32"/>
        <v>7294</v>
      </c>
      <c r="AJ38" s="2">
        <f t="shared" si="33"/>
        <v>1310</v>
      </c>
      <c r="AK38" s="2">
        <f t="shared" si="34"/>
        <v>902</v>
      </c>
      <c r="AL38" s="2">
        <f t="shared" si="35"/>
        <v>697</v>
      </c>
      <c r="AM38" s="2">
        <f t="shared" si="36"/>
        <v>575</v>
      </c>
      <c r="AN38" s="2">
        <f t="shared" si="37"/>
        <v>493</v>
      </c>
      <c r="AO38" s="2" t="str">
        <f t="shared" si="38"/>
        <v>-</v>
      </c>
      <c r="AP38" s="25">
        <f t="shared" si="39"/>
        <v>4000</v>
      </c>
      <c r="AQ38" s="29">
        <f t="shared" si="40"/>
        <v>5999</v>
      </c>
      <c r="AR38" s="29">
        <f t="shared" si="41"/>
        <v>6794</v>
      </c>
      <c r="AS38" s="2">
        <f t="shared" si="42"/>
        <v>1221</v>
      </c>
      <c r="AT38" s="2">
        <f t="shared" si="43"/>
        <v>840</v>
      </c>
      <c r="AU38" s="2">
        <f t="shared" si="44"/>
        <v>650</v>
      </c>
      <c r="AV38" s="2">
        <f t="shared" si="45"/>
        <v>536</v>
      </c>
      <c r="AW38" s="2">
        <f t="shared" si="46"/>
        <v>460</v>
      </c>
      <c r="AX38" s="2" t="str">
        <f t="shared" si="47"/>
        <v>-</v>
      </c>
    </row>
    <row r="39" ht="14.25" customHeight="1">
      <c r="A39" s="2" t="str">
        <f t="array" ref="A39">IFERROR(INDEX('Product Price'!A:A,SMALL('Product Price'!$D:$D,37)),"")</f>
        <v>INFINIX NOTE EDGE 8/256 GB</v>
      </c>
      <c r="B39" s="29">
        <f t="array" ref="B39">IFERROR(INDEX('Product Price'!B:B,SMALL('Product Price'!$D:$D,37)),"")</f>
        <v>8499</v>
      </c>
      <c r="C39" s="2">
        <f t="array" ref="C39">IFERROR(INDEX('Product Price'!C:C,SMALL('Product Price'!$D:$D,37)),"")</f>
        <v>28</v>
      </c>
      <c r="D39" s="2">
        <f t="shared" si="1"/>
        <v>795</v>
      </c>
      <c r="E39" s="29">
        <f t="shared" si="2"/>
        <v>9294</v>
      </c>
      <c r="F39" s="25">
        <f t="shared" si="3"/>
        <v>1700</v>
      </c>
      <c r="G39" s="29">
        <f t="shared" si="4"/>
        <v>6799</v>
      </c>
      <c r="H39" s="29">
        <f t="shared" si="5"/>
        <v>7594</v>
      </c>
      <c r="I39" s="2">
        <f t="shared" si="6"/>
        <v>1363</v>
      </c>
      <c r="J39" s="2">
        <f t="shared" si="7"/>
        <v>938</v>
      </c>
      <c r="K39" s="2">
        <f t="shared" si="8"/>
        <v>726</v>
      </c>
      <c r="L39" s="2">
        <f t="shared" si="9"/>
        <v>598</v>
      </c>
      <c r="M39" s="2">
        <f t="shared" si="10"/>
        <v>513</v>
      </c>
      <c r="N39" s="2" t="str">
        <f t="shared" si="11"/>
        <v>-</v>
      </c>
      <c r="O39" s="25">
        <f t="shared" si="12"/>
        <v>2125</v>
      </c>
      <c r="P39" s="29">
        <f t="shared" si="13"/>
        <v>6374</v>
      </c>
      <c r="Q39" s="29">
        <f t="shared" si="14"/>
        <v>7169</v>
      </c>
      <c r="R39" s="2">
        <f t="shared" si="15"/>
        <v>1288</v>
      </c>
      <c r="S39" s="2">
        <f t="shared" si="16"/>
        <v>886</v>
      </c>
      <c r="T39" s="2">
        <f t="shared" si="17"/>
        <v>686</v>
      </c>
      <c r="U39" s="2">
        <f t="shared" si="18"/>
        <v>565</v>
      </c>
      <c r="V39" s="2">
        <f t="shared" si="19"/>
        <v>485</v>
      </c>
      <c r="W39" s="2" t="str">
        <f t="shared" si="20"/>
        <v>-</v>
      </c>
      <c r="X39" s="25">
        <f t="shared" si="21"/>
        <v>2550</v>
      </c>
      <c r="Y39" s="29">
        <f t="shared" si="22"/>
        <v>5949</v>
      </c>
      <c r="Z39" s="29">
        <f t="shared" si="23"/>
        <v>6744</v>
      </c>
      <c r="AA39" s="2">
        <f t="shared" si="24"/>
        <v>1212</v>
      </c>
      <c r="AB39" s="2">
        <f t="shared" si="25"/>
        <v>834</v>
      </c>
      <c r="AC39" s="2">
        <f t="shared" si="26"/>
        <v>645</v>
      </c>
      <c r="AD39" s="2">
        <f t="shared" si="27"/>
        <v>532</v>
      </c>
      <c r="AE39" s="2" t="str">
        <f t="shared" si="28"/>
        <v>-</v>
      </c>
      <c r="AF39" s="2" t="str">
        <f t="shared" si="29"/>
        <v>-</v>
      </c>
      <c r="AG39" s="25">
        <f t="shared" si="30"/>
        <v>2975</v>
      </c>
      <c r="AH39" s="29">
        <f t="shared" si="31"/>
        <v>5524</v>
      </c>
      <c r="AI39" s="29">
        <f t="shared" si="32"/>
        <v>6319</v>
      </c>
      <c r="AJ39" s="2">
        <f t="shared" si="33"/>
        <v>1136</v>
      </c>
      <c r="AK39" s="2">
        <f t="shared" si="34"/>
        <v>782</v>
      </c>
      <c r="AL39" s="2">
        <f t="shared" si="35"/>
        <v>605</v>
      </c>
      <c r="AM39" s="2">
        <f t="shared" si="36"/>
        <v>499</v>
      </c>
      <c r="AN39" s="2" t="str">
        <f t="shared" si="37"/>
        <v>-</v>
      </c>
      <c r="AO39" s="2" t="str">
        <f t="shared" si="38"/>
        <v>-</v>
      </c>
      <c r="AP39" s="25">
        <f t="shared" si="39"/>
        <v>3400</v>
      </c>
      <c r="AQ39" s="29">
        <f t="shared" si="40"/>
        <v>5099</v>
      </c>
      <c r="AR39" s="29">
        <f t="shared" si="41"/>
        <v>5894</v>
      </c>
      <c r="AS39" s="2">
        <f t="shared" si="42"/>
        <v>1061</v>
      </c>
      <c r="AT39" s="2">
        <f t="shared" si="43"/>
        <v>730</v>
      </c>
      <c r="AU39" s="2">
        <f t="shared" si="44"/>
        <v>565</v>
      </c>
      <c r="AV39" s="2" t="str">
        <f t="shared" si="45"/>
        <v>-</v>
      </c>
      <c r="AW39" s="2" t="str">
        <f t="shared" si="46"/>
        <v>-</v>
      </c>
      <c r="AX39" s="2" t="str">
        <f t="shared" si="47"/>
        <v>-</v>
      </c>
    </row>
    <row r="40" ht="14.25" customHeight="1">
      <c r="A40" s="2" t="str">
        <f t="array" ref="A40">IFERROR(INDEX('Product Price'!A:A,SMALL('Product Price'!$D:$D,38)),"")</f>
        <v>INFINIX GT 30 5G 8/256 GB</v>
      </c>
      <c r="B40" s="29">
        <f t="array" ref="B40">IFERROR(INDEX('Product Price'!B:B,SMALL('Product Price'!$D:$D,38)),"")</f>
        <v>8499</v>
      </c>
      <c r="C40" s="2">
        <f t="array" ref="C40">IFERROR(INDEX('Product Price'!C:C,SMALL('Product Price'!$D:$D,38)),"")</f>
        <v>29</v>
      </c>
      <c r="D40" s="2">
        <f t="shared" si="1"/>
        <v>795</v>
      </c>
      <c r="E40" s="29">
        <f t="shared" si="2"/>
        <v>9294</v>
      </c>
      <c r="F40" s="25">
        <f t="shared" si="3"/>
        <v>1700</v>
      </c>
      <c r="G40" s="29">
        <f t="shared" si="4"/>
        <v>6799</v>
      </c>
      <c r="H40" s="29">
        <f t="shared" si="5"/>
        <v>7594</v>
      </c>
      <c r="I40" s="2">
        <f t="shared" si="6"/>
        <v>1363</v>
      </c>
      <c r="J40" s="2">
        <f t="shared" si="7"/>
        <v>938</v>
      </c>
      <c r="K40" s="2">
        <f t="shared" si="8"/>
        <v>726</v>
      </c>
      <c r="L40" s="2">
        <f t="shared" si="9"/>
        <v>598</v>
      </c>
      <c r="M40" s="2">
        <f t="shared" si="10"/>
        <v>513</v>
      </c>
      <c r="N40" s="2" t="str">
        <f t="shared" si="11"/>
        <v>-</v>
      </c>
      <c r="O40" s="25">
        <f t="shared" si="12"/>
        <v>2125</v>
      </c>
      <c r="P40" s="29">
        <f t="shared" si="13"/>
        <v>6374</v>
      </c>
      <c r="Q40" s="29">
        <f t="shared" si="14"/>
        <v>7169</v>
      </c>
      <c r="R40" s="2">
        <f t="shared" si="15"/>
        <v>1288</v>
      </c>
      <c r="S40" s="2">
        <f t="shared" si="16"/>
        <v>886</v>
      </c>
      <c r="T40" s="2">
        <f t="shared" si="17"/>
        <v>686</v>
      </c>
      <c r="U40" s="2">
        <f t="shared" si="18"/>
        <v>565</v>
      </c>
      <c r="V40" s="2">
        <f t="shared" si="19"/>
        <v>485</v>
      </c>
      <c r="W40" s="2" t="str">
        <f t="shared" si="20"/>
        <v>-</v>
      </c>
      <c r="X40" s="25">
        <f t="shared" si="21"/>
        <v>2550</v>
      </c>
      <c r="Y40" s="29">
        <f t="shared" si="22"/>
        <v>5949</v>
      </c>
      <c r="Z40" s="29">
        <f t="shared" si="23"/>
        <v>6744</v>
      </c>
      <c r="AA40" s="2">
        <f t="shared" si="24"/>
        <v>1212</v>
      </c>
      <c r="AB40" s="2">
        <f t="shared" si="25"/>
        <v>834</v>
      </c>
      <c r="AC40" s="2">
        <f t="shared" si="26"/>
        <v>645</v>
      </c>
      <c r="AD40" s="2">
        <f t="shared" si="27"/>
        <v>532</v>
      </c>
      <c r="AE40" s="2" t="str">
        <f t="shared" si="28"/>
        <v>-</v>
      </c>
      <c r="AF40" s="2" t="str">
        <f t="shared" si="29"/>
        <v>-</v>
      </c>
      <c r="AG40" s="25">
        <f t="shared" si="30"/>
        <v>2975</v>
      </c>
      <c r="AH40" s="29">
        <f t="shared" si="31"/>
        <v>5524</v>
      </c>
      <c r="AI40" s="29">
        <f t="shared" si="32"/>
        <v>6319</v>
      </c>
      <c r="AJ40" s="2">
        <f t="shared" si="33"/>
        <v>1136</v>
      </c>
      <c r="AK40" s="2">
        <f t="shared" si="34"/>
        <v>782</v>
      </c>
      <c r="AL40" s="2">
        <f t="shared" si="35"/>
        <v>605</v>
      </c>
      <c r="AM40" s="2">
        <f t="shared" si="36"/>
        <v>499</v>
      </c>
      <c r="AN40" s="2" t="str">
        <f t="shared" si="37"/>
        <v>-</v>
      </c>
      <c r="AO40" s="2" t="str">
        <f t="shared" si="38"/>
        <v>-</v>
      </c>
      <c r="AP40" s="25">
        <f t="shared" si="39"/>
        <v>3400</v>
      </c>
      <c r="AQ40" s="29">
        <f t="shared" si="40"/>
        <v>5099</v>
      </c>
      <c r="AR40" s="29">
        <f t="shared" si="41"/>
        <v>5894</v>
      </c>
      <c r="AS40" s="2">
        <f t="shared" si="42"/>
        <v>1061</v>
      </c>
      <c r="AT40" s="2">
        <f t="shared" si="43"/>
        <v>730</v>
      </c>
      <c r="AU40" s="2">
        <f t="shared" si="44"/>
        <v>565</v>
      </c>
      <c r="AV40" s="2" t="str">
        <f t="shared" si="45"/>
        <v>-</v>
      </c>
      <c r="AW40" s="2" t="str">
        <f t="shared" si="46"/>
        <v>-</v>
      </c>
      <c r="AX40" s="2" t="str">
        <f t="shared" si="47"/>
        <v>-</v>
      </c>
    </row>
    <row r="41" ht="14.25" customHeight="1">
      <c r="A41" s="2" t="str">
        <f t="array" ref="A41">IFERROR(INDEX('Product Price'!A:A,SMALL('Product Price'!$D:$D,39)),"")</f>
        <v>INFINIX NOTE 50S 5G 8/256 GB</v>
      </c>
      <c r="B41" s="29">
        <f t="array" ref="B41">IFERROR(INDEX('Product Price'!B:B,SMALL('Product Price'!$D:$D,39)),"")</f>
        <v>7999</v>
      </c>
      <c r="C41" s="2">
        <f t="array" ref="C41">IFERROR(INDEX('Product Price'!C:C,SMALL('Product Price'!$D:$D,39)),"")</f>
        <v>30</v>
      </c>
      <c r="D41" s="2">
        <f t="shared" si="1"/>
        <v>795</v>
      </c>
      <c r="E41" s="29">
        <f t="shared" si="2"/>
        <v>8794</v>
      </c>
      <c r="F41" s="25">
        <f t="shared" si="3"/>
        <v>1600</v>
      </c>
      <c r="G41" s="29">
        <f t="shared" si="4"/>
        <v>6399</v>
      </c>
      <c r="H41" s="29">
        <f t="shared" si="5"/>
        <v>7194</v>
      </c>
      <c r="I41" s="2">
        <f t="shared" si="6"/>
        <v>1292</v>
      </c>
      <c r="J41" s="2">
        <f t="shared" si="7"/>
        <v>889</v>
      </c>
      <c r="K41" s="2">
        <f t="shared" si="8"/>
        <v>688</v>
      </c>
      <c r="L41" s="2">
        <f t="shared" si="9"/>
        <v>567</v>
      </c>
      <c r="M41" s="2">
        <f t="shared" si="10"/>
        <v>487</v>
      </c>
      <c r="N41" s="2" t="str">
        <f t="shared" si="11"/>
        <v>-</v>
      </c>
      <c r="O41" s="25">
        <f t="shared" si="12"/>
        <v>2000</v>
      </c>
      <c r="P41" s="29">
        <f t="shared" si="13"/>
        <v>5999</v>
      </c>
      <c r="Q41" s="29">
        <f t="shared" si="14"/>
        <v>6794</v>
      </c>
      <c r="R41" s="2">
        <f t="shared" si="15"/>
        <v>1221</v>
      </c>
      <c r="S41" s="2">
        <f t="shared" si="16"/>
        <v>840</v>
      </c>
      <c r="T41" s="2">
        <f t="shared" si="17"/>
        <v>650</v>
      </c>
      <c r="U41" s="2">
        <f t="shared" si="18"/>
        <v>536</v>
      </c>
      <c r="V41" s="2">
        <f t="shared" si="19"/>
        <v>460</v>
      </c>
      <c r="W41" s="2" t="str">
        <f t="shared" si="20"/>
        <v>-</v>
      </c>
      <c r="X41" s="25">
        <f t="shared" si="21"/>
        <v>2400</v>
      </c>
      <c r="Y41" s="29">
        <f t="shared" si="22"/>
        <v>5599</v>
      </c>
      <c r="Z41" s="29">
        <f t="shared" si="23"/>
        <v>6394</v>
      </c>
      <c r="AA41" s="2">
        <f t="shared" si="24"/>
        <v>1150</v>
      </c>
      <c r="AB41" s="2">
        <f t="shared" si="25"/>
        <v>791</v>
      </c>
      <c r="AC41" s="2">
        <f t="shared" si="26"/>
        <v>612</v>
      </c>
      <c r="AD41" s="2">
        <f t="shared" si="27"/>
        <v>505</v>
      </c>
      <c r="AE41" s="2" t="str">
        <f t="shared" si="28"/>
        <v>-</v>
      </c>
      <c r="AF41" s="2" t="str">
        <f t="shared" si="29"/>
        <v>-</v>
      </c>
      <c r="AG41" s="25">
        <f t="shared" si="30"/>
        <v>2800</v>
      </c>
      <c r="AH41" s="29">
        <f t="shared" si="31"/>
        <v>5199</v>
      </c>
      <c r="AI41" s="29">
        <f t="shared" si="32"/>
        <v>5994</v>
      </c>
      <c r="AJ41" s="2">
        <f t="shared" si="33"/>
        <v>1078</v>
      </c>
      <c r="AK41" s="2">
        <f t="shared" si="34"/>
        <v>742</v>
      </c>
      <c r="AL41" s="2">
        <f t="shared" si="35"/>
        <v>574</v>
      </c>
      <c r="AM41" s="2">
        <f t="shared" si="36"/>
        <v>473</v>
      </c>
      <c r="AN41" s="2" t="str">
        <f t="shared" si="37"/>
        <v>-</v>
      </c>
      <c r="AO41" s="2" t="str">
        <f t="shared" si="38"/>
        <v>-</v>
      </c>
      <c r="AP41" s="25">
        <f t="shared" si="39"/>
        <v>3200</v>
      </c>
      <c r="AQ41" s="29">
        <f t="shared" si="40"/>
        <v>4799</v>
      </c>
      <c r="AR41" s="29">
        <f t="shared" si="41"/>
        <v>5594</v>
      </c>
      <c r="AS41" s="2">
        <f t="shared" si="42"/>
        <v>1007</v>
      </c>
      <c r="AT41" s="2">
        <f t="shared" si="43"/>
        <v>693</v>
      </c>
      <c r="AU41" s="2">
        <f t="shared" si="44"/>
        <v>536</v>
      </c>
      <c r="AV41" s="2" t="str">
        <f t="shared" si="45"/>
        <v>-</v>
      </c>
      <c r="AW41" s="2" t="str">
        <f t="shared" si="46"/>
        <v>-</v>
      </c>
      <c r="AX41" s="2" t="str">
        <f t="shared" si="47"/>
        <v>-</v>
      </c>
    </row>
    <row r="42" ht="14.25" customHeight="1">
      <c r="A42" s="2" t="str">
        <f t="array" ref="A42">IFERROR(INDEX('Product Price'!A:A,SMALL('Product Price'!$D:$D,40)),"")</f>
        <v>INFINIX NOTE EDGE 8/128 GB</v>
      </c>
      <c r="B42" s="29">
        <f t="array" ref="B42">IFERROR(INDEX('Product Price'!B:B,SMALL('Product Price'!$D:$D,40)),"")</f>
        <v>7499</v>
      </c>
      <c r="C42" s="2">
        <f t="array" ref="C42">IFERROR(INDEX('Product Price'!C:C,SMALL('Product Price'!$D:$D,40)),"")</f>
        <v>31</v>
      </c>
      <c r="D42" s="2">
        <f t="shared" si="1"/>
        <v>795</v>
      </c>
      <c r="E42" s="29">
        <f t="shared" si="2"/>
        <v>8294</v>
      </c>
      <c r="F42" s="25">
        <f t="shared" si="3"/>
        <v>1500</v>
      </c>
      <c r="G42" s="29">
        <f t="shared" si="4"/>
        <v>5999</v>
      </c>
      <c r="H42" s="29">
        <f t="shared" si="5"/>
        <v>6794</v>
      </c>
      <c r="I42" s="2">
        <f t="shared" si="6"/>
        <v>1221</v>
      </c>
      <c r="J42" s="2">
        <f t="shared" si="7"/>
        <v>840</v>
      </c>
      <c r="K42" s="2">
        <f t="shared" si="8"/>
        <v>650</v>
      </c>
      <c r="L42" s="2">
        <f t="shared" si="9"/>
        <v>536</v>
      </c>
      <c r="M42" s="2">
        <f t="shared" si="10"/>
        <v>460</v>
      </c>
      <c r="N42" s="2" t="str">
        <f t="shared" si="11"/>
        <v>-</v>
      </c>
      <c r="O42" s="25">
        <f t="shared" si="12"/>
        <v>1875</v>
      </c>
      <c r="P42" s="29">
        <f t="shared" si="13"/>
        <v>5624</v>
      </c>
      <c r="Q42" s="29">
        <f t="shared" si="14"/>
        <v>6419</v>
      </c>
      <c r="R42" s="2">
        <f t="shared" si="15"/>
        <v>1154</v>
      </c>
      <c r="S42" s="2">
        <f t="shared" si="16"/>
        <v>794</v>
      </c>
      <c r="T42" s="2">
        <f t="shared" si="17"/>
        <v>615</v>
      </c>
      <c r="U42" s="2">
        <f t="shared" si="18"/>
        <v>507</v>
      </c>
      <c r="V42" s="2" t="str">
        <f t="shared" si="19"/>
        <v>-</v>
      </c>
      <c r="W42" s="2" t="str">
        <f t="shared" si="20"/>
        <v>-</v>
      </c>
      <c r="X42" s="25">
        <f t="shared" si="21"/>
        <v>2250</v>
      </c>
      <c r="Y42" s="29">
        <f t="shared" si="22"/>
        <v>5249</v>
      </c>
      <c r="Z42" s="29">
        <f t="shared" si="23"/>
        <v>6044</v>
      </c>
      <c r="AA42" s="2">
        <f t="shared" si="24"/>
        <v>1087</v>
      </c>
      <c r="AB42" s="2">
        <f t="shared" si="25"/>
        <v>748</v>
      </c>
      <c r="AC42" s="2">
        <f t="shared" si="26"/>
        <v>579</v>
      </c>
      <c r="AD42" s="2">
        <f t="shared" si="27"/>
        <v>477</v>
      </c>
      <c r="AE42" s="2" t="str">
        <f t="shared" si="28"/>
        <v>-</v>
      </c>
      <c r="AF42" s="2" t="str">
        <f t="shared" si="29"/>
        <v>-</v>
      </c>
      <c r="AG42" s="25">
        <f t="shared" si="30"/>
        <v>2625</v>
      </c>
      <c r="AH42" s="29">
        <f t="shared" si="31"/>
        <v>4874</v>
      </c>
      <c r="AI42" s="29">
        <f t="shared" si="32"/>
        <v>5669</v>
      </c>
      <c r="AJ42" s="2">
        <f t="shared" si="33"/>
        <v>1020</v>
      </c>
      <c r="AK42" s="2">
        <f t="shared" si="34"/>
        <v>702</v>
      </c>
      <c r="AL42" s="2">
        <f t="shared" si="35"/>
        <v>543</v>
      </c>
      <c r="AM42" s="2" t="str">
        <f t="shared" si="36"/>
        <v>-</v>
      </c>
      <c r="AN42" s="2" t="str">
        <f t="shared" si="37"/>
        <v>-</v>
      </c>
      <c r="AO42" s="2" t="str">
        <f t="shared" si="38"/>
        <v>-</v>
      </c>
      <c r="AP42" s="25">
        <f t="shared" si="39"/>
        <v>3000</v>
      </c>
      <c r="AQ42" s="29">
        <f t="shared" si="40"/>
        <v>4499</v>
      </c>
      <c r="AR42" s="29">
        <f t="shared" si="41"/>
        <v>5294</v>
      </c>
      <c r="AS42" s="2">
        <f t="shared" si="42"/>
        <v>954</v>
      </c>
      <c r="AT42" s="2">
        <f t="shared" si="43"/>
        <v>656</v>
      </c>
      <c r="AU42" s="2">
        <f t="shared" si="44"/>
        <v>508</v>
      </c>
      <c r="AV42" s="2" t="str">
        <f t="shared" si="45"/>
        <v>-</v>
      </c>
      <c r="AW42" s="2" t="str">
        <f t="shared" si="46"/>
        <v>-</v>
      </c>
      <c r="AX42" s="2" t="str">
        <f t="shared" si="47"/>
        <v>-</v>
      </c>
    </row>
    <row r="43" ht="14.25" customHeight="1">
      <c r="A43" s="2" t="str">
        <f t="array" ref="A43">IFERROR(INDEX('Product Price'!A:A,SMALL('Product Price'!$D:$D,41)),"")</f>
        <v>INFINIX HOT 60 Pro+ 8/256 GB</v>
      </c>
      <c r="B43" s="29">
        <f t="array" ref="B43">IFERROR(INDEX('Product Price'!B:B,SMALL('Product Price'!$D:$D,41)),"")</f>
        <v>6499</v>
      </c>
      <c r="C43" s="2">
        <f t="array" ref="C43">IFERROR(INDEX('Product Price'!C:C,SMALL('Product Price'!$D:$D,41)),"")</f>
        <v>32</v>
      </c>
      <c r="D43" s="2">
        <f t="shared" si="1"/>
        <v>795</v>
      </c>
      <c r="E43" s="29">
        <f t="shared" si="2"/>
        <v>7294</v>
      </c>
      <c r="F43" s="25">
        <f t="shared" si="3"/>
        <v>1300</v>
      </c>
      <c r="G43" s="29">
        <f t="shared" si="4"/>
        <v>5199</v>
      </c>
      <c r="H43" s="29">
        <f t="shared" si="5"/>
        <v>5994</v>
      </c>
      <c r="I43" s="2">
        <f t="shared" si="6"/>
        <v>1078</v>
      </c>
      <c r="J43" s="2">
        <f t="shared" si="7"/>
        <v>742</v>
      </c>
      <c r="K43" s="2">
        <f t="shared" si="8"/>
        <v>574</v>
      </c>
      <c r="L43" s="2">
        <f t="shared" si="9"/>
        <v>473</v>
      </c>
      <c r="M43" s="2" t="str">
        <f t="shared" si="10"/>
        <v>-</v>
      </c>
      <c r="N43" s="2" t="str">
        <f t="shared" si="11"/>
        <v>-</v>
      </c>
      <c r="O43" s="25">
        <f t="shared" si="12"/>
        <v>1625</v>
      </c>
      <c r="P43" s="29">
        <f t="shared" si="13"/>
        <v>4874</v>
      </c>
      <c r="Q43" s="29">
        <f t="shared" si="14"/>
        <v>5669</v>
      </c>
      <c r="R43" s="2">
        <f t="shared" si="15"/>
        <v>1020</v>
      </c>
      <c r="S43" s="2">
        <f t="shared" si="16"/>
        <v>702</v>
      </c>
      <c r="T43" s="2">
        <f t="shared" si="17"/>
        <v>543</v>
      </c>
      <c r="U43" s="2" t="str">
        <f t="shared" si="18"/>
        <v>-</v>
      </c>
      <c r="V43" s="2" t="str">
        <f t="shared" si="19"/>
        <v>-</v>
      </c>
      <c r="W43" s="2" t="str">
        <f t="shared" si="20"/>
        <v>-</v>
      </c>
      <c r="X43" s="25">
        <f t="shared" si="21"/>
        <v>1950</v>
      </c>
      <c r="Y43" s="29">
        <f t="shared" si="22"/>
        <v>4549</v>
      </c>
      <c r="Z43" s="29">
        <f t="shared" si="23"/>
        <v>5344</v>
      </c>
      <c r="AA43" s="2">
        <f t="shared" si="24"/>
        <v>963</v>
      </c>
      <c r="AB43" s="2">
        <f t="shared" si="25"/>
        <v>663</v>
      </c>
      <c r="AC43" s="2">
        <f t="shared" si="26"/>
        <v>513</v>
      </c>
      <c r="AD43" s="2" t="str">
        <f t="shared" si="27"/>
        <v>-</v>
      </c>
      <c r="AE43" s="2" t="str">
        <f t="shared" si="28"/>
        <v>-</v>
      </c>
      <c r="AF43" s="2" t="str">
        <f t="shared" si="29"/>
        <v>-</v>
      </c>
      <c r="AG43" s="25">
        <f t="shared" si="30"/>
        <v>2275</v>
      </c>
      <c r="AH43" s="29">
        <f t="shared" si="31"/>
        <v>4224</v>
      </c>
      <c r="AI43" s="29">
        <f t="shared" si="32"/>
        <v>5019</v>
      </c>
      <c r="AJ43" s="2">
        <f t="shared" si="33"/>
        <v>905</v>
      </c>
      <c r="AK43" s="2">
        <f t="shared" si="34"/>
        <v>623</v>
      </c>
      <c r="AL43" s="2">
        <f t="shared" si="35"/>
        <v>482</v>
      </c>
      <c r="AM43" s="2" t="str">
        <f t="shared" si="36"/>
        <v>-</v>
      </c>
      <c r="AN43" s="2" t="str">
        <f t="shared" si="37"/>
        <v>-</v>
      </c>
      <c r="AO43" s="2" t="str">
        <f t="shared" si="38"/>
        <v>-</v>
      </c>
      <c r="AP43" s="25">
        <f t="shared" si="39"/>
        <v>2600</v>
      </c>
      <c r="AQ43" s="29">
        <f t="shared" si="40"/>
        <v>3899</v>
      </c>
      <c r="AR43" s="29">
        <f t="shared" si="41"/>
        <v>4694</v>
      </c>
      <c r="AS43" s="2">
        <f t="shared" si="42"/>
        <v>847</v>
      </c>
      <c r="AT43" s="2">
        <f t="shared" si="43"/>
        <v>583</v>
      </c>
      <c r="AU43" s="2" t="str">
        <f t="shared" si="44"/>
        <v>-</v>
      </c>
      <c r="AV43" s="2" t="str">
        <f t="shared" si="45"/>
        <v>-</v>
      </c>
      <c r="AW43" s="2" t="str">
        <f t="shared" si="46"/>
        <v>-</v>
      </c>
      <c r="AX43" s="2" t="str">
        <f t="shared" si="47"/>
        <v>-</v>
      </c>
    </row>
    <row r="44" ht="14.25" customHeight="1">
      <c r="A44" s="2" t="str">
        <f t="array" ref="A44">IFERROR(INDEX('Product Price'!A:A,SMALL('Product Price'!$D:$D,42)),"")</f>
        <v>INFINIX HOT 60 Pro 8/256 GB</v>
      </c>
      <c r="B44" s="29">
        <f t="array" ref="B44">IFERROR(INDEX('Product Price'!B:B,SMALL('Product Price'!$D:$D,42)),"")</f>
        <v>5899</v>
      </c>
      <c r="C44" s="2">
        <f t="array" ref="C44">IFERROR(INDEX('Product Price'!C:C,SMALL('Product Price'!$D:$D,42)),"")</f>
        <v>33</v>
      </c>
      <c r="D44" s="2">
        <f t="shared" si="1"/>
        <v>795</v>
      </c>
      <c r="E44" s="29">
        <f t="shared" si="2"/>
        <v>6694</v>
      </c>
      <c r="F44" s="25">
        <f t="shared" si="3"/>
        <v>1180</v>
      </c>
      <c r="G44" s="29">
        <f t="shared" si="4"/>
        <v>4719</v>
      </c>
      <c r="H44" s="29">
        <f t="shared" si="5"/>
        <v>5514</v>
      </c>
      <c r="I44" s="2">
        <f t="shared" si="6"/>
        <v>993</v>
      </c>
      <c r="J44" s="2">
        <f t="shared" si="7"/>
        <v>683</v>
      </c>
      <c r="K44" s="2">
        <f t="shared" si="8"/>
        <v>529</v>
      </c>
      <c r="L44" s="2" t="str">
        <f t="shared" si="9"/>
        <v>-</v>
      </c>
      <c r="M44" s="2" t="str">
        <f t="shared" si="10"/>
        <v>-</v>
      </c>
      <c r="N44" s="2" t="str">
        <f t="shared" si="11"/>
        <v>-</v>
      </c>
      <c r="O44" s="25">
        <f t="shared" si="12"/>
        <v>1475</v>
      </c>
      <c r="P44" s="29">
        <f t="shared" si="13"/>
        <v>4424</v>
      </c>
      <c r="Q44" s="29">
        <f t="shared" si="14"/>
        <v>5219</v>
      </c>
      <c r="R44" s="2">
        <f t="shared" si="15"/>
        <v>940</v>
      </c>
      <c r="S44" s="2">
        <f t="shared" si="16"/>
        <v>647</v>
      </c>
      <c r="T44" s="2">
        <f t="shared" si="17"/>
        <v>501</v>
      </c>
      <c r="U44" s="2" t="str">
        <f t="shared" si="18"/>
        <v>-</v>
      </c>
      <c r="V44" s="2" t="str">
        <f t="shared" si="19"/>
        <v>-</v>
      </c>
      <c r="W44" s="2" t="str">
        <f t="shared" si="20"/>
        <v>-</v>
      </c>
      <c r="X44" s="25">
        <f t="shared" si="21"/>
        <v>1770</v>
      </c>
      <c r="Y44" s="29">
        <f t="shared" si="22"/>
        <v>4129</v>
      </c>
      <c r="Z44" s="29">
        <f t="shared" si="23"/>
        <v>4924</v>
      </c>
      <c r="AA44" s="2">
        <f t="shared" si="24"/>
        <v>888</v>
      </c>
      <c r="AB44" s="2">
        <f t="shared" si="25"/>
        <v>611</v>
      </c>
      <c r="AC44" s="2" t="str">
        <f t="shared" si="26"/>
        <v>-</v>
      </c>
      <c r="AD44" s="2" t="str">
        <f t="shared" si="27"/>
        <v>-</v>
      </c>
      <c r="AE44" s="2" t="str">
        <f t="shared" si="28"/>
        <v>-</v>
      </c>
      <c r="AF44" s="2" t="str">
        <f t="shared" si="29"/>
        <v>-</v>
      </c>
      <c r="AG44" s="25">
        <f t="shared" si="30"/>
        <v>2065</v>
      </c>
      <c r="AH44" s="29">
        <f t="shared" si="31"/>
        <v>3834</v>
      </c>
      <c r="AI44" s="29">
        <f t="shared" si="32"/>
        <v>4629</v>
      </c>
      <c r="AJ44" s="2">
        <f t="shared" si="33"/>
        <v>835</v>
      </c>
      <c r="AK44" s="2">
        <f t="shared" si="34"/>
        <v>575</v>
      </c>
      <c r="AL44" s="2" t="str">
        <f t="shared" si="35"/>
        <v>-</v>
      </c>
      <c r="AM44" s="2" t="str">
        <f t="shared" si="36"/>
        <v>-</v>
      </c>
      <c r="AN44" s="2" t="str">
        <f t="shared" si="37"/>
        <v>-</v>
      </c>
      <c r="AO44" s="2" t="str">
        <f t="shared" si="38"/>
        <v>-</v>
      </c>
      <c r="AP44" s="25">
        <f t="shared" si="39"/>
        <v>2360</v>
      </c>
      <c r="AQ44" s="29">
        <f t="shared" si="40"/>
        <v>3539</v>
      </c>
      <c r="AR44" s="29">
        <f t="shared" si="41"/>
        <v>4334</v>
      </c>
      <c r="AS44" s="2">
        <f t="shared" si="42"/>
        <v>783</v>
      </c>
      <c r="AT44" s="2">
        <f t="shared" si="43"/>
        <v>539</v>
      </c>
      <c r="AU44" s="2" t="str">
        <f t="shared" si="44"/>
        <v>-</v>
      </c>
      <c r="AV44" s="2" t="str">
        <f t="shared" si="45"/>
        <v>-</v>
      </c>
      <c r="AW44" s="2" t="str">
        <f t="shared" si="46"/>
        <v>-</v>
      </c>
      <c r="AX44" s="2" t="str">
        <f t="shared" si="47"/>
        <v>-</v>
      </c>
    </row>
    <row r="45" ht="14.25" customHeight="1">
      <c r="A45" s="2" t="str">
        <f t="array" ref="A45">IFERROR(INDEX('Product Price'!A:A,SMALL('Product Price'!$D:$D,43)),"")</f>
        <v>INFINIX HOT 70 6/128 GB</v>
      </c>
      <c r="B45" s="29">
        <f t="array" ref="B45">IFERROR(INDEX('Product Price'!B:B,SMALL('Product Price'!$D:$D,43)),"")</f>
        <v>6499</v>
      </c>
      <c r="C45" s="2">
        <f t="array" ref="C45">IFERROR(INDEX('Product Price'!C:C,SMALL('Product Price'!$D:$D,43)),"")</f>
        <v>34</v>
      </c>
      <c r="D45" s="2">
        <f t="shared" si="1"/>
        <v>795</v>
      </c>
      <c r="E45" s="29">
        <f t="shared" si="2"/>
        <v>7294</v>
      </c>
      <c r="F45" s="25">
        <f t="shared" si="3"/>
        <v>1300</v>
      </c>
      <c r="G45" s="29">
        <f t="shared" si="4"/>
        <v>5199</v>
      </c>
      <c r="H45" s="29">
        <f t="shared" si="5"/>
        <v>5994</v>
      </c>
      <c r="I45" s="2">
        <f t="shared" si="6"/>
        <v>1078</v>
      </c>
      <c r="J45" s="2">
        <f t="shared" si="7"/>
        <v>742</v>
      </c>
      <c r="K45" s="2">
        <f t="shared" si="8"/>
        <v>574</v>
      </c>
      <c r="L45" s="2">
        <f t="shared" si="9"/>
        <v>473</v>
      </c>
      <c r="M45" s="2" t="str">
        <f t="shared" si="10"/>
        <v>-</v>
      </c>
      <c r="N45" s="2" t="str">
        <f t="shared" si="11"/>
        <v>-</v>
      </c>
      <c r="O45" s="25">
        <f t="shared" si="12"/>
        <v>1625</v>
      </c>
      <c r="P45" s="29">
        <f t="shared" si="13"/>
        <v>4874</v>
      </c>
      <c r="Q45" s="29">
        <f t="shared" si="14"/>
        <v>5669</v>
      </c>
      <c r="R45" s="2">
        <f t="shared" si="15"/>
        <v>1020</v>
      </c>
      <c r="S45" s="2">
        <f t="shared" si="16"/>
        <v>702</v>
      </c>
      <c r="T45" s="2">
        <f t="shared" si="17"/>
        <v>543</v>
      </c>
      <c r="U45" s="2" t="str">
        <f t="shared" si="18"/>
        <v>-</v>
      </c>
      <c r="V45" s="2" t="str">
        <f t="shared" si="19"/>
        <v>-</v>
      </c>
      <c r="W45" s="2" t="str">
        <f t="shared" si="20"/>
        <v>-</v>
      </c>
      <c r="X45" s="25">
        <f t="shared" si="21"/>
        <v>1950</v>
      </c>
      <c r="Y45" s="29">
        <f t="shared" si="22"/>
        <v>4549</v>
      </c>
      <c r="Z45" s="29">
        <f t="shared" si="23"/>
        <v>5344</v>
      </c>
      <c r="AA45" s="2">
        <f t="shared" si="24"/>
        <v>963</v>
      </c>
      <c r="AB45" s="2">
        <f t="shared" si="25"/>
        <v>663</v>
      </c>
      <c r="AC45" s="2">
        <f t="shared" si="26"/>
        <v>513</v>
      </c>
      <c r="AD45" s="2" t="str">
        <f t="shared" si="27"/>
        <v>-</v>
      </c>
      <c r="AE45" s="2" t="str">
        <f t="shared" si="28"/>
        <v>-</v>
      </c>
      <c r="AF45" s="2" t="str">
        <f t="shared" si="29"/>
        <v>-</v>
      </c>
      <c r="AG45" s="25">
        <f t="shared" si="30"/>
        <v>2275</v>
      </c>
      <c r="AH45" s="29">
        <f t="shared" si="31"/>
        <v>4224</v>
      </c>
      <c r="AI45" s="29">
        <f t="shared" si="32"/>
        <v>5019</v>
      </c>
      <c r="AJ45" s="2">
        <f t="shared" si="33"/>
        <v>905</v>
      </c>
      <c r="AK45" s="2">
        <f t="shared" si="34"/>
        <v>623</v>
      </c>
      <c r="AL45" s="2">
        <f t="shared" si="35"/>
        <v>482</v>
      </c>
      <c r="AM45" s="2" t="str">
        <f t="shared" si="36"/>
        <v>-</v>
      </c>
      <c r="AN45" s="2" t="str">
        <f t="shared" si="37"/>
        <v>-</v>
      </c>
      <c r="AO45" s="2" t="str">
        <f t="shared" si="38"/>
        <v>-</v>
      </c>
      <c r="AP45" s="25">
        <f t="shared" si="39"/>
        <v>2600</v>
      </c>
      <c r="AQ45" s="29">
        <f t="shared" si="40"/>
        <v>3899</v>
      </c>
      <c r="AR45" s="29">
        <f t="shared" si="41"/>
        <v>4694</v>
      </c>
      <c r="AS45" s="2">
        <f t="shared" si="42"/>
        <v>847</v>
      </c>
      <c r="AT45" s="2">
        <f t="shared" si="43"/>
        <v>583</v>
      </c>
      <c r="AU45" s="2" t="str">
        <f t="shared" si="44"/>
        <v>-</v>
      </c>
      <c r="AV45" s="2" t="str">
        <f t="shared" si="45"/>
        <v>-</v>
      </c>
      <c r="AW45" s="2" t="str">
        <f t="shared" si="46"/>
        <v>-</v>
      </c>
      <c r="AX45" s="2" t="str">
        <f t="shared" si="47"/>
        <v>-</v>
      </c>
    </row>
    <row r="46" ht="14.25" customHeight="1">
      <c r="A46" s="2" t="str">
        <f t="array" ref="A46">IFERROR(INDEX('Product Price'!A:A,SMALL('Product Price'!$D:$D,44)),"")</f>
        <v>INFINIX XPAD 20 Pro 8/256 GB</v>
      </c>
      <c r="B46" s="29">
        <f t="array" ref="B46">IFERROR(INDEX('Product Price'!B:B,SMALL('Product Price'!$D:$D,44)),"")</f>
        <v>7999</v>
      </c>
      <c r="C46" s="2">
        <f t="array" ref="C46">IFERROR(INDEX('Product Price'!C:C,SMALL('Product Price'!$D:$D,44)),"")</f>
        <v>35</v>
      </c>
      <c r="D46" s="2">
        <f t="shared" si="1"/>
        <v>795</v>
      </c>
      <c r="E46" s="29">
        <f t="shared" si="2"/>
        <v>8794</v>
      </c>
      <c r="F46" s="25">
        <f t="shared" si="3"/>
        <v>1600</v>
      </c>
      <c r="G46" s="29">
        <f t="shared" si="4"/>
        <v>6399</v>
      </c>
      <c r="H46" s="29">
        <f t="shared" si="5"/>
        <v>7194</v>
      </c>
      <c r="I46" s="2">
        <f t="shared" si="6"/>
        <v>1292</v>
      </c>
      <c r="J46" s="2">
        <f t="shared" si="7"/>
        <v>889</v>
      </c>
      <c r="K46" s="2">
        <f t="shared" si="8"/>
        <v>688</v>
      </c>
      <c r="L46" s="2">
        <f t="shared" si="9"/>
        <v>567</v>
      </c>
      <c r="M46" s="2">
        <f t="shared" si="10"/>
        <v>487</v>
      </c>
      <c r="N46" s="2" t="str">
        <f t="shared" si="11"/>
        <v>-</v>
      </c>
      <c r="O46" s="25">
        <f t="shared" si="12"/>
        <v>2000</v>
      </c>
      <c r="P46" s="29">
        <f t="shared" si="13"/>
        <v>5999</v>
      </c>
      <c r="Q46" s="29">
        <f t="shared" si="14"/>
        <v>6794</v>
      </c>
      <c r="R46" s="2">
        <f t="shared" si="15"/>
        <v>1221</v>
      </c>
      <c r="S46" s="2">
        <f t="shared" si="16"/>
        <v>840</v>
      </c>
      <c r="T46" s="2">
        <f t="shared" si="17"/>
        <v>650</v>
      </c>
      <c r="U46" s="2">
        <f t="shared" si="18"/>
        <v>536</v>
      </c>
      <c r="V46" s="2">
        <f t="shared" si="19"/>
        <v>460</v>
      </c>
      <c r="W46" s="2" t="str">
        <f t="shared" si="20"/>
        <v>-</v>
      </c>
      <c r="X46" s="25">
        <f t="shared" si="21"/>
        <v>2400</v>
      </c>
      <c r="Y46" s="29">
        <f t="shared" si="22"/>
        <v>5599</v>
      </c>
      <c r="Z46" s="29">
        <f t="shared" si="23"/>
        <v>6394</v>
      </c>
      <c r="AA46" s="2">
        <f t="shared" si="24"/>
        <v>1150</v>
      </c>
      <c r="AB46" s="2">
        <f t="shared" si="25"/>
        <v>791</v>
      </c>
      <c r="AC46" s="2">
        <f t="shared" si="26"/>
        <v>612</v>
      </c>
      <c r="AD46" s="2">
        <f t="shared" si="27"/>
        <v>505</v>
      </c>
      <c r="AE46" s="2" t="str">
        <f t="shared" si="28"/>
        <v>-</v>
      </c>
      <c r="AF46" s="2" t="str">
        <f t="shared" si="29"/>
        <v>-</v>
      </c>
      <c r="AG46" s="25">
        <f t="shared" si="30"/>
        <v>2800</v>
      </c>
      <c r="AH46" s="29">
        <f t="shared" si="31"/>
        <v>5199</v>
      </c>
      <c r="AI46" s="29">
        <f t="shared" si="32"/>
        <v>5994</v>
      </c>
      <c r="AJ46" s="2">
        <f t="shared" si="33"/>
        <v>1078</v>
      </c>
      <c r="AK46" s="2">
        <f t="shared" si="34"/>
        <v>742</v>
      </c>
      <c r="AL46" s="2">
        <f t="shared" si="35"/>
        <v>574</v>
      </c>
      <c r="AM46" s="2">
        <f t="shared" si="36"/>
        <v>473</v>
      </c>
      <c r="AN46" s="2" t="str">
        <f t="shared" si="37"/>
        <v>-</v>
      </c>
      <c r="AO46" s="2" t="str">
        <f t="shared" si="38"/>
        <v>-</v>
      </c>
      <c r="AP46" s="25">
        <f t="shared" si="39"/>
        <v>3200</v>
      </c>
      <c r="AQ46" s="29">
        <f t="shared" si="40"/>
        <v>4799</v>
      </c>
      <c r="AR46" s="29">
        <f t="shared" si="41"/>
        <v>5594</v>
      </c>
      <c r="AS46" s="2">
        <f t="shared" si="42"/>
        <v>1007</v>
      </c>
      <c r="AT46" s="2">
        <f t="shared" si="43"/>
        <v>693</v>
      </c>
      <c r="AU46" s="2">
        <f t="shared" si="44"/>
        <v>536</v>
      </c>
      <c r="AV46" s="2" t="str">
        <f t="shared" si="45"/>
        <v>-</v>
      </c>
      <c r="AW46" s="2" t="str">
        <f t="shared" si="46"/>
        <v>-</v>
      </c>
      <c r="AX46" s="2" t="str">
        <f t="shared" si="47"/>
        <v>-</v>
      </c>
    </row>
    <row r="47" ht="14.25" customHeight="1">
      <c r="A47" s="2" t="str">
        <f t="array" ref="A47">IFERROR(INDEX('Product Price'!A:A,SMALL('Product Price'!$D:$D,45)),"")</f>
        <v>INFINIX XPAD 30E 4/128 GB</v>
      </c>
      <c r="B47" s="29">
        <f t="array" ref="B47">IFERROR(INDEX('Product Price'!B:B,SMALL('Product Price'!$D:$D,45)),"")</f>
        <v>5499</v>
      </c>
      <c r="C47" s="2">
        <f t="array" ref="C47">IFERROR(INDEX('Product Price'!C:C,SMALL('Product Price'!$D:$D,45)),"")</f>
        <v>36</v>
      </c>
      <c r="D47" s="2">
        <f t="shared" si="1"/>
        <v>795</v>
      </c>
      <c r="E47" s="29">
        <f t="shared" si="2"/>
        <v>6294</v>
      </c>
      <c r="F47" s="25">
        <f t="shared" si="3"/>
        <v>1100</v>
      </c>
      <c r="G47" s="29">
        <f t="shared" si="4"/>
        <v>4399</v>
      </c>
      <c r="H47" s="29">
        <f t="shared" si="5"/>
        <v>5194</v>
      </c>
      <c r="I47" s="2">
        <f t="shared" si="6"/>
        <v>936</v>
      </c>
      <c r="J47" s="2">
        <f t="shared" si="7"/>
        <v>644</v>
      </c>
      <c r="K47" s="2">
        <f t="shared" si="8"/>
        <v>498</v>
      </c>
      <c r="L47" s="2" t="str">
        <f t="shared" si="9"/>
        <v>-</v>
      </c>
      <c r="M47" s="2" t="str">
        <f t="shared" si="10"/>
        <v>-</v>
      </c>
      <c r="N47" s="2" t="str">
        <f t="shared" si="11"/>
        <v>-</v>
      </c>
      <c r="O47" s="25">
        <f t="shared" si="12"/>
        <v>1375</v>
      </c>
      <c r="P47" s="29">
        <f t="shared" si="13"/>
        <v>4124</v>
      </c>
      <c r="Q47" s="29">
        <f t="shared" si="14"/>
        <v>4919</v>
      </c>
      <c r="R47" s="2">
        <f t="shared" si="15"/>
        <v>887</v>
      </c>
      <c r="S47" s="2">
        <f t="shared" si="16"/>
        <v>610</v>
      </c>
      <c r="T47" s="2" t="str">
        <f t="shared" si="17"/>
        <v>-</v>
      </c>
      <c r="U47" s="2" t="str">
        <f t="shared" si="18"/>
        <v>-</v>
      </c>
      <c r="V47" s="2" t="str">
        <f t="shared" si="19"/>
        <v>-</v>
      </c>
      <c r="W47" s="2" t="str">
        <f t="shared" si="20"/>
        <v>-</v>
      </c>
      <c r="X47" s="25">
        <f t="shared" si="21"/>
        <v>1650</v>
      </c>
      <c r="Y47" s="29">
        <f t="shared" si="22"/>
        <v>3849</v>
      </c>
      <c r="Z47" s="29">
        <f t="shared" si="23"/>
        <v>4644</v>
      </c>
      <c r="AA47" s="2">
        <f t="shared" si="24"/>
        <v>838</v>
      </c>
      <c r="AB47" s="2">
        <f t="shared" si="25"/>
        <v>577</v>
      </c>
      <c r="AC47" s="2" t="str">
        <f t="shared" si="26"/>
        <v>-</v>
      </c>
      <c r="AD47" s="2" t="str">
        <f t="shared" si="27"/>
        <v>-</v>
      </c>
      <c r="AE47" s="2" t="str">
        <f t="shared" si="28"/>
        <v>-</v>
      </c>
      <c r="AF47" s="2" t="str">
        <f t="shared" si="29"/>
        <v>-</v>
      </c>
      <c r="AG47" s="25">
        <f t="shared" si="30"/>
        <v>1925</v>
      </c>
      <c r="AH47" s="29">
        <f t="shared" si="31"/>
        <v>3574</v>
      </c>
      <c r="AI47" s="29">
        <f t="shared" si="32"/>
        <v>4369</v>
      </c>
      <c r="AJ47" s="2">
        <f t="shared" si="33"/>
        <v>789</v>
      </c>
      <c r="AK47" s="2">
        <f t="shared" si="34"/>
        <v>543</v>
      </c>
      <c r="AL47" s="2" t="str">
        <f t="shared" si="35"/>
        <v>-</v>
      </c>
      <c r="AM47" s="2" t="str">
        <f t="shared" si="36"/>
        <v>-</v>
      </c>
      <c r="AN47" s="2" t="str">
        <f t="shared" si="37"/>
        <v>-</v>
      </c>
      <c r="AO47" s="2" t="str">
        <f t="shared" si="38"/>
        <v>-</v>
      </c>
      <c r="AP47" s="25">
        <f t="shared" si="39"/>
        <v>2200</v>
      </c>
      <c r="AQ47" s="29">
        <f t="shared" si="40"/>
        <v>3299</v>
      </c>
      <c r="AR47" s="29">
        <f t="shared" si="41"/>
        <v>4094</v>
      </c>
      <c r="AS47" s="2">
        <f t="shared" si="42"/>
        <v>740</v>
      </c>
      <c r="AT47" s="2">
        <f t="shared" si="43"/>
        <v>509</v>
      </c>
      <c r="AU47" s="2" t="str">
        <f t="shared" si="44"/>
        <v>-</v>
      </c>
      <c r="AV47" s="2" t="str">
        <f t="shared" si="45"/>
        <v>-</v>
      </c>
      <c r="AW47" s="2" t="str">
        <f t="shared" si="46"/>
        <v>-</v>
      </c>
      <c r="AX47" s="2" t="str">
        <f t="shared" si="47"/>
        <v>-</v>
      </c>
    </row>
    <row r="48" ht="14.25" customHeight="1">
      <c r="A48" s="2" t="str">
        <f t="array" ref="A48">IFERROR(INDEX('Product Price'!A:A,SMALL('Product Price'!$D:$D,46)),"")</f>
        <v>Nubia NEO 5 GT 12/512 GB</v>
      </c>
      <c r="B48" s="29">
        <f t="array" ref="B48">IFERROR(INDEX('Product Price'!B:B,SMALL('Product Price'!$D:$D,46)),"")</f>
        <v>14999</v>
      </c>
      <c r="C48" s="2">
        <f t="array" ref="C48">IFERROR(INDEX('Product Price'!C:C,SMALL('Product Price'!$D:$D,46)),"")</f>
        <v>37</v>
      </c>
      <c r="D48" s="2">
        <f t="shared" si="1"/>
        <v>1450</v>
      </c>
      <c r="E48" s="29">
        <f t="shared" si="2"/>
        <v>16449</v>
      </c>
      <c r="F48" s="25">
        <f t="shared" si="3"/>
        <v>3000</v>
      </c>
      <c r="G48" s="29">
        <f t="shared" si="4"/>
        <v>11999</v>
      </c>
      <c r="H48" s="29">
        <f t="shared" si="5"/>
        <v>13449</v>
      </c>
      <c r="I48" s="2">
        <f t="shared" si="6"/>
        <v>2415</v>
      </c>
      <c r="J48" s="2">
        <f t="shared" si="7"/>
        <v>1662</v>
      </c>
      <c r="K48" s="2">
        <f t="shared" si="8"/>
        <v>1286</v>
      </c>
      <c r="L48" s="2">
        <f t="shared" si="9"/>
        <v>1060</v>
      </c>
      <c r="M48" s="2">
        <f t="shared" si="10"/>
        <v>909</v>
      </c>
      <c r="N48" s="2">
        <f t="shared" si="11"/>
        <v>721</v>
      </c>
      <c r="O48" s="25">
        <f t="shared" si="12"/>
        <v>3750</v>
      </c>
      <c r="P48" s="29">
        <f t="shared" si="13"/>
        <v>11249</v>
      </c>
      <c r="Q48" s="29">
        <f t="shared" si="14"/>
        <v>12699</v>
      </c>
      <c r="R48" s="2">
        <f t="shared" si="15"/>
        <v>2281</v>
      </c>
      <c r="S48" s="2">
        <f t="shared" si="16"/>
        <v>1570</v>
      </c>
      <c r="T48" s="2">
        <f t="shared" si="17"/>
        <v>1214</v>
      </c>
      <c r="U48" s="2">
        <f t="shared" si="18"/>
        <v>1001</v>
      </c>
      <c r="V48" s="2">
        <f t="shared" si="19"/>
        <v>859</v>
      </c>
      <c r="W48" s="2">
        <f t="shared" si="20"/>
        <v>681</v>
      </c>
      <c r="X48" s="25">
        <f t="shared" si="21"/>
        <v>4500</v>
      </c>
      <c r="Y48" s="29">
        <f t="shared" si="22"/>
        <v>10499</v>
      </c>
      <c r="Z48" s="29">
        <f t="shared" si="23"/>
        <v>11949</v>
      </c>
      <c r="AA48" s="2">
        <f t="shared" si="24"/>
        <v>2147</v>
      </c>
      <c r="AB48" s="2">
        <f t="shared" si="25"/>
        <v>1478</v>
      </c>
      <c r="AC48" s="2">
        <f t="shared" si="26"/>
        <v>1143</v>
      </c>
      <c r="AD48" s="2">
        <f t="shared" si="27"/>
        <v>942</v>
      </c>
      <c r="AE48" s="2">
        <f t="shared" si="28"/>
        <v>809</v>
      </c>
      <c r="AF48" s="2">
        <f t="shared" si="29"/>
        <v>641</v>
      </c>
      <c r="AG48" s="25">
        <f t="shared" si="30"/>
        <v>5250</v>
      </c>
      <c r="AH48" s="29">
        <f t="shared" si="31"/>
        <v>9749</v>
      </c>
      <c r="AI48" s="29">
        <f t="shared" si="32"/>
        <v>11199</v>
      </c>
      <c r="AJ48" s="2">
        <f t="shared" si="33"/>
        <v>2014</v>
      </c>
      <c r="AK48" s="2">
        <f t="shared" si="34"/>
        <v>1386</v>
      </c>
      <c r="AL48" s="2">
        <f t="shared" si="35"/>
        <v>1072</v>
      </c>
      <c r="AM48" s="2">
        <f t="shared" si="36"/>
        <v>884</v>
      </c>
      <c r="AN48" s="2">
        <f t="shared" si="37"/>
        <v>758</v>
      </c>
      <c r="AO48" s="2">
        <f t="shared" si="38"/>
        <v>601</v>
      </c>
      <c r="AP48" s="25">
        <f t="shared" si="39"/>
        <v>6000</v>
      </c>
      <c r="AQ48" s="29">
        <f t="shared" si="40"/>
        <v>8999</v>
      </c>
      <c r="AR48" s="29">
        <f t="shared" si="41"/>
        <v>10449</v>
      </c>
      <c r="AS48" s="2">
        <f t="shared" si="42"/>
        <v>1880</v>
      </c>
      <c r="AT48" s="2">
        <f t="shared" si="43"/>
        <v>1294</v>
      </c>
      <c r="AU48" s="2">
        <f t="shared" si="44"/>
        <v>1001</v>
      </c>
      <c r="AV48" s="2">
        <f t="shared" si="45"/>
        <v>825</v>
      </c>
      <c r="AW48" s="2">
        <f t="shared" si="46"/>
        <v>708</v>
      </c>
      <c r="AX48" s="2">
        <f t="shared" si="47"/>
        <v>561</v>
      </c>
    </row>
    <row r="49" ht="14.25" customHeight="1">
      <c r="A49" s="2" t="str">
        <f t="array" ref="A49">IFERROR(INDEX('Product Price'!A:A,SMALL('Product Price'!$D:$D,47)),"")</f>
        <v>Nubia NEO 5 GT 8/258 GB</v>
      </c>
      <c r="B49" s="29">
        <f t="array" ref="B49">IFERROR(INDEX('Product Price'!B:B,SMALL('Product Price'!$D:$D,47)),"")</f>
        <v>11999</v>
      </c>
      <c r="C49" s="2">
        <f t="array" ref="C49">IFERROR(INDEX('Product Price'!C:C,SMALL('Product Price'!$D:$D,47)),"")</f>
        <v>38</v>
      </c>
      <c r="D49" s="2">
        <f t="shared" si="1"/>
        <v>1450</v>
      </c>
      <c r="E49" s="29">
        <f t="shared" si="2"/>
        <v>13449</v>
      </c>
      <c r="F49" s="25">
        <f t="shared" si="3"/>
        <v>2400</v>
      </c>
      <c r="G49" s="29">
        <f t="shared" si="4"/>
        <v>9599</v>
      </c>
      <c r="H49" s="29">
        <f t="shared" si="5"/>
        <v>11049</v>
      </c>
      <c r="I49" s="2">
        <f t="shared" si="6"/>
        <v>1987</v>
      </c>
      <c r="J49" s="2">
        <f t="shared" si="7"/>
        <v>1368</v>
      </c>
      <c r="K49" s="2">
        <f t="shared" si="8"/>
        <v>1058</v>
      </c>
      <c r="L49" s="2">
        <f t="shared" si="9"/>
        <v>872</v>
      </c>
      <c r="M49" s="2">
        <f t="shared" si="10"/>
        <v>748</v>
      </c>
      <c r="N49" s="2">
        <f t="shared" si="11"/>
        <v>593</v>
      </c>
      <c r="O49" s="25">
        <f t="shared" si="12"/>
        <v>3000</v>
      </c>
      <c r="P49" s="29">
        <f t="shared" si="13"/>
        <v>8999</v>
      </c>
      <c r="Q49" s="29">
        <f t="shared" si="14"/>
        <v>10449</v>
      </c>
      <c r="R49" s="2">
        <f t="shared" si="15"/>
        <v>1880</v>
      </c>
      <c r="S49" s="2">
        <f t="shared" si="16"/>
        <v>1294</v>
      </c>
      <c r="T49" s="2">
        <f t="shared" si="17"/>
        <v>1001</v>
      </c>
      <c r="U49" s="2">
        <f t="shared" si="18"/>
        <v>825</v>
      </c>
      <c r="V49" s="2">
        <f t="shared" si="19"/>
        <v>708</v>
      </c>
      <c r="W49" s="2">
        <f t="shared" si="20"/>
        <v>561</v>
      </c>
      <c r="X49" s="25">
        <f t="shared" si="21"/>
        <v>3600</v>
      </c>
      <c r="Y49" s="29">
        <f t="shared" si="22"/>
        <v>8399</v>
      </c>
      <c r="Z49" s="29">
        <f t="shared" si="23"/>
        <v>9849</v>
      </c>
      <c r="AA49" s="2">
        <f t="shared" si="24"/>
        <v>1773</v>
      </c>
      <c r="AB49" s="2">
        <f t="shared" si="25"/>
        <v>1221</v>
      </c>
      <c r="AC49" s="2">
        <f t="shared" si="26"/>
        <v>944</v>
      </c>
      <c r="AD49" s="2">
        <f t="shared" si="27"/>
        <v>778</v>
      </c>
      <c r="AE49" s="2">
        <f t="shared" si="28"/>
        <v>668</v>
      </c>
      <c r="AF49" s="2">
        <f t="shared" si="29"/>
        <v>530</v>
      </c>
      <c r="AG49" s="25">
        <f t="shared" si="30"/>
        <v>4200</v>
      </c>
      <c r="AH49" s="29">
        <f t="shared" si="31"/>
        <v>7799</v>
      </c>
      <c r="AI49" s="29">
        <f t="shared" si="32"/>
        <v>9249</v>
      </c>
      <c r="AJ49" s="2">
        <f t="shared" si="33"/>
        <v>1666</v>
      </c>
      <c r="AK49" s="2">
        <f t="shared" si="34"/>
        <v>1147</v>
      </c>
      <c r="AL49" s="2">
        <f t="shared" si="35"/>
        <v>887</v>
      </c>
      <c r="AM49" s="2">
        <f t="shared" si="36"/>
        <v>731</v>
      </c>
      <c r="AN49" s="2">
        <f t="shared" si="37"/>
        <v>628</v>
      </c>
      <c r="AO49" s="2">
        <f t="shared" si="38"/>
        <v>498</v>
      </c>
      <c r="AP49" s="25">
        <f t="shared" si="39"/>
        <v>4800</v>
      </c>
      <c r="AQ49" s="29">
        <f t="shared" si="40"/>
        <v>7199</v>
      </c>
      <c r="AR49" s="29">
        <f t="shared" si="41"/>
        <v>8649</v>
      </c>
      <c r="AS49" s="2">
        <f t="shared" si="42"/>
        <v>1560</v>
      </c>
      <c r="AT49" s="2">
        <f t="shared" si="43"/>
        <v>1073</v>
      </c>
      <c r="AU49" s="2">
        <f t="shared" si="44"/>
        <v>830</v>
      </c>
      <c r="AV49" s="2">
        <f t="shared" si="45"/>
        <v>684</v>
      </c>
      <c r="AW49" s="2">
        <f t="shared" si="46"/>
        <v>587</v>
      </c>
      <c r="AX49" s="2" t="str">
        <f t="shared" si="47"/>
        <v>-</v>
      </c>
    </row>
    <row r="50" ht="14.25" customHeight="1">
      <c r="A50" s="2" t="str">
        <f t="array" ref="A50">IFERROR(INDEX('Product Price'!A:A,SMALL('Product Price'!$D:$D,48)),"")</f>
        <v>Nubia NEO 5 Pro 5G 12/258 GB</v>
      </c>
      <c r="B50" s="29">
        <f t="array" ref="B50">IFERROR(INDEX('Product Price'!B:B,SMALL('Product Price'!$D:$D,48)),"")</f>
        <v>8999</v>
      </c>
      <c r="C50" s="2">
        <f t="array" ref="C50">IFERROR(INDEX('Product Price'!C:C,SMALL('Product Price'!$D:$D,48)),"")</f>
        <v>39</v>
      </c>
      <c r="D50" s="2">
        <f t="shared" si="1"/>
        <v>795</v>
      </c>
      <c r="E50" s="29">
        <f t="shared" si="2"/>
        <v>9794</v>
      </c>
      <c r="F50" s="25">
        <f t="shared" si="3"/>
        <v>1800</v>
      </c>
      <c r="G50" s="29">
        <f t="shared" si="4"/>
        <v>7199</v>
      </c>
      <c r="H50" s="29">
        <f t="shared" si="5"/>
        <v>7994</v>
      </c>
      <c r="I50" s="2">
        <f t="shared" si="6"/>
        <v>1435</v>
      </c>
      <c r="J50" s="2">
        <f t="shared" si="7"/>
        <v>987</v>
      </c>
      <c r="K50" s="2">
        <f t="shared" si="8"/>
        <v>764</v>
      </c>
      <c r="L50" s="2">
        <f t="shared" si="9"/>
        <v>630</v>
      </c>
      <c r="M50" s="2">
        <f t="shared" si="10"/>
        <v>540</v>
      </c>
      <c r="N50" s="2" t="str">
        <f t="shared" si="11"/>
        <v>-</v>
      </c>
      <c r="O50" s="25">
        <f t="shared" si="12"/>
        <v>2250</v>
      </c>
      <c r="P50" s="29">
        <f t="shared" si="13"/>
        <v>6749</v>
      </c>
      <c r="Q50" s="29">
        <f t="shared" si="14"/>
        <v>7544</v>
      </c>
      <c r="R50" s="2">
        <f t="shared" si="15"/>
        <v>1355</v>
      </c>
      <c r="S50" s="2">
        <f t="shared" si="16"/>
        <v>932</v>
      </c>
      <c r="T50" s="2">
        <f t="shared" si="17"/>
        <v>721</v>
      </c>
      <c r="U50" s="2">
        <f t="shared" si="18"/>
        <v>595</v>
      </c>
      <c r="V50" s="2">
        <f t="shared" si="19"/>
        <v>510</v>
      </c>
      <c r="W50" s="2" t="str">
        <f t="shared" si="20"/>
        <v>-</v>
      </c>
      <c r="X50" s="25">
        <f t="shared" si="21"/>
        <v>2700</v>
      </c>
      <c r="Y50" s="29">
        <f t="shared" si="22"/>
        <v>6299</v>
      </c>
      <c r="Z50" s="29">
        <f t="shared" si="23"/>
        <v>7094</v>
      </c>
      <c r="AA50" s="2">
        <f t="shared" si="24"/>
        <v>1274</v>
      </c>
      <c r="AB50" s="2">
        <f t="shared" si="25"/>
        <v>877</v>
      </c>
      <c r="AC50" s="2">
        <f t="shared" si="26"/>
        <v>679</v>
      </c>
      <c r="AD50" s="2">
        <f t="shared" si="27"/>
        <v>559</v>
      </c>
      <c r="AE50" s="2">
        <f t="shared" si="28"/>
        <v>480</v>
      </c>
      <c r="AF50" s="2" t="str">
        <f t="shared" si="29"/>
        <v>-</v>
      </c>
      <c r="AG50" s="25">
        <f t="shared" si="30"/>
        <v>3150</v>
      </c>
      <c r="AH50" s="29">
        <f t="shared" si="31"/>
        <v>5849</v>
      </c>
      <c r="AI50" s="29">
        <f t="shared" si="32"/>
        <v>6644</v>
      </c>
      <c r="AJ50" s="2">
        <f t="shared" si="33"/>
        <v>1194</v>
      </c>
      <c r="AK50" s="2">
        <f t="shared" si="34"/>
        <v>822</v>
      </c>
      <c r="AL50" s="2">
        <f t="shared" si="35"/>
        <v>636</v>
      </c>
      <c r="AM50" s="2">
        <f t="shared" si="36"/>
        <v>524</v>
      </c>
      <c r="AN50" s="2" t="str">
        <f t="shared" si="37"/>
        <v>-</v>
      </c>
      <c r="AO50" s="2" t="str">
        <f t="shared" si="38"/>
        <v>-</v>
      </c>
      <c r="AP50" s="25">
        <f t="shared" si="39"/>
        <v>3600</v>
      </c>
      <c r="AQ50" s="29">
        <f t="shared" si="40"/>
        <v>5399</v>
      </c>
      <c r="AR50" s="29">
        <f t="shared" si="41"/>
        <v>6194</v>
      </c>
      <c r="AS50" s="2">
        <f t="shared" si="42"/>
        <v>1114</v>
      </c>
      <c r="AT50" s="2">
        <f t="shared" si="43"/>
        <v>767</v>
      </c>
      <c r="AU50" s="2">
        <f t="shared" si="44"/>
        <v>593</v>
      </c>
      <c r="AV50" s="2">
        <f t="shared" si="45"/>
        <v>489</v>
      </c>
      <c r="AW50" s="2" t="str">
        <f t="shared" si="46"/>
        <v>-</v>
      </c>
      <c r="AX50" s="2" t="str">
        <f t="shared" si="47"/>
        <v>-</v>
      </c>
    </row>
    <row r="51" ht="14.25" customHeight="1">
      <c r="A51" s="2" t="str">
        <f t="array" ref="A51">IFERROR(INDEX('Product Price'!A:A,SMALL('Product Price'!$D:$D,49)),"")</f>
        <v>Nubia NEO 5 5G 8/128 GB</v>
      </c>
      <c r="B51" s="29">
        <f t="array" ref="B51">IFERROR(INDEX('Product Price'!B:B,SMALL('Product Price'!$D:$D,49)),"")</f>
        <v>7999</v>
      </c>
      <c r="C51" s="2">
        <f t="array" ref="C51">IFERROR(INDEX('Product Price'!C:C,SMALL('Product Price'!$D:$D,49)),"")</f>
        <v>40</v>
      </c>
      <c r="D51" s="2">
        <f t="shared" si="1"/>
        <v>795</v>
      </c>
      <c r="E51" s="29">
        <f t="shared" si="2"/>
        <v>8794</v>
      </c>
      <c r="F51" s="25">
        <f t="shared" si="3"/>
        <v>1600</v>
      </c>
      <c r="G51" s="29">
        <f t="shared" si="4"/>
        <v>6399</v>
      </c>
      <c r="H51" s="29">
        <f t="shared" si="5"/>
        <v>7194</v>
      </c>
      <c r="I51" s="2">
        <f t="shared" si="6"/>
        <v>1292</v>
      </c>
      <c r="J51" s="2">
        <f t="shared" si="7"/>
        <v>889</v>
      </c>
      <c r="K51" s="2">
        <f t="shared" si="8"/>
        <v>688</v>
      </c>
      <c r="L51" s="2">
        <f t="shared" si="9"/>
        <v>567</v>
      </c>
      <c r="M51" s="2">
        <f t="shared" si="10"/>
        <v>487</v>
      </c>
      <c r="N51" s="2" t="str">
        <f t="shared" si="11"/>
        <v>-</v>
      </c>
      <c r="O51" s="25">
        <f t="shared" si="12"/>
        <v>2000</v>
      </c>
      <c r="P51" s="29">
        <f t="shared" si="13"/>
        <v>5999</v>
      </c>
      <c r="Q51" s="29">
        <f t="shared" si="14"/>
        <v>6794</v>
      </c>
      <c r="R51" s="2">
        <f t="shared" si="15"/>
        <v>1221</v>
      </c>
      <c r="S51" s="2">
        <f t="shared" si="16"/>
        <v>840</v>
      </c>
      <c r="T51" s="2">
        <f t="shared" si="17"/>
        <v>650</v>
      </c>
      <c r="U51" s="2">
        <f t="shared" si="18"/>
        <v>536</v>
      </c>
      <c r="V51" s="2">
        <f t="shared" si="19"/>
        <v>460</v>
      </c>
      <c r="W51" s="2" t="str">
        <f t="shared" si="20"/>
        <v>-</v>
      </c>
      <c r="X51" s="25">
        <f t="shared" si="21"/>
        <v>2400</v>
      </c>
      <c r="Y51" s="29">
        <f t="shared" si="22"/>
        <v>5599</v>
      </c>
      <c r="Z51" s="29">
        <f t="shared" si="23"/>
        <v>6394</v>
      </c>
      <c r="AA51" s="2">
        <f t="shared" si="24"/>
        <v>1150</v>
      </c>
      <c r="AB51" s="2">
        <f t="shared" si="25"/>
        <v>791</v>
      </c>
      <c r="AC51" s="2">
        <f t="shared" si="26"/>
        <v>612</v>
      </c>
      <c r="AD51" s="2">
        <f t="shared" si="27"/>
        <v>505</v>
      </c>
      <c r="AE51" s="2" t="str">
        <f t="shared" si="28"/>
        <v>-</v>
      </c>
      <c r="AF51" s="2" t="str">
        <f t="shared" si="29"/>
        <v>-</v>
      </c>
      <c r="AG51" s="25">
        <f t="shared" si="30"/>
        <v>2800</v>
      </c>
      <c r="AH51" s="29">
        <f t="shared" si="31"/>
        <v>5199</v>
      </c>
      <c r="AI51" s="29">
        <f t="shared" si="32"/>
        <v>5994</v>
      </c>
      <c r="AJ51" s="2">
        <f t="shared" si="33"/>
        <v>1078</v>
      </c>
      <c r="AK51" s="2">
        <f t="shared" si="34"/>
        <v>742</v>
      </c>
      <c r="AL51" s="2">
        <f t="shared" si="35"/>
        <v>574</v>
      </c>
      <c r="AM51" s="2">
        <f t="shared" si="36"/>
        <v>473</v>
      </c>
      <c r="AN51" s="2" t="str">
        <f t="shared" si="37"/>
        <v>-</v>
      </c>
      <c r="AO51" s="2" t="str">
        <f t="shared" si="38"/>
        <v>-</v>
      </c>
      <c r="AP51" s="25">
        <f t="shared" si="39"/>
        <v>3200</v>
      </c>
      <c r="AQ51" s="29">
        <f t="shared" si="40"/>
        <v>4799</v>
      </c>
      <c r="AR51" s="29">
        <f t="shared" si="41"/>
        <v>5594</v>
      </c>
      <c r="AS51" s="2">
        <f t="shared" si="42"/>
        <v>1007</v>
      </c>
      <c r="AT51" s="2">
        <f t="shared" si="43"/>
        <v>693</v>
      </c>
      <c r="AU51" s="2">
        <f t="shared" si="44"/>
        <v>536</v>
      </c>
      <c r="AV51" s="2" t="str">
        <f t="shared" si="45"/>
        <v>-</v>
      </c>
      <c r="AW51" s="2" t="str">
        <f t="shared" si="46"/>
        <v>-</v>
      </c>
      <c r="AX51" s="2" t="str">
        <f t="shared" si="47"/>
        <v>-</v>
      </c>
    </row>
    <row r="52" ht="14.25" customHeight="1">
      <c r="A52" s="2" t="str">
        <f t="array" ref="A52">IFERROR(INDEX('Product Price'!A:A,SMALL('Product Price'!$D:$D,50)),"")</f>
        <v>Nubia NEO 3 GT 5G 12/256 GB</v>
      </c>
      <c r="B52" s="29">
        <f t="array" ref="B52">IFERROR(INDEX('Product Price'!B:B,SMALL('Product Price'!$D:$D,50)),"")</f>
        <v>8499</v>
      </c>
      <c r="C52" s="2">
        <f t="array" ref="C52">IFERROR(INDEX('Product Price'!C:C,SMALL('Product Price'!$D:$D,50)),"")</f>
        <v>41</v>
      </c>
      <c r="D52" s="2">
        <f t="shared" si="1"/>
        <v>795</v>
      </c>
      <c r="E52" s="29">
        <f t="shared" si="2"/>
        <v>9294</v>
      </c>
      <c r="F52" s="25">
        <f t="shared" si="3"/>
        <v>1700</v>
      </c>
      <c r="G52" s="29">
        <f t="shared" si="4"/>
        <v>6799</v>
      </c>
      <c r="H52" s="29">
        <f t="shared" si="5"/>
        <v>7594</v>
      </c>
      <c r="I52" s="2">
        <f t="shared" si="6"/>
        <v>1363</v>
      </c>
      <c r="J52" s="2">
        <f t="shared" si="7"/>
        <v>938</v>
      </c>
      <c r="K52" s="2">
        <f t="shared" si="8"/>
        <v>726</v>
      </c>
      <c r="L52" s="2">
        <f t="shared" si="9"/>
        <v>598</v>
      </c>
      <c r="M52" s="2">
        <f t="shared" si="10"/>
        <v>513</v>
      </c>
      <c r="N52" s="2" t="str">
        <f t="shared" si="11"/>
        <v>-</v>
      </c>
      <c r="O52" s="25">
        <f t="shared" si="12"/>
        <v>2125</v>
      </c>
      <c r="P52" s="29">
        <f t="shared" si="13"/>
        <v>6374</v>
      </c>
      <c r="Q52" s="29">
        <f t="shared" si="14"/>
        <v>7169</v>
      </c>
      <c r="R52" s="2">
        <f t="shared" si="15"/>
        <v>1288</v>
      </c>
      <c r="S52" s="2">
        <f t="shared" si="16"/>
        <v>886</v>
      </c>
      <c r="T52" s="2">
        <f t="shared" si="17"/>
        <v>686</v>
      </c>
      <c r="U52" s="2">
        <f t="shared" si="18"/>
        <v>565</v>
      </c>
      <c r="V52" s="2">
        <f t="shared" si="19"/>
        <v>485</v>
      </c>
      <c r="W52" s="2" t="str">
        <f t="shared" si="20"/>
        <v>-</v>
      </c>
      <c r="X52" s="25">
        <f t="shared" si="21"/>
        <v>2550</v>
      </c>
      <c r="Y52" s="29">
        <f t="shared" si="22"/>
        <v>5949</v>
      </c>
      <c r="Z52" s="29">
        <f t="shared" si="23"/>
        <v>6744</v>
      </c>
      <c r="AA52" s="2">
        <f t="shared" si="24"/>
        <v>1212</v>
      </c>
      <c r="AB52" s="2">
        <f t="shared" si="25"/>
        <v>834</v>
      </c>
      <c r="AC52" s="2">
        <f t="shared" si="26"/>
        <v>645</v>
      </c>
      <c r="AD52" s="2">
        <f t="shared" si="27"/>
        <v>532</v>
      </c>
      <c r="AE52" s="2" t="str">
        <f t="shared" si="28"/>
        <v>-</v>
      </c>
      <c r="AF52" s="2" t="str">
        <f t="shared" si="29"/>
        <v>-</v>
      </c>
      <c r="AG52" s="25">
        <f t="shared" si="30"/>
        <v>2975</v>
      </c>
      <c r="AH52" s="29">
        <f t="shared" si="31"/>
        <v>5524</v>
      </c>
      <c r="AI52" s="29">
        <f t="shared" si="32"/>
        <v>6319</v>
      </c>
      <c r="AJ52" s="2">
        <f t="shared" si="33"/>
        <v>1136</v>
      </c>
      <c r="AK52" s="2">
        <f t="shared" si="34"/>
        <v>782</v>
      </c>
      <c r="AL52" s="2">
        <f t="shared" si="35"/>
        <v>605</v>
      </c>
      <c r="AM52" s="2">
        <f t="shared" si="36"/>
        <v>499</v>
      </c>
      <c r="AN52" s="2" t="str">
        <f t="shared" si="37"/>
        <v>-</v>
      </c>
      <c r="AO52" s="2" t="str">
        <f t="shared" si="38"/>
        <v>-</v>
      </c>
      <c r="AP52" s="25">
        <f t="shared" si="39"/>
        <v>3400</v>
      </c>
      <c r="AQ52" s="29">
        <f t="shared" si="40"/>
        <v>5099</v>
      </c>
      <c r="AR52" s="29">
        <f t="shared" si="41"/>
        <v>5894</v>
      </c>
      <c r="AS52" s="2">
        <f t="shared" si="42"/>
        <v>1061</v>
      </c>
      <c r="AT52" s="2">
        <f t="shared" si="43"/>
        <v>730</v>
      </c>
      <c r="AU52" s="2">
        <f t="shared" si="44"/>
        <v>565</v>
      </c>
      <c r="AV52" s="2" t="str">
        <f t="shared" si="45"/>
        <v>-</v>
      </c>
      <c r="AW52" s="2" t="str">
        <f t="shared" si="46"/>
        <v>-</v>
      </c>
      <c r="AX52" s="2" t="str">
        <f t="shared" si="47"/>
        <v>-</v>
      </c>
    </row>
    <row r="53" ht="14.25" customHeight="1">
      <c r="A53" s="2" t="str">
        <f t="array" ref="A53">IFERROR(INDEX('Product Price'!A:A,SMALL('Product Price'!$D:$D,51)),"")</f>
        <v>Nubia Air 5G 8/256 GB</v>
      </c>
      <c r="B53" s="29">
        <f t="array" ref="B53">IFERROR(INDEX('Product Price'!B:B,SMALL('Product Price'!$D:$D,51)),"")</f>
        <v>7499</v>
      </c>
      <c r="C53" s="2">
        <f t="array" ref="C53">IFERROR(INDEX('Product Price'!C:C,SMALL('Product Price'!$D:$D,51)),"")</f>
        <v>42</v>
      </c>
      <c r="D53" s="2">
        <f t="shared" si="1"/>
        <v>795</v>
      </c>
      <c r="E53" s="29">
        <f t="shared" si="2"/>
        <v>8294</v>
      </c>
      <c r="F53" s="25">
        <f t="shared" si="3"/>
        <v>1500</v>
      </c>
      <c r="G53" s="29">
        <f t="shared" si="4"/>
        <v>5999</v>
      </c>
      <c r="H53" s="29">
        <f t="shared" si="5"/>
        <v>6794</v>
      </c>
      <c r="I53" s="2">
        <f t="shared" si="6"/>
        <v>1221</v>
      </c>
      <c r="J53" s="2">
        <f t="shared" si="7"/>
        <v>840</v>
      </c>
      <c r="K53" s="2">
        <f t="shared" si="8"/>
        <v>650</v>
      </c>
      <c r="L53" s="2">
        <f t="shared" si="9"/>
        <v>536</v>
      </c>
      <c r="M53" s="2">
        <f t="shared" si="10"/>
        <v>460</v>
      </c>
      <c r="N53" s="2" t="str">
        <f t="shared" si="11"/>
        <v>-</v>
      </c>
      <c r="O53" s="25">
        <f t="shared" si="12"/>
        <v>1875</v>
      </c>
      <c r="P53" s="29">
        <f t="shared" si="13"/>
        <v>5624</v>
      </c>
      <c r="Q53" s="29">
        <f t="shared" si="14"/>
        <v>6419</v>
      </c>
      <c r="R53" s="2">
        <f t="shared" si="15"/>
        <v>1154</v>
      </c>
      <c r="S53" s="2">
        <f t="shared" si="16"/>
        <v>794</v>
      </c>
      <c r="T53" s="2">
        <f t="shared" si="17"/>
        <v>615</v>
      </c>
      <c r="U53" s="2">
        <f t="shared" si="18"/>
        <v>507</v>
      </c>
      <c r="V53" s="2" t="str">
        <f t="shared" si="19"/>
        <v>-</v>
      </c>
      <c r="W53" s="2" t="str">
        <f t="shared" si="20"/>
        <v>-</v>
      </c>
      <c r="X53" s="25">
        <f t="shared" si="21"/>
        <v>2250</v>
      </c>
      <c r="Y53" s="29">
        <f t="shared" si="22"/>
        <v>5249</v>
      </c>
      <c r="Z53" s="29">
        <f t="shared" si="23"/>
        <v>6044</v>
      </c>
      <c r="AA53" s="2">
        <f t="shared" si="24"/>
        <v>1087</v>
      </c>
      <c r="AB53" s="2">
        <f t="shared" si="25"/>
        <v>748</v>
      </c>
      <c r="AC53" s="2">
        <f t="shared" si="26"/>
        <v>579</v>
      </c>
      <c r="AD53" s="2">
        <f t="shared" si="27"/>
        <v>477</v>
      </c>
      <c r="AE53" s="2" t="str">
        <f t="shared" si="28"/>
        <v>-</v>
      </c>
      <c r="AF53" s="2" t="str">
        <f t="shared" si="29"/>
        <v>-</v>
      </c>
      <c r="AG53" s="25">
        <f t="shared" si="30"/>
        <v>2625</v>
      </c>
      <c r="AH53" s="29">
        <f t="shared" si="31"/>
        <v>4874</v>
      </c>
      <c r="AI53" s="29">
        <f t="shared" si="32"/>
        <v>5669</v>
      </c>
      <c r="AJ53" s="2">
        <f t="shared" si="33"/>
        <v>1020</v>
      </c>
      <c r="AK53" s="2">
        <f t="shared" si="34"/>
        <v>702</v>
      </c>
      <c r="AL53" s="2">
        <f t="shared" si="35"/>
        <v>543</v>
      </c>
      <c r="AM53" s="2" t="str">
        <f t="shared" si="36"/>
        <v>-</v>
      </c>
      <c r="AN53" s="2" t="str">
        <f t="shared" si="37"/>
        <v>-</v>
      </c>
      <c r="AO53" s="2" t="str">
        <f t="shared" si="38"/>
        <v>-</v>
      </c>
      <c r="AP53" s="25">
        <f t="shared" si="39"/>
        <v>3000</v>
      </c>
      <c r="AQ53" s="29">
        <f t="shared" si="40"/>
        <v>4499</v>
      </c>
      <c r="AR53" s="29">
        <f t="shared" si="41"/>
        <v>5294</v>
      </c>
      <c r="AS53" s="2">
        <f t="shared" si="42"/>
        <v>954</v>
      </c>
      <c r="AT53" s="2">
        <f t="shared" si="43"/>
        <v>656</v>
      </c>
      <c r="AU53" s="2">
        <f t="shared" si="44"/>
        <v>508</v>
      </c>
      <c r="AV53" s="2" t="str">
        <f t="shared" si="45"/>
        <v>-</v>
      </c>
      <c r="AW53" s="2" t="str">
        <f t="shared" si="46"/>
        <v>-</v>
      </c>
      <c r="AX53" s="2" t="str">
        <f t="shared" si="47"/>
        <v>-</v>
      </c>
    </row>
    <row r="54" ht="14.25" customHeight="1">
      <c r="A54" s="2" t="str">
        <f t="array" ref="A54">IFERROR(INDEX('Product Price'!A:A,SMALL('Product Price'!$D:$D,52)),"")</f>
        <v>Nubia NEO 3 5G 8/256 GB</v>
      </c>
      <c r="B54" s="29">
        <f t="array" ref="B54">IFERROR(INDEX('Product Price'!B:B,SMALL('Product Price'!$D:$D,52)),"")</f>
        <v>6499</v>
      </c>
      <c r="C54" s="2">
        <f t="array" ref="C54">IFERROR(INDEX('Product Price'!C:C,SMALL('Product Price'!$D:$D,52)),"")</f>
        <v>43</v>
      </c>
      <c r="D54" s="2">
        <f t="shared" si="1"/>
        <v>795</v>
      </c>
      <c r="E54" s="29">
        <f t="shared" si="2"/>
        <v>7294</v>
      </c>
      <c r="F54" s="25">
        <f t="shared" si="3"/>
        <v>1300</v>
      </c>
      <c r="G54" s="29">
        <f t="shared" si="4"/>
        <v>5199</v>
      </c>
      <c r="H54" s="29">
        <f t="shared" si="5"/>
        <v>5994</v>
      </c>
      <c r="I54" s="2">
        <f t="shared" si="6"/>
        <v>1078</v>
      </c>
      <c r="J54" s="2">
        <f t="shared" si="7"/>
        <v>742</v>
      </c>
      <c r="K54" s="2">
        <f t="shared" si="8"/>
        <v>574</v>
      </c>
      <c r="L54" s="2">
        <f t="shared" si="9"/>
        <v>473</v>
      </c>
      <c r="M54" s="2" t="str">
        <f t="shared" si="10"/>
        <v>-</v>
      </c>
      <c r="N54" s="2" t="str">
        <f t="shared" si="11"/>
        <v>-</v>
      </c>
      <c r="O54" s="25">
        <f t="shared" si="12"/>
        <v>1625</v>
      </c>
      <c r="P54" s="29">
        <f t="shared" si="13"/>
        <v>4874</v>
      </c>
      <c r="Q54" s="29">
        <f t="shared" si="14"/>
        <v>5669</v>
      </c>
      <c r="R54" s="2">
        <f t="shared" si="15"/>
        <v>1020</v>
      </c>
      <c r="S54" s="2">
        <f t="shared" si="16"/>
        <v>702</v>
      </c>
      <c r="T54" s="2">
        <f t="shared" si="17"/>
        <v>543</v>
      </c>
      <c r="U54" s="2" t="str">
        <f t="shared" si="18"/>
        <v>-</v>
      </c>
      <c r="V54" s="2" t="str">
        <f t="shared" si="19"/>
        <v>-</v>
      </c>
      <c r="W54" s="2" t="str">
        <f t="shared" si="20"/>
        <v>-</v>
      </c>
      <c r="X54" s="25">
        <f t="shared" si="21"/>
        <v>1950</v>
      </c>
      <c r="Y54" s="29">
        <f t="shared" si="22"/>
        <v>4549</v>
      </c>
      <c r="Z54" s="29">
        <f t="shared" si="23"/>
        <v>5344</v>
      </c>
      <c r="AA54" s="2">
        <f t="shared" si="24"/>
        <v>963</v>
      </c>
      <c r="AB54" s="2">
        <f t="shared" si="25"/>
        <v>663</v>
      </c>
      <c r="AC54" s="2">
        <f t="shared" si="26"/>
        <v>513</v>
      </c>
      <c r="AD54" s="2" t="str">
        <f t="shared" si="27"/>
        <v>-</v>
      </c>
      <c r="AE54" s="2" t="str">
        <f t="shared" si="28"/>
        <v>-</v>
      </c>
      <c r="AF54" s="2" t="str">
        <f t="shared" si="29"/>
        <v>-</v>
      </c>
      <c r="AG54" s="25">
        <f t="shared" si="30"/>
        <v>2275</v>
      </c>
      <c r="AH54" s="29">
        <f t="shared" si="31"/>
        <v>4224</v>
      </c>
      <c r="AI54" s="29">
        <f t="shared" si="32"/>
        <v>5019</v>
      </c>
      <c r="AJ54" s="2">
        <f t="shared" si="33"/>
        <v>905</v>
      </c>
      <c r="AK54" s="2">
        <f t="shared" si="34"/>
        <v>623</v>
      </c>
      <c r="AL54" s="2">
        <f t="shared" si="35"/>
        <v>482</v>
      </c>
      <c r="AM54" s="2" t="str">
        <f t="shared" si="36"/>
        <v>-</v>
      </c>
      <c r="AN54" s="2" t="str">
        <f t="shared" si="37"/>
        <v>-</v>
      </c>
      <c r="AO54" s="2" t="str">
        <f t="shared" si="38"/>
        <v>-</v>
      </c>
      <c r="AP54" s="25">
        <f t="shared" si="39"/>
        <v>2600</v>
      </c>
      <c r="AQ54" s="29">
        <f t="shared" si="40"/>
        <v>3899</v>
      </c>
      <c r="AR54" s="29">
        <f t="shared" si="41"/>
        <v>4694</v>
      </c>
      <c r="AS54" s="2">
        <f t="shared" si="42"/>
        <v>847</v>
      </c>
      <c r="AT54" s="2">
        <f t="shared" si="43"/>
        <v>583</v>
      </c>
      <c r="AU54" s="2" t="str">
        <f t="shared" si="44"/>
        <v>-</v>
      </c>
      <c r="AV54" s="2" t="str">
        <f t="shared" si="45"/>
        <v>-</v>
      </c>
      <c r="AW54" s="2" t="str">
        <f t="shared" si="46"/>
        <v>-</v>
      </c>
      <c r="AX54" s="2" t="str">
        <f t="shared" si="47"/>
        <v>-</v>
      </c>
    </row>
    <row r="55" ht="14.25" customHeight="1">
      <c r="A55" s="2" t="str">
        <f t="array" ref="A55">IFERROR(INDEX('Product Price'!A:A,SMALL('Product Price'!$D:$D,53)),"")</f>
        <v>realme 16 Pro+ 5G 12/512 GB</v>
      </c>
      <c r="B55" s="29">
        <f t="array" ref="B55">IFERROR(INDEX('Product Price'!B:B,SMALL('Product Price'!$D:$D,53)),"")</f>
        <v>23999</v>
      </c>
      <c r="C55" s="2">
        <f t="array" ref="C55">IFERROR(INDEX('Product Price'!C:C,SMALL('Product Price'!$D:$D,53)),"")</f>
        <v>44</v>
      </c>
      <c r="D55" s="2">
        <f t="shared" si="1"/>
        <v>1900</v>
      </c>
      <c r="E55" s="29">
        <f t="shared" si="2"/>
        <v>25899</v>
      </c>
      <c r="F55" s="25">
        <f t="shared" si="3"/>
        <v>4800</v>
      </c>
      <c r="G55" s="29">
        <f t="shared" si="4"/>
        <v>19199</v>
      </c>
      <c r="H55" s="29">
        <f t="shared" si="5"/>
        <v>21099</v>
      </c>
      <c r="I55" s="2">
        <f t="shared" si="6"/>
        <v>3783</v>
      </c>
      <c r="J55" s="2">
        <f t="shared" si="7"/>
        <v>2604</v>
      </c>
      <c r="K55" s="2">
        <f t="shared" si="8"/>
        <v>2014</v>
      </c>
      <c r="L55" s="2">
        <f t="shared" si="9"/>
        <v>1660</v>
      </c>
      <c r="M55" s="2">
        <f t="shared" si="10"/>
        <v>1424</v>
      </c>
      <c r="N55" s="2">
        <f t="shared" si="11"/>
        <v>1129</v>
      </c>
      <c r="O55" s="25">
        <f t="shared" si="12"/>
        <v>6000</v>
      </c>
      <c r="P55" s="29">
        <f t="shared" si="13"/>
        <v>17999</v>
      </c>
      <c r="Q55" s="29">
        <f t="shared" si="14"/>
        <v>19899</v>
      </c>
      <c r="R55" s="2">
        <f t="shared" si="15"/>
        <v>3570</v>
      </c>
      <c r="S55" s="2">
        <f t="shared" si="16"/>
        <v>2457</v>
      </c>
      <c r="T55" s="2">
        <f t="shared" si="17"/>
        <v>1900</v>
      </c>
      <c r="U55" s="2">
        <f t="shared" si="18"/>
        <v>1566</v>
      </c>
      <c r="V55" s="2">
        <f t="shared" si="19"/>
        <v>1344</v>
      </c>
      <c r="W55" s="2">
        <f t="shared" si="20"/>
        <v>1066</v>
      </c>
      <c r="X55" s="25">
        <f t="shared" si="21"/>
        <v>7200</v>
      </c>
      <c r="Y55" s="29">
        <f t="shared" si="22"/>
        <v>16799</v>
      </c>
      <c r="Z55" s="29">
        <f t="shared" si="23"/>
        <v>18699</v>
      </c>
      <c r="AA55" s="2">
        <f t="shared" si="24"/>
        <v>3356</v>
      </c>
      <c r="AB55" s="2">
        <f t="shared" si="25"/>
        <v>2310</v>
      </c>
      <c r="AC55" s="2">
        <f t="shared" si="26"/>
        <v>1786</v>
      </c>
      <c r="AD55" s="2">
        <f t="shared" si="27"/>
        <v>1473</v>
      </c>
      <c r="AE55" s="2">
        <f t="shared" si="28"/>
        <v>1263</v>
      </c>
      <c r="AF55" s="2">
        <f t="shared" si="29"/>
        <v>1002</v>
      </c>
      <c r="AG55" s="25">
        <f t="shared" si="30"/>
        <v>8400</v>
      </c>
      <c r="AH55" s="29">
        <f t="shared" si="31"/>
        <v>15599</v>
      </c>
      <c r="AI55" s="29">
        <f t="shared" si="32"/>
        <v>17499</v>
      </c>
      <c r="AJ55" s="2">
        <f t="shared" si="33"/>
        <v>3142</v>
      </c>
      <c r="AK55" s="2">
        <f t="shared" si="34"/>
        <v>2162</v>
      </c>
      <c r="AL55" s="2">
        <f t="shared" si="35"/>
        <v>1673</v>
      </c>
      <c r="AM55" s="2">
        <f t="shared" si="36"/>
        <v>1379</v>
      </c>
      <c r="AN55" s="2">
        <f t="shared" si="37"/>
        <v>1183</v>
      </c>
      <c r="AO55" s="2">
        <f t="shared" si="38"/>
        <v>938</v>
      </c>
      <c r="AP55" s="25">
        <f t="shared" si="39"/>
        <v>9600</v>
      </c>
      <c r="AQ55" s="29">
        <f t="shared" si="40"/>
        <v>14399</v>
      </c>
      <c r="AR55" s="29">
        <f t="shared" si="41"/>
        <v>16299</v>
      </c>
      <c r="AS55" s="2">
        <f t="shared" si="42"/>
        <v>2928</v>
      </c>
      <c r="AT55" s="2">
        <f t="shared" si="43"/>
        <v>2015</v>
      </c>
      <c r="AU55" s="2">
        <f t="shared" si="44"/>
        <v>1559</v>
      </c>
      <c r="AV55" s="2">
        <f t="shared" si="45"/>
        <v>1285</v>
      </c>
      <c r="AW55" s="2">
        <f t="shared" si="46"/>
        <v>1102</v>
      </c>
      <c r="AX55" s="2">
        <f t="shared" si="47"/>
        <v>874</v>
      </c>
    </row>
    <row r="56" ht="14.25" customHeight="1">
      <c r="A56" s="2" t="str">
        <f t="array" ref="A56">IFERROR(INDEX('Product Price'!A:A,SMALL('Product Price'!$D:$D,54)),"")</f>
        <v>realme 16 Pro+ 5G 12/256 GB</v>
      </c>
      <c r="B56" s="29">
        <f t="array" ref="B56">IFERROR(INDEX('Product Price'!B:B,SMALL('Product Price'!$D:$D,54)),"")</f>
        <v>17499</v>
      </c>
      <c r="C56" s="2">
        <f t="array" ref="C56">IFERROR(INDEX('Product Price'!C:C,SMALL('Product Price'!$D:$D,54)),"")</f>
        <v>45</v>
      </c>
      <c r="D56" s="2">
        <f t="shared" si="1"/>
        <v>1450</v>
      </c>
      <c r="E56" s="29">
        <f t="shared" si="2"/>
        <v>18949</v>
      </c>
      <c r="F56" s="25">
        <f t="shared" si="3"/>
        <v>3500</v>
      </c>
      <c r="G56" s="29">
        <f t="shared" si="4"/>
        <v>13999</v>
      </c>
      <c r="H56" s="29">
        <f t="shared" si="5"/>
        <v>15449</v>
      </c>
      <c r="I56" s="2">
        <f t="shared" si="6"/>
        <v>2771</v>
      </c>
      <c r="J56" s="2">
        <f t="shared" si="7"/>
        <v>1907</v>
      </c>
      <c r="K56" s="2">
        <f t="shared" si="8"/>
        <v>1475</v>
      </c>
      <c r="L56" s="2">
        <f t="shared" si="9"/>
        <v>1216</v>
      </c>
      <c r="M56" s="2">
        <f t="shared" si="10"/>
        <v>1043</v>
      </c>
      <c r="N56" s="2">
        <f t="shared" si="11"/>
        <v>827</v>
      </c>
      <c r="O56" s="25">
        <f t="shared" si="12"/>
        <v>4375</v>
      </c>
      <c r="P56" s="29">
        <f t="shared" si="13"/>
        <v>13124</v>
      </c>
      <c r="Q56" s="29">
        <f t="shared" si="14"/>
        <v>14574</v>
      </c>
      <c r="R56" s="2">
        <f t="shared" si="15"/>
        <v>2615</v>
      </c>
      <c r="S56" s="2">
        <f t="shared" si="16"/>
        <v>1800</v>
      </c>
      <c r="T56" s="2">
        <f t="shared" si="17"/>
        <v>1392</v>
      </c>
      <c r="U56" s="2">
        <f t="shared" si="18"/>
        <v>1148</v>
      </c>
      <c r="V56" s="2">
        <f t="shared" si="19"/>
        <v>985</v>
      </c>
      <c r="W56" s="2">
        <f t="shared" si="20"/>
        <v>781</v>
      </c>
      <c r="X56" s="25">
        <f t="shared" si="21"/>
        <v>5250</v>
      </c>
      <c r="Y56" s="29">
        <f t="shared" si="22"/>
        <v>12249</v>
      </c>
      <c r="Z56" s="29">
        <f t="shared" si="23"/>
        <v>13699</v>
      </c>
      <c r="AA56" s="2">
        <f t="shared" si="24"/>
        <v>2459</v>
      </c>
      <c r="AB56" s="2">
        <f t="shared" si="25"/>
        <v>1693</v>
      </c>
      <c r="AC56" s="2">
        <f t="shared" si="26"/>
        <v>1309</v>
      </c>
      <c r="AD56" s="2">
        <f t="shared" si="27"/>
        <v>1079</v>
      </c>
      <c r="AE56" s="2">
        <f t="shared" si="28"/>
        <v>926</v>
      </c>
      <c r="AF56" s="2">
        <f t="shared" si="29"/>
        <v>734</v>
      </c>
      <c r="AG56" s="25">
        <f t="shared" si="30"/>
        <v>6125</v>
      </c>
      <c r="AH56" s="29">
        <f t="shared" si="31"/>
        <v>11374</v>
      </c>
      <c r="AI56" s="29">
        <f t="shared" si="32"/>
        <v>12824</v>
      </c>
      <c r="AJ56" s="2">
        <f t="shared" si="33"/>
        <v>2303</v>
      </c>
      <c r="AK56" s="2">
        <f t="shared" si="34"/>
        <v>1585</v>
      </c>
      <c r="AL56" s="2">
        <f t="shared" si="35"/>
        <v>1226</v>
      </c>
      <c r="AM56" s="2">
        <f t="shared" si="36"/>
        <v>1011</v>
      </c>
      <c r="AN56" s="2">
        <f t="shared" si="37"/>
        <v>867</v>
      </c>
      <c r="AO56" s="2">
        <f t="shared" si="38"/>
        <v>688</v>
      </c>
      <c r="AP56" s="25">
        <f t="shared" si="39"/>
        <v>7000</v>
      </c>
      <c r="AQ56" s="29">
        <f t="shared" si="40"/>
        <v>10499</v>
      </c>
      <c r="AR56" s="29">
        <f t="shared" si="41"/>
        <v>11949</v>
      </c>
      <c r="AS56" s="2">
        <f t="shared" si="42"/>
        <v>2147</v>
      </c>
      <c r="AT56" s="2">
        <f t="shared" si="43"/>
        <v>1478</v>
      </c>
      <c r="AU56" s="2">
        <f t="shared" si="44"/>
        <v>1143</v>
      </c>
      <c r="AV56" s="2">
        <f t="shared" si="45"/>
        <v>942</v>
      </c>
      <c r="AW56" s="2">
        <f t="shared" si="46"/>
        <v>809</v>
      </c>
      <c r="AX56" s="2">
        <f t="shared" si="47"/>
        <v>641</v>
      </c>
    </row>
    <row r="57" ht="14.25" customHeight="1">
      <c r="A57" s="2" t="str">
        <f t="array" ref="A57">IFERROR(INDEX('Product Price'!A:A,SMALL('Product Price'!$D:$D,55)),"")</f>
        <v>realme 16 Pro 5G 12/512 GB</v>
      </c>
      <c r="B57" s="29">
        <f t="array" ref="B57">IFERROR(INDEX('Product Price'!B:B,SMALL('Product Price'!$D:$D,55)),"")</f>
        <v>18999</v>
      </c>
      <c r="C57" s="2">
        <f t="array" ref="C57">IFERROR(INDEX('Product Price'!C:C,SMALL('Product Price'!$D:$D,55)),"")</f>
        <v>46</v>
      </c>
      <c r="D57" s="2">
        <f t="shared" si="1"/>
        <v>1450</v>
      </c>
      <c r="E57" s="29">
        <f t="shared" si="2"/>
        <v>20449</v>
      </c>
      <c r="F57" s="25">
        <f t="shared" si="3"/>
        <v>3800</v>
      </c>
      <c r="G57" s="29">
        <f t="shared" si="4"/>
        <v>15199</v>
      </c>
      <c r="H57" s="29">
        <f t="shared" si="5"/>
        <v>16649</v>
      </c>
      <c r="I57" s="2">
        <f t="shared" si="6"/>
        <v>2985</v>
      </c>
      <c r="J57" s="2">
        <f t="shared" si="7"/>
        <v>2054</v>
      </c>
      <c r="K57" s="2">
        <f t="shared" si="8"/>
        <v>1589</v>
      </c>
      <c r="L57" s="2">
        <f t="shared" si="9"/>
        <v>1310</v>
      </c>
      <c r="M57" s="2">
        <f t="shared" si="10"/>
        <v>1124</v>
      </c>
      <c r="N57" s="2">
        <f t="shared" si="11"/>
        <v>891</v>
      </c>
      <c r="O57" s="25">
        <f t="shared" si="12"/>
        <v>4750</v>
      </c>
      <c r="P57" s="29">
        <f t="shared" si="13"/>
        <v>14249</v>
      </c>
      <c r="Q57" s="29">
        <f t="shared" si="14"/>
        <v>15699</v>
      </c>
      <c r="R57" s="2">
        <f t="shared" si="15"/>
        <v>2816</v>
      </c>
      <c r="S57" s="2">
        <f t="shared" si="16"/>
        <v>1938</v>
      </c>
      <c r="T57" s="2">
        <f t="shared" si="17"/>
        <v>1499</v>
      </c>
      <c r="U57" s="2">
        <f t="shared" si="18"/>
        <v>1236</v>
      </c>
      <c r="V57" s="2">
        <f t="shared" si="19"/>
        <v>1060</v>
      </c>
      <c r="W57" s="2">
        <f t="shared" si="20"/>
        <v>841</v>
      </c>
      <c r="X57" s="25">
        <f t="shared" si="21"/>
        <v>5700</v>
      </c>
      <c r="Y57" s="29">
        <f t="shared" si="22"/>
        <v>13299</v>
      </c>
      <c r="Z57" s="29">
        <f t="shared" si="23"/>
        <v>14749</v>
      </c>
      <c r="AA57" s="2">
        <f t="shared" si="24"/>
        <v>2646</v>
      </c>
      <c r="AB57" s="2">
        <f t="shared" si="25"/>
        <v>1821</v>
      </c>
      <c r="AC57" s="2">
        <f t="shared" si="26"/>
        <v>1409</v>
      </c>
      <c r="AD57" s="2">
        <f t="shared" si="27"/>
        <v>1161</v>
      </c>
      <c r="AE57" s="2">
        <f t="shared" si="28"/>
        <v>996</v>
      </c>
      <c r="AF57" s="2">
        <f t="shared" si="29"/>
        <v>790</v>
      </c>
      <c r="AG57" s="25">
        <f t="shared" si="30"/>
        <v>6650</v>
      </c>
      <c r="AH57" s="29">
        <f t="shared" si="31"/>
        <v>12349</v>
      </c>
      <c r="AI57" s="29">
        <f t="shared" si="32"/>
        <v>13799</v>
      </c>
      <c r="AJ57" s="2">
        <f t="shared" si="33"/>
        <v>2477</v>
      </c>
      <c r="AK57" s="2">
        <f t="shared" si="34"/>
        <v>1705</v>
      </c>
      <c r="AL57" s="2">
        <f t="shared" si="35"/>
        <v>1319</v>
      </c>
      <c r="AM57" s="2">
        <f t="shared" si="36"/>
        <v>1087</v>
      </c>
      <c r="AN57" s="2">
        <f t="shared" si="37"/>
        <v>933</v>
      </c>
      <c r="AO57" s="2">
        <f t="shared" si="38"/>
        <v>740</v>
      </c>
      <c r="AP57" s="25">
        <f t="shared" si="39"/>
        <v>7600</v>
      </c>
      <c r="AQ57" s="29">
        <f t="shared" si="40"/>
        <v>11399</v>
      </c>
      <c r="AR57" s="29">
        <f t="shared" si="41"/>
        <v>12849</v>
      </c>
      <c r="AS57" s="2">
        <f t="shared" si="42"/>
        <v>2308</v>
      </c>
      <c r="AT57" s="2">
        <f t="shared" si="43"/>
        <v>1588</v>
      </c>
      <c r="AU57" s="2">
        <f t="shared" si="44"/>
        <v>1229</v>
      </c>
      <c r="AV57" s="2">
        <f t="shared" si="45"/>
        <v>1013</v>
      </c>
      <c r="AW57" s="2">
        <f t="shared" si="46"/>
        <v>869</v>
      </c>
      <c r="AX57" s="2">
        <f t="shared" si="47"/>
        <v>689</v>
      </c>
    </row>
    <row r="58" ht="14.25" customHeight="1">
      <c r="A58" s="2" t="str">
        <f t="array" ref="A58">IFERROR(INDEX('Product Price'!A:A,SMALL('Product Price'!$D:$D,56)),"")</f>
        <v>realme 16 Pro 5G 12/256 GB</v>
      </c>
      <c r="B58" s="29">
        <f t="array" ref="B58">IFERROR(INDEX('Product Price'!B:B,SMALL('Product Price'!$D:$D,56)),"")</f>
        <v>16999</v>
      </c>
      <c r="C58" s="2">
        <f t="array" ref="C58">IFERROR(INDEX('Product Price'!C:C,SMALL('Product Price'!$D:$D,56)),"")</f>
        <v>47</v>
      </c>
      <c r="D58" s="2">
        <f t="shared" si="1"/>
        <v>1450</v>
      </c>
      <c r="E58" s="29">
        <f t="shared" si="2"/>
        <v>18449</v>
      </c>
      <c r="F58" s="25">
        <f t="shared" si="3"/>
        <v>3400</v>
      </c>
      <c r="G58" s="29">
        <f t="shared" si="4"/>
        <v>13599</v>
      </c>
      <c r="H58" s="29">
        <f t="shared" si="5"/>
        <v>15049</v>
      </c>
      <c r="I58" s="2">
        <f t="shared" si="6"/>
        <v>2700</v>
      </c>
      <c r="J58" s="2">
        <f t="shared" si="7"/>
        <v>1858</v>
      </c>
      <c r="K58" s="2">
        <f t="shared" si="8"/>
        <v>1437</v>
      </c>
      <c r="L58" s="2">
        <f t="shared" si="9"/>
        <v>1185</v>
      </c>
      <c r="M58" s="2">
        <f t="shared" si="10"/>
        <v>1016</v>
      </c>
      <c r="N58" s="2">
        <f t="shared" si="11"/>
        <v>806</v>
      </c>
      <c r="O58" s="25">
        <f t="shared" si="12"/>
        <v>4250</v>
      </c>
      <c r="P58" s="29">
        <f t="shared" si="13"/>
        <v>12749</v>
      </c>
      <c r="Q58" s="29">
        <f t="shared" si="14"/>
        <v>14199</v>
      </c>
      <c r="R58" s="2">
        <f t="shared" si="15"/>
        <v>2548</v>
      </c>
      <c r="S58" s="2">
        <f t="shared" si="16"/>
        <v>1754</v>
      </c>
      <c r="T58" s="2">
        <f t="shared" si="17"/>
        <v>1357</v>
      </c>
      <c r="U58" s="2">
        <f t="shared" si="18"/>
        <v>1118</v>
      </c>
      <c r="V58" s="2">
        <f t="shared" si="19"/>
        <v>959</v>
      </c>
      <c r="W58" s="2">
        <f t="shared" si="20"/>
        <v>761</v>
      </c>
      <c r="X58" s="25">
        <f t="shared" si="21"/>
        <v>5100</v>
      </c>
      <c r="Y58" s="29">
        <f t="shared" si="22"/>
        <v>11899</v>
      </c>
      <c r="Z58" s="29">
        <f t="shared" si="23"/>
        <v>13349</v>
      </c>
      <c r="AA58" s="2">
        <f t="shared" si="24"/>
        <v>2397</v>
      </c>
      <c r="AB58" s="2">
        <f t="shared" si="25"/>
        <v>1650</v>
      </c>
      <c r="AC58" s="2">
        <f t="shared" si="26"/>
        <v>1276</v>
      </c>
      <c r="AD58" s="2">
        <f t="shared" si="27"/>
        <v>1052</v>
      </c>
      <c r="AE58" s="2">
        <f t="shared" si="28"/>
        <v>902</v>
      </c>
      <c r="AF58" s="2">
        <f t="shared" si="29"/>
        <v>716</v>
      </c>
      <c r="AG58" s="25">
        <f t="shared" si="30"/>
        <v>5950</v>
      </c>
      <c r="AH58" s="29">
        <f t="shared" si="31"/>
        <v>11049</v>
      </c>
      <c r="AI58" s="29">
        <f t="shared" si="32"/>
        <v>12499</v>
      </c>
      <c r="AJ58" s="2">
        <f t="shared" si="33"/>
        <v>2245</v>
      </c>
      <c r="AK58" s="2">
        <f t="shared" si="34"/>
        <v>1545</v>
      </c>
      <c r="AL58" s="2">
        <f t="shared" si="35"/>
        <v>1195</v>
      </c>
      <c r="AM58" s="2">
        <f t="shared" si="36"/>
        <v>985</v>
      </c>
      <c r="AN58" s="2">
        <f t="shared" si="37"/>
        <v>845</v>
      </c>
      <c r="AO58" s="2">
        <f t="shared" si="38"/>
        <v>670</v>
      </c>
      <c r="AP58" s="25">
        <f t="shared" si="39"/>
        <v>6800</v>
      </c>
      <c r="AQ58" s="29">
        <f t="shared" si="40"/>
        <v>10199</v>
      </c>
      <c r="AR58" s="29">
        <f t="shared" si="41"/>
        <v>11649</v>
      </c>
      <c r="AS58" s="2">
        <f t="shared" si="42"/>
        <v>2094</v>
      </c>
      <c r="AT58" s="2">
        <f t="shared" si="43"/>
        <v>1441</v>
      </c>
      <c r="AU58" s="2">
        <f t="shared" si="44"/>
        <v>1115</v>
      </c>
      <c r="AV58" s="2">
        <f t="shared" si="45"/>
        <v>919</v>
      </c>
      <c r="AW58" s="2">
        <f t="shared" si="46"/>
        <v>788</v>
      </c>
      <c r="AX58" s="2">
        <f t="shared" si="47"/>
        <v>625</v>
      </c>
    </row>
    <row r="59" ht="14.25" customHeight="1">
      <c r="A59" s="2" t="str">
        <f t="array" ref="A59">IFERROR(INDEX('Product Price'!A:A,SMALL('Product Price'!$D:$D,57)),"")</f>
        <v>realme 16 5G 8/256 GB</v>
      </c>
      <c r="B59" s="29">
        <f t="array" ref="B59">IFERROR(INDEX('Product Price'!B:B,SMALL('Product Price'!$D:$D,57)),"")</f>
        <v>13999</v>
      </c>
      <c r="C59" s="2">
        <f t="array" ref="C59">IFERROR(INDEX('Product Price'!C:C,SMALL('Product Price'!$D:$D,57)),"")</f>
        <v>48</v>
      </c>
      <c r="D59" s="2">
        <f t="shared" si="1"/>
        <v>1450</v>
      </c>
      <c r="E59" s="29">
        <f t="shared" si="2"/>
        <v>15449</v>
      </c>
      <c r="F59" s="25">
        <f t="shared" si="3"/>
        <v>2800</v>
      </c>
      <c r="G59" s="29">
        <f t="shared" si="4"/>
        <v>11199</v>
      </c>
      <c r="H59" s="29">
        <f t="shared" si="5"/>
        <v>12649</v>
      </c>
      <c r="I59" s="2">
        <f t="shared" si="6"/>
        <v>2272</v>
      </c>
      <c r="J59" s="2">
        <f t="shared" si="7"/>
        <v>1564</v>
      </c>
      <c r="K59" s="2">
        <f t="shared" si="8"/>
        <v>1210</v>
      </c>
      <c r="L59" s="2">
        <f t="shared" si="9"/>
        <v>997</v>
      </c>
      <c r="M59" s="2">
        <f t="shared" si="10"/>
        <v>855</v>
      </c>
      <c r="N59" s="2">
        <f t="shared" si="11"/>
        <v>678</v>
      </c>
      <c r="O59" s="25">
        <f t="shared" si="12"/>
        <v>3500</v>
      </c>
      <c r="P59" s="29">
        <f t="shared" si="13"/>
        <v>10499</v>
      </c>
      <c r="Q59" s="29">
        <f t="shared" si="14"/>
        <v>11949</v>
      </c>
      <c r="R59" s="2">
        <f t="shared" si="15"/>
        <v>2147</v>
      </c>
      <c r="S59" s="2">
        <f t="shared" si="16"/>
        <v>1478</v>
      </c>
      <c r="T59" s="2">
        <f t="shared" si="17"/>
        <v>1143</v>
      </c>
      <c r="U59" s="2">
        <f t="shared" si="18"/>
        <v>942</v>
      </c>
      <c r="V59" s="2">
        <f t="shared" si="19"/>
        <v>809</v>
      </c>
      <c r="W59" s="2">
        <f t="shared" si="20"/>
        <v>641</v>
      </c>
      <c r="X59" s="25">
        <f t="shared" si="21"/>
        <v>4200</v>
      </c>
      <c r="Y59" s="29">
        <f t="shared" si="22"/>
        <v>9799</v>
      </c>
      <c r="Z59" s="29">
        <f t="shared" si="23"/>
        <v>11249</v>
      </c>
      <c r="AA59" s="2">
        <f t="shared" si="24"/>
        <v>2023</v>
      </c>
      <c r="AB59" s="2">
        <f t="shared" si="25"/>
        <v>1392</v>
      </c>
      <c r="AC59" s="2">
        <f t="shared" si="26"/>
        <v>1077</v>
      </c>
      <c r="AD59" s="2">
        <f t="shared" si="27"/>
        <v>888</v>
      </c>
      <c r="AE59" s="2">
        <f t="shared" si="28"/>
        <v>762</v>
      </c>
      <c r="AF59" s="2">
        <f t="shared" si="29"/>
        <v>604</v>
      </c>
      <c r="AG59" s="25">
        <f t="shared" si="30"/>
        <v>4900</v>
      </c>
      <c r="AH59" s="29">
        <f t="shared" si="31"/>
        <v>9099</v>
      </c>
      <c r="AI59" s="29">
        <f t="shared" si="32"/>
        <v>10549</v>
      </c>
      <c r="AJ59" s="2">
        <f t="shared" si="33"/>
        <v>1898</v>
      </c>
      <c r="AK59" s="2">
        <f t="shared" si="34"/>
        <v>1306</v>
      </c>
      <c r="AL59" s="2">
        <f t="shared" si="35"/>
        <v>1011</v>
      </c>
      <c r="AM59" s="2">
        <f t="shared" si="36"/>
        <v>833</v>
      </c>
      <c r="AN59" s="2">
        <f t="shared" si="37"/>
        <v>715</v>
      </c>
      <c r="AO59" s="2">
        <f t="shared" si="38"/>
        <v>567</v>
      </c>
      <c r="AP59" s="25">
        <f t="shared" si="39"/>
        <v>5600</v>
      </c>
      <c r="AQ59" s="29">
        <f t="shared" si="40"/>
        <v>8399</v>
      </c>
      <c r="AR59" s="29">
        <f t="shared" si="41"/>
        <v>9849</v>
      </c>
      <c r="AS59" s="2">
        <f t="shared" si="42"/>
        <v>1773</v>
      </c>
      <c r="AT59" s="2">
        <f t="shared" si="43"/>
        <v>1221</v>
      </c>
      <c r="AU59" s="2">
        <f t="shared" si="44"/>
        <v>944</v>
      </c>
      <c r="AV59" s="2">
        <f t="shared" si="45"/>
        <v>778</v>
      </c>
      <c r="AW59" s="2">
        <f t="shared" si="46"/>
        <v>668</v>
      </c>
      <c r="AX59" s="2">
        <f t="shared" si="47"/>
        <v>530</v>
      </c>
    </row>
    <row r="60" ht="14.25" customHeight="1">
      <c r="A60" s="2" t="str">
        <f t="array" ref="A60">IFERROR(INDEX('Product Price'!A:A,SMALL('Product Price'!$D:$D,58)),"")</f>
        <v>realme C85 5G 8/256 GB</v>
      </c>
      <c r="B60" s="29">
        <f t="array" ref="B60">IFERROR(INDEX('Product Price'!B:B,SMALL('Product Price'!$D:$D,58)),"")</f>
        <v>9999</v>
      </c>
      <c r="C60" s="2">
        <f t="array" ref="C60">IFERROR(INDEX('Product Price'!C:C,SMALL('Product Price'!$D:$D,58)),"")</f>
        <v>49</v>
      </c>
      <c r="D60" s="2">
        <f t="shared" si="1"/>
        <v>795</v>
      </c>
      <c r="E60" s="29">
        <f t="shared" si="2"/>
        <v>10794</v>
      </c>
      <c r="F60" s="25">
        <f t="shared" si="3"/>
        <v>2000</v>
      </c>
      <c r="G60" s="29">
        <f t="shared" si="4"/>
        <v>7999</v>
      </c>
      <c r="H60" s="29">
        <f t="shared" si="5"/>
        <v>8794</v>
      </c>
      <c r="I60" s="2">
        <f t="shared" si="6"/>
        <v>1577</v>
      </c>
      <c r="J60" s="2">
        <f t="shared" si="7"/>
        <v>1086</v>
      </c>
      <c r="K60" s="2">
        <f t="shared" si="8"/>
        <v>840</v>
      </c>
      <c r="L60" s="2">
        <f t="shared" si="9"/>
        <v>692</v>
      </c>
      <c r="M60" s="2">
        <f t="shared" si="10"/>
        <v>594</v>
      </c>
      <c r="N60" s="2">
        <f t="shared" si="11"/>
        <v>471</v>
      </c>
      <c r="O60" s="25">
        <f t="shared" si="12"/>
        <v>2500</v>
      </c>
      <c r="P60" s="29">
        <f t="shared" si="13"/>
        <v>7499</v>
      </c>
      <c r="Q60" s="29">
        <f t="shared" si="14"/>
        <v>8294</v>
      </c>
      <c r="R60" s="2">
        <f t="shared" si="15"/>
        <v>1488</v>
      </c>
      <c r="S60" s="2">
        <f t="shared" si="16"/>
        <v>1024</v>
      </c>
      <c r="T60" s="2">
        <f t="shared" si="17"/>
        <v>792</v>
      </c>
      <c r="U60" s="2">
        <f t="shared" si="18"/>
        <v>653</v>
      </c>
      <c r="V60" s="2">
        <f t="shared" si="19"/>
        <v>560</v>
      </c>
      <c r="W60" s="2" t="str">
        <f t="shared" si="20"/>
        <v>-</v>
      </c>
      <c r="X60" s="25">
        <f t="shared" si="21"/>
        <v>3000</v>
      </c>
      <c r="Y60" s="29">
        <f t="shared" si="22"/>
        <v>6999</v>
      </c>
      <c r="Z60" s="29">
        <f t="shared" si="23"/>
        <v>7794</v>
      </c>
      <c r="AA60" s="2">
        <f t="shared" si="24"/>
        <v>1399</v>
      </c>
      <c r="AB60" s="2">
        <f t="shared" si="25"/>
        <v>963</v>
      </c>
      <c r="AC60" s="2">
        <f t="shared" si="26"/>
        <v>745</v>
      </c>
      <c r="AD60" s="2">
        <f t="shared" si="27"/>
        <v>614</v>
      </c>
      <c r="AE60" s="2">
        <f t="shared" si="28"/>
        <v>527</v>
      </c>
      <c r="AF60" s="2" t="str">
        <f t="shared" si="29"/>
        <v>-</v>
      </c>
      <c r="AG60" s="25">
        <f t="shared" si="30"/>
        <v>3500</v>
      </c>
      <c r="AH60" s="29">
        <f t="shared" si="31"/>
        <v>6499</v>
      </c>
      <c r="AI60" s="29">
        <f t="shared" si="32"/>
        <v>7294</v>
      </c>
      <c r="AJ60" s="2">
        <f t="shared" si="33"/>
        <v>1310</v>
      </c>
      <c r="AK60" s="2">
        <f t="shared" si="34"/>
        <v>902</v>
      </c>
      <c r="AL60" s="2">
        <f t="shared" si="35"/>
        <v>697</v>
      </c>
      <c r="AM60" s="2">
        <f t="shared" si="36"/>
        <v>575</v>
      </c>
      <c r="AN60" s="2">
        <f t="shared" si="37"/>
        <v>493</v>
      </c>
      <c r="AO60" s="2" t="str">
        <f t="shared" si="38"/>
        <v>-</v>
      </c>
      <c r="AP60" s="25">
        <f t="shared" si="39"/>
        <v>4000</v>
      </c>
      <c r="AQ60" s="29">
        <f t="shared" si="40"/>
        <v>5999</v>
      </c>
      <c r="AR60" s="29">
        <f t="shared" si="41"/>
        <v>6794</v>
      </c>
      <c r="AS60" s="2">
        <f t="shared" si="42"/>
        <v>1221</v>
      </c>
      <c r="AT60" s="2">
        <f t="shared" si="43"/>
        <v>840</v>
      </c>
      <c r="AU60" s="2">
        <f t="shared" si="44"/>
        <v>650</v>
      </c>
      <c r="AV60" s="2">
        <f t="shared" si="45"/>
        <v>536</v>
      </c>
      <c r="AW60" s="2">
        <f t="shared" si="46"/>
        <v>460</v>
      </c>
      <c r="AX60" s="2" t="str">
        <f t="shared" si="47"/>
        <v>-</v>
      </c>
    </row>
    <row r="61" ht="14.25" customHeight="1">
      <c r="A61" s="2" t="str">
        <f t="array" ref="A61">IFERROR(INDEX('Product Price'!A:A,SMALL('Product Price'!$D:$D,59)),"")</f>
        <v>realme C85 5G 8/128 GB</v>
      </c>
      <c r="B61" s="29">
        <f t="array" ref="B61">IFERROR(INDEX('Product Price'!B:B,SMALL('Product Price'!$D:$D,59)),"")</f>
        <v>8999</v>
      </c>
      <c r="C61" s="2">
        <f t="array" ref="C61">IFERROR(INDEX('Product Price'!C:C,SMALL('Product Price'!$D:$D,59)),"")</f>
        <v>50</v>
      </c>
      <c r="D61" s="2">
        <f t="shared" si="1"/>
        <v>795</v>
      </c>
      <c r="E61" s="29">
        <f t="shared" si="2"/>
        <v>9794</v>
      </c>
      <c r="F61" s="25">
        <f t="shared" si="3"/>
        <v>1800</v>
      </c>
      <c r="G61" s="29">
        <f t="shared" si="4"/>
        <v>7199</v>
      </c>
      <c r="H61" s="29">
        <f t="shared" si="5"/>
        <v>7994</v>
      </c>
      <c r="I61" s="2">
        <f t="shared" si="6"/>
        <v>1435</v>
      </c>
      <c r="J61" s="2">
        <f t="shared" si="7"/>
        <v>987</v>
      </c>
      <c r="K61" s="2">
        <f t="shared" si="8"/>
        <v>764</v>
      </c>
      <c r="L61" s="2">
        <f t="shared" si="9"/>
        <v>630</v>
      </c>
      <c r="M61" s="2">
        <f t="shared" si="10"/>
        <v>540</v>
      </c>
      <c r="N61" s="2" t="str">
        <f t="shared" si="11"/>
        <v>-</v>
      </c>
      <c r="O61" s="25">
        <f t="shared" si="12"/>
        <v>2250</v>
      </c>
      <c r="P61" s="29">
        <f t="shared" si="13"/>
        <v>6749</v>
      </c>
      <c r="Q61" s="29">
        <f t="shared" si="14"/>
        <v>7544</v>
      </c>
      <c r="R61" s="2">
        <f t="shared" si="15"/>
        <v>1355</v>
      </c>
      <c r="S61" s="2">
        <f t="shared" si="16"/>
        <v>932</v>
      </c>
      <c r="T61" s="2">
        <f t="shared" si="17"/>
        <v>721</v>
      </c>
      <c r="U61" s="2">
        <f t="shared" si="18"/>
        <v>595</v>
      </c>
      <c r="V61" s="2">
        <f t="shared" si="19"/>
        <v>510</v>
      </c>
      <c r="W61" s="2" t="str">
        <f t="shared" si="20"/>
        <v>-</v>
      </c>
      <c r="X61" s="25">
        <f t="shared" si="21"/>
        <v>2700</v>
      </c>
      <c r="Y61" s="29">
        <f t="shared" si="22"/>
        <v>6299</v>
      </c>
      <c r="Z61" s="29">
        <f t="shared" si="23"/>
        <v>7094</v>
      </c>
      <c r="AA61" s="2">
        <f t="shared" si="24"/>
        <v>1274</v>
      </c>
      <c r="AB61" s="2">
        <f t="shared" si="25"/>
        <v>877</v>
      </c>
      <c r="AC61" s="2">
        <f t="shared" si="26"/>
        <v>679</v>
      </c>
      <c r="AD61" s="2">
        <f t="shared" si="27"/>
        <v>559</v>
      </c>
      <c r="AE61" s="2">
        <f t="shared" si="28"/>
        <v>480</v>
      </c>
      <c r="AF61" s="2" t="str">
        <f t="shared" si="29"/>
        <v>-</v>
      </c>
      <c r="AG61" s="25">
        <f t="shared" si="30"/>
        <v>3150</v>
      </c>
      <c r="AH61" s="29">
        <f t="shared" si="31"/>
        <v>5849</v>
      </c>
      <c r="AI61" s="29">
        <f t="shared" si="32"/>
        <v>6644</v>
      </c>
      <c r="AJ61" s="2">
        <f t="shared" si="33"/>
        <v>1194</v>
      </c>
      <c r="AK61" s="2">
        <f t="shared" si="34"/>
        <v>822</v>
      </c>
      <c r="AL61" s="2">
        <f t="shared" si="35"/>
        <v>636</v>
      </c>
      <c r="AM61" s="2">
        <f t="shared" si="36"/>
        <v>524</v>
      </c>
      <c r="AN61" s="2" t="str">
        <f t="shared" si="37"/>
        <v>-</v>
      </c>
      <c r="AO61" s="2" t="str">
        <f t="shared" si="38"/>
        <v>-</v>
      </c>
      <c r="AP61" s="25">
        <f t="shared" si="39"/>
        <v>3600</v>
      </c>
      <c r="AQ61" s="29">
        <f t="shared" si="40"/>
        <v>5399</v>
      </c>
      <c r="AR61" s="29">
        <f t="shared" si="41"/>
        <v>6194</v>
      </c>
      <c r="AS61" s="2">
        <f t="shared" si="42"/>
        <v>1114</v>
      </c>
      <c r="AT61" s="2">
        <f t="shared" si="43"/>
        <v>767</v>
      </c>
      <c r="AU61" s="2">
        <f t="shared" si="44"/>
        <v>593</v>
      </c>
      <c r="AV61" s="2">
        <f t="shared" si="45"/>
        <v>489</v>
      </c>
      <c r="AW61" s="2" t="str">
        <f t="shared" si="46"/>
        <v>-</v>
      </c>
      <c r="AX61" s="2" t="str">
        <f t="shared" si="47"/>
        <v>-</v>
      </c>
    </row>
    <row r="62" ht="14.25" customHeight="1">
      <c r="A62" s="2" t="str">
        <f t="array" ref="A62">IFERROR(INDEX('Product Price'!A:A,SMALL('Product Price'!$D:$D,60)),"")</f>
        <v>realme C85 4G 8/128 GB</v>
      </c>
      <c r="B62" s="29">
        <f t="array" ref="B62">IFERROR(INDEX('Product Price'!B:B,SMALL('Product Price'!$D:$D,60)),"")</f>
        <v>5999</v>
      </c>
      <c r="C62" s="2">
        <f t="array" ref="C62">IFERROR(INDEX('Product Price'!C:C,SMALL('Product Price'!$D:$D,60)),"")</f>
        <v>51</v>
      </c>
      <c r="D62" s="2">
        <f t="shared" si="1"/>
        <v>795</v>
      </c>
      <c r="E62" s="29">
        <f t="shared" si="2"/>
        <v>6794</v>
      </c>
      <c r="F62" s="25">
        <f t="shared" si="3"/>
        <v>1200</v>
      </c>
      <c r="G62" s="29">
        <f t="shared" si="4"/>
        <v>4799</v>
      </c>
      <c r="H62" s="29">
        <f t="shared" si="5"/>
        <v>5594</v>
      </c>
      <c r="I62" s="2">
        <f t="shared" si="6"/>
        <v>1007</v>
      </c>
      <c r="J62" s="2">
        <f t="shared" si="7"/>
        <v>693</v>
      </c>
      <c r="K62" s="2">
        <f t="shared" si="8"/>
        <v>536</v>
      </c>
      <c r="L62" s="2" t="str">
        <f t="shared" si="9"/>
        <v>-</v>
      </c>
      <c r="M62" s="2" t="str">
        <f t="shared" si="10"/>
        <v>-</v>
      </c>
      <c r="N62" s="2" t="str">
        <f t="shared" si="11"/>
        <v>-</v>
      </c>
      <c r="O62" s="25">
        <f t="shared" si="12"/>
        <v>1500</v>
      </c>
      <c r="P62" s="29">
        <f t="shared" si="13"/>
        <v>4499</v>
      </c>
      <c r="Q62" s="29">
        <f t="shared" si="14"/>
        <v>5294</v>
      </c>
      <c r="R62" s="2">
        <f t="shared" si="15"/>
        <v>954</v>
      </c>
      <c r="S62" s="2">
        <f t="shared" si="16"/>
        <v>656</v>
      </c>
      <c r="T62" s="2">
        <f t="shared" si="17"/>
        <v>508</v>
      </c>
      <c r="U62" s="2" t="str">
        <f t="shared" si="18"/>
        <v>-</v>
      </c>
      <c r="V62" s="2" t="str">
        <f t="shared" si="19"/>
        <v>-</v>
      </c>
      <c r="W62" s="2" t="str">
        <f t="shared" si="20"/>
        <v>-</v>
      </c>
      <c r="X62" s="25">
        <f t="shared" si="21"/>
        <v>1800</v>
      </c>
      <c r="Y62" s="29">
        <f t="shared" si="22"/>
        <v>4199</v>
      </c>
      <c r="Z62" s="29">
        <f t="shared" si="23"/>
        <v>4994</v>
      </c>
      <c r="AA62" s="2">
        <f t="shared" si="24"/>
        <v>900</v>
      </c>
      <c r="AB62" s="2">
        <f t="shared" si="25"/>
        <v>620</v>
      </c>
      <c r="AC62" s="2" t="str">
        <f t="shared" si="26"/>
        <v>-</v>
      </c>
      <c r="AD62" s="2" t="str">
        <f t="shared" si="27"/>
        <v>-</v>
      </c>
      <c r="AE62" s="2" t="str">
        <f t="shared" si="28"/>
        <v>-</v>
      </c>
      <c r="AF62" s="2" t="str">
        <f t="shared" si="29"/>
        <v>-</v>
      </c>
      <c r="AG62" s="25">
        <f t="shared" si="30"/>
        <v>2100</v>
      </c>
      <c r="AH62" s="29">
        <f t="shared" si="31"/>
        <v>3899</v>
      </c>
      <c r="AI62" s="29">
        <f t="shared" si="32"/>
        <v>4694</v>
      </c>
      <c r="AJ62" s="2">
        <f t="shared" si="33"/>
        <v>847</v>
      </c>
      <c r="AK62" s="2">
        <f t="shared" si="34"/>
        <v>583</v>
      </c>
      <c r="AL62" s="2" t="str">
        <f t="shared" si="35"/>
        <v>-</v>
      </c>
      <c r="AM62" s="2" t="str">
        <f t="shared" si="36"/>
        <v>-</v>
      </c>
      <c r="AN62" s="2" t="str">
        <f t="shared" si="37"/>
        <v>-</v>
      </c>
      <c r="AO62" s="2" t="str">
        <f t="shared" si="38"/>
        <v>-</v>
      </c>
      <c r="AP62" s="25">
        <f t="shared" si="39"/>
        <v>2400</v>
      </c>
      <c r="AQ62" s="29">
        <f t="shared" si="40"/>
        <v>3599</v>
      </c>
      <c r="AR62" s="29">
        <f t="shared" si="41"/>
        <v>4394</v>
      </c>
      <c r="AS62" s="2">
        <f t="shared" si="42"/>
        <v>793</v>
      </c>
      <c r="AT62" s="2">
        <f t="shared" si="43"/>
        <v>546</v>
      </c>
      <c r="AU62" s="2" t="str">
        <f t="shared" si="44"/>
        <v>-</v>
      </c>
      <c r="AV62" s="2" t="str">
        <f t="shared" si="45"/>
        <v>-</v>
      </c>
      <c r="AW62" s="2" t="str">
        <f t="shared" si="46"/>
        <v>-</v>
      </c>
      <c r="AX62" s="2" t="str">
        <f t="shared" si="47"/>
        <v>-</v>
      </c>
    </row>
    <row r="63" ht="14.25" customHeight="1">
      <c r="A63" s="2" t="str">
        <f t="array" ref="A63">IFERROR(INDEX('Product Price'!A:A,SMALL('Product Price'!$D:$D,61)),"")</f>
        <v>realme C100 5G 6/128 GB</v>
      </c>
      <c r="B63" s="2">
        <f t="array" ref="B63">IFERROR(INDEX('Product Price'!B:B,SMALL('Product Price'!$D:$D,61)),"")</f>
        <v>8499</v>
      </c>
      <c r="C63" s="2">
        <f t="array" ref="C63">IFERROR(INDEX('Product Price'!C:C,SMALL('Product Price'!$D:$D,61)),"")</f>
        <v>52</v>
      </c>
      <c r="D63" s="2">
        <f t="shared" si="1"/>
        <v>795</v>
      </c>
      <c r="E63" s="2">
        <f t="shared" si="2"/>
        <v>9294</v>
      </c>
      <c r="F63" s="2">
        <f t="shared" si="3"/>
        <v>1700</v>
      </c>
      <c r="G63" s="2">
        <f t="shared" si="4"/>
        <v>6799</v>
      </c>
      <c r="H63" s="2">
        <f t="shared" si="5"/>
        <v>7594</v>
      </c>
      <c r="I63" s="2">
        <f t="shared" si="6"/>
        <v>1363</v>
      </c>
      <c r="J63" s="2">
        <f t="shared" si="7"/>
        <v>938</v>
      </c>
      <c r="K63" s="2">
        <f t="shared" si="8"/>
        <v>726</v>
      </c>
      <c r="L63" s="2">
        <f t="shared" si="9"/>
        <v>598</v>
      </c>
      <c r="M63" s="2">
        <f t="shared" si="10"/>
        <v>513</v>
      </c>
      <c r="N63" s="2" t="str">
        <f t="shared" si="11"/>
        <v>-</v>
      </c>
      <c r="O63" s="2">
        <f t="shared" si="12"/>
        <v>2125</v>
      </c>
      <c r="P63" s="2">
        <f t="shared" si="13"/>
        <v>6374</v>
      </c>
      <c r="Q63" s="2">
        <f t="shared" si="14"/>
        <v>7169</v>
      </c>
      <c r="R63" s="2">
        <f t="shared" si="15"/>
        <v>1288</v>
      </c>
      <c r="S63" s="2">
        <f t="shared" si="16"/>
        <v>886</v>
      </c>
      <c r="T63" s="2">
        <f t="shared" si="17"/>
        <v>686</v>
      </c>
      <c r="U63" s="2">
        <f t="shared" si="18"/>
        <v>565</v>
      </c>
      <c r="V63" s="2">
        <f t="shared" si="19"/>
        <v>485</v>
      </c>
      <c r="W63" s="2" t="str">
        <f t="shared" si="20"/>
        <v>-</v>
      </c>
      <c r="X63" s="2">
        <f t="shared" si="21"/>
        <v>2550</v>
      </c>
      <c r="Y63" s="2">
        <f t="shared" si="22"/>
        <v>5949</v>
      </c>
      <c r="Z63" s="2">
        <f t="shared" si="23"/>
        <v>6744</v>
      </c>
      <c r="AA63" s="2">
        <f t="shared" si="24"/>
        <v>1212</v>
      </c>
      <c r="AB63" s="2">
        <f t="shared" si="25"/>
        <v>834</v>
      </c>
      <c r="AC63" s="2">
        <f t="shared" si="26"/>
        <v>645</v>
      </c>
      <c r="AD63" s="2">
        <f t="shared" si="27"/>
        <v>532</v>
      </c>
      <c r="AE63" s="2" t="str">
        <f t="shared" si="28"/>
        <v>-</v>
      </c>
      <c r="AF63" s="2" t="str">
        <f t="shared" si="29"/>
        <v>-</v>
      </c>
      <c r="AG63" s="2">
        <f t="shared" si="30"/>
        <v>2975</v>
      </c>
      <c r="AH63" s="2">
        <f t="shared" si="31"/>
        <v>5524</v>
      </c>
      <c r="AI63" s="2">
        <f t="shared" si="32"/>
        <v>6319</v>
      </c>
      <c r="AJ63" s="2">
        <f t="shared" si="33"/>
        <v>1136</v>
      </c>
      <c r="AK63" s="2">
        <f t="shared" si="34"/>
        <v>782</v>
      </c>
      <c r="AL63" s="2">
        <f t="shared" si="35"/>
        <v>605</v>
      </c>
      <c r="AM63" s="2">
        <f t="shared" si="36"/>
        <v>499</v>
      </c>
      <c r="AN63" s="2" t="str">
        <f t="shared" si="37"/>
        <v>-</v>
      </c>
      <c r="AO63" s="2" t="str">
        <f t="shared" si="38"/>
        <v>-</v>
      </c>
      <c r="AP63" s="2">
        <f t="shared" si="39"/>
        <v>3400</v>
      </c>
      <c r="AQ63" s="2">
        <f t="shared" si="40"/>
        <v>5099</v>
      </c>
      <c r="AR63" s="2">
        <f t="shared" si="41"/>
        <v>5894</v>
      </c>
      <c r="AS63" s="2">
        <f t="shared" si="42"/>
        <v>1061</v>
      </c>
      <c r="AT63" s="2">
        <f t="shared" si="43"/>
        <v>730</v>
      </c>
      <c r="AU63" s="2">
        <f t="shared" si="44"/>
        <v>565</v>
      </c>
      <c r="AV63" s="2" t="str">
        <f t="shared" si="45"/>
        <v>-</v>
      </c>
      <c r="AW63" s="2" t="str">
        <f t="shared" si="46"/>
        <v>-</v>
      </c>
      <c r="AX63" s="2" t="str">
        <f t="shared" si="47"/>
        <v>-</v>
      </c>
    </row>
    <row r="64" ht="14.25" customHeight="1">
      <c r="A64" s="2" t="str">
        <f t="array" ref="A64">IFERROR(INDEX('Product Price'!A:A,SMALL('Product Price'!$D:$D,62)),"")</f>
        <v>realme C100 5G 4/128 GB</v>
      </c>
      <c r="B64" s="2">
        <f t="array" ref="B64">IFERROR(INDEX('Product Price'!B:B,SMALL('Product Price'!$D:$D,62)),"")</f>
        <v>7999</v>
      </c>
      <c r="C64" s="2">
        <f t="array" ref="C64">IFERROR(INDEX('Product Price'!C:C,SMALL('Product Price'!$D:$D,62)),"")</f>
        <v>53</v>
      </c>
      <c r="D64" s="2">
        <f t="shared" si="1"/>
        <v>795</v>
      </c>
      <c r="E64" s="2">
        <f t="shared" si="2"/>
        <v>8794</v>
      </c>
      <c r="F64" s="2">
        <f t="shared" si="3"/>
        <v>1600</v>
      </c>
      <c r="G64" s="2">
        <f t="shared" si="4"/>
        <v>6399</v>
      </c>
      <c r="H64" s="2">
        <f t="shared" si="5"/>
        <v>7194</v>
      </c>
      <c r="I64" s="2">
        <f t="shared" si="6"/>
        <v>1292</v>
      </c>
      <c r="J64" s="2">
        <f t="shared" si="7"/>
        <v>889</v>
      </c>
      <c r="K64" s="2">
        <f t="shared" si="8"/>
        <v>688</v>
      </c>
      <c r="L64" s="2">
        <f t="shared" si="9"/>
        <v>567</v>
      </c>
      <c r="M64" s="2">
        <f t="shared" si="10"/>
        <v>487</v>
      </c>
      <c r="N64" s="2" t="str">
        <f t="shared" si="11"/>
        <v>-</v>
      </c>
      <c r="O64" s="2">
        <f t="shared" si="12"/>
        <v>2000</v>
      </c>
      <c r="P64" s="2">
        <f t="shared" si="13"/>
        <v>5999</v>
      </c>
      <c r="Q64" s="2">
        <f t="shared" si="14"/>
        <v>6794</v>
      </c>
      <c r="R64" s="2">
        <f t="shared" si="15"/>
        <v>1221</v>
      </c>
      <c r="S64" s="2">
        <f t="shared" si="16"/>
        <v>840</v>
      </c>
      <c r="T64" s="2">
        <f t="shared" si="17"/>
        <v>650</v>
      </c>
      <c r="U64" s="2">
        <f t="shared" si="18"/>
        <v>536</v>
      </c>
      <c r="V64" s="2">
        <f t="shared" si="19"/>
        <v>460</v>
      </c>
      <c r="W64" s="2" t="str">
        <f t="shared" si="20"/>
        <v>-</v>
      </c>
      <c r="X64" s="2">
        <f t="shared" si="21"/>
        <v>2400</v>
      </c>
      <c r="Y64" s="2">
        <f t="shared" si="22"/>
        <v>5599</v>
      </c>
      <c r="Z64" s="2">
        <f t="shared" si="23"/>
        <v>6394</v>
      </c>
      <c r="AA64" s="2">
        <f t="shared" si="24"/>
        <v>1150</v>
      </c>
      <c r="AB64" s="2">
        <f t="shared" si="25"/>
        <v>791</v>
      </c>
      <c r="AC64" s="2">
        <f t="shared" si="26"/>
        <v>612</v>
      </c>
      <c r="AD64" s="2">
        <f t="shared" si="27"/>
        <v>505</v>
      </c>
      <c r="AE64" s="2" t="str">
        <f t="shared" si="28"/>
        <v>-</v>
      </c>
      <c r="AF64" s="2" t="str">
        <f t="shared" si="29"/>
        <v>-</v>
      </c>
      <c r="AG64" s="2">
        <f t="shared" si="30"/>
        <v>2800</v>
      </c>
      <c r="AH64" s="2">
        <f t="shared" si="31"/>
        <v>5199</v>
      </c>
      <c r="AI64" s="2">
        <f t="shared" si="32"/>
        <v>5994</v>
      </c>
      <c r="AJ64" s="2">
        <f t="shared" si="33"/>
        <v>1078</v>
      </c>
      <c r="AK64" s="2">
        <f t="shared" si="34"/>
        <v>742</v>
      </c>
      <c r="AL64" s="2">
        <f t="shared" si="35"/>
        <v>574</v>
      </c>
      <c r="AM64" s="2">
        <f t="shared" si="36"/>
        <v>473</v>
      </c>
      <c r="AN64" s="2" t="str">
        <f t="shared" si="37"/>
        <v>-</v>
      </c>
      <c r="AO64" s="2" t="str">
        <f t="shared" si="38"/>
        <v>-</v>
      </c>
      <c r="AP64" s="2">
        <f t="shared" si="39"/>
        <v>3200</v>
      </c>
      <c r="AQ64" s="2">
        <f t="shared" si="40"/>
        <v>4799</v>
      </c>
      <c r="AR64" s="2">
        <f t="shared" si="41"/>
        <v>5594</v>
      </c>
      <c r="AS64" s="2">
        <f t="shared" si="42"/>
        <v>1007</v>
      </c>
      <c r="AT64" s="2">
        <f t="shared" si="43"/>
        <v>693</v>
      </c>
      <c r="AU64" s="2">
        <f t="shared" si="44"/>
        <v>536</v>
      </c>
      <c r="AV64" s="2" t="str">
        <f t="shared" si="45"/>
        <v>-</v>
      </c>
      <c r="AW64" s="2" t="str">
        <f t="shared" si="46"/>
        <v>-</v>
      </c>
      <c r="AX64" s="2" t="str">
        <f t="shared" si="47"/>
        <v>-</v>
      </c>
    </row>
    <row r="65" ht="14.25" customHeight="1">
      <c r="A65" s="2" t="str">
        <f t="array" ref="A65">IFERROR(INDEX('Product Price'!A:A,SMALL('Product Price'!$D:$D,63)),"")</f>
        <v>realme C100X 4G 4/256 GB</v>
      </c>
      <c r="B65" s="2">
        <f t="array" ref="B65">IFERROR(INDEX('Product Price'!B:B,SMALL('Product Price'!$D:$D,63)),"")</f>
        <v>6999</v>
      </c>
      <c r="C65" s="2">
        <f t="array" ref="C65">IFERROR(INDEX('Product Price'!C:C,SMALL('Product Price'!$D:$D,63)),"")</f>
        <v>54</v>
      </c>
      <c r="D65" s="2">
        <f t="shared" si="1"/>
        <v>795</v>
      </c>
      <c r="E65" s="2">
        <f t="shared" si="2"/>
        <v>7794</v>
      </c>
      <c r="F65" s="2">
        <f t="shared" si="3"/>
        <v>1400</v>
      </c>
      <c r="G65" s="2">
        <f t="shared" si="4"/>
        <v>5599</v>
      </c>
      <c r="H65" s="2">
        <f t="shared" si="5"/>
        <v>6394</v>
      </c>
      <c r="I65" s="2">
        <f t="shared" si="6"/>
        <v>1150</v>
      </c>
      <c r="J65" s="2">
        <f t="shared" si="7"/>
        <v>791</v>
      </c>
      <c r="K65" s="2">
        <f t="shared" si="8"/>
        <v>612</v>
      </c>
      <c r="L65" s="2">
        <f t="shared" si="9"/>
        <v>505</v>
      </c>
      <c r="M65" s="2" t="str">
        <f t="shared" si="10"/>
        <v>-</v>
      </c>
      <c r="N65" s="2" t="str">
        <f t="shared" si="11"/>
        <v>-</v>
      </c>
      <c r="O65" s="2">
        <f t="shared" si="12"/>
        <v>1750</v>
      </c>
      <c r="P65" s="2">
        <f t="shared" si="13"/>
        <v>5249</v>
      </c>
      <c r="Q65" s="2">
        <f t="shared" si="14"/>
        <v>6044</v>
      </c>
      <c r="R65" s="2">
        <f t="shared" si="15"/>
        <v>1087</v>
      </c>
      <c r="S65" s="2">
        <f t="shared" si="16"/>
        <v>748</v>
      </c>
      <c r="T65" s="2">
        <f t="shared" si="17"/>
        <v>579</v>
      </c>
      <c r="U65" s="2">
        <f t="shared" si="18"/>
        <v>477</v>
      </c>
      <c r="V65" s="2" t="str">
        <f t="shared" si="19"/>
        <v>-</v>
      </c>
      <c r="W65" s="2" t="str">
        <f t="shared" si="20"/>
        <v>-</v>
      </c>
      <c r="X65" s="2">
        <f t="shared" si="21"/>
        <v>2100</v>
      </c>
      <c r="Y65" s="2">
        <f t="shared" si="22"/>
        <v>4899</v>
      </c>
      <c r="Z65" s="2">
        <f t="shared" si="23"/>
        <v>5694</v>
      </c>
      <c r="AA65" s="2">
        <f t="shared" si="24"/>
        <v>1025</v>
      </c>
      <c r="AB65" s="2">
        <f t="shared" si="25"/>
        <v>705</v>
      </c>
      <c r="AC65" s="2">
        <f t="shared" si="26"/>
        <v>546</v>
      </c>
      <c r="AD65" s="2" t="str">
        <f t="shared" si="27"/>
        <v>-</v>
      </c>
      <c r="AE65" s="2" t="str">
        <f t="shared" si="28"/>
        <v>-</v>
      </c>
      <c r="AF65" s="2" t="str">
        <f t="shared" si="29"/>
        <v>-</v>
      </c>
      <c r="AG65" s="2">
        <f t="shared" si="30"/>
        <v>2450</v>
      </c>
      <c r="AH65" s="2">
        <f t="shared" si="31"/>
        <v>4549</v>
      </c>
      <c r="AI65" s="2">
        <f t="shared" si="32"/>
        <v>5344</v>
      </c>
      <c r="AJ65" s="2">
        <f t="shared" si="33"/>
        <v>963</v>
      </c>
      <c r="AK65" s="2">
        <f t="shared" si="34"/>
        <v>663</v>
      </c>
      <c r="AL65" s="2">
        <f t="shared" si="35"/>
        <v>513</v>
      </c>
      <c r="AM65" s="2" t="str">
        <f t="shared" si="36"/>
        <v>-</v>
      </c>
      <c r="AN65" s="2" t="str">
        <f t="shared" si="37"/>
        <v>-</v>
      </c>
      <c r="AO65" s="2" t="str">
        <f t="shared" si="38"/>
        <v>-</v>
      </c>
      <c r="AP65" s="2">
        <f t="shared" si="39"/>
        <v>2800</v>
      </c>
      <c r="AQ65" s="2">
        <f t="shared" si="40"/>
        <v>4199</v>
      </c>
      <c r="AR65" s="2">
        <f t="shared" si="41"/>
        <v>4994</v>
      </c>
      <c r="AS65" s="2">
        <f t="shared" si="42"/>
        <v>900</v>
      </c>
      <c r="AT65" s="2">
        <f t="shared" si="43"/>
        <v>620</v>
      </c>
      <c r="AU65" s="2" t="str">
        <f t="shared" si="44"/>
        <v>-</v>
      </c>
      <c r="AV65" s="2" t="str">
        <f t="shared" si="45"/>
        <v>-</v>
      </c>
      <c r="AW65" s="2" t="str">
        <f t="shared" si="46"/>
        <v>-</v>
      </c>
      <c r="AX65" s="2" t="str">
        <f t="shared" si="47"/>
        <v>-</v>
      </c>
    </row>
    <row r="66" ht="14.25" customHeight="1">
      <c r="A66" s="2" t="str">
        <f t="array" ref="A66">IFERROR(INDEX('Product Price'!A:A,SMALL('Product Price'!$D:$D,64)),"")</f>
        <v>realme C100i 4G 4/128 GB</v>
      </c>
      <c r="B66" s="2">
        <f t="array" ref="B66">IFERROR(INDEX('Product Price'!B:B,SMALL('Product Price'!$D:$D,64)),"")</f>
        <v>6499</v>
      </c>
      <c r="C66" s="2">
        <f t="array" ref="C66">IFERROR(INDEX('Product Price'!C:C,SMALL('Product Price'!$D:$D,64)),"")</f>
        <v>56</v>
      </c>
      <c r="D66" s="2">
        <f t="shared" si="1"/>
        <v>795</v>
      </c>
      <c r="E66" s="2">
        <f t="shared" si="2"/>
        <v>7294</v>
      </c>
      <c r="F66" s="2">
        <f t="shared" si="3"/>
        <v>1300</v>
      </c>
      <c r="G66" s="2">
        <f t="shared" si="4"/>
        <v>5199</v>
      </c>
      <c r="H66" s="2">
        <f t="shared" si="5"/>
        <v>5994</v>
      </c>
      <c r="I66" s="2">
        <f t="shared" si="6"/>
        <v>1078</v>
      </c>
      <c r="J66" s="2">
        <f t="shared" si="7"/>
        <v>742</v>
      </c>
      <c r="K66" s="2">
        <f t="shared" si="8"/>
        <v>574</v>
      </c>
      <c r="L66" s="2">
        <f t="shared" si="9"/>
        <v>473</v>
      </c>
      <c r="M66" s="2" t="str">
        <f t="shared" si="10"/>
        <v>-</v>
      </c>
      <c r="N66" s="2" t="str">
        <f t="shared" si="11"/>
        <v>-</v>
      </c>
      <c r="O66" s="2">
        <f t="shared" si="12"/>
        <v>1625</v>
      </c>
      <c r="P66" s="2">
        <f t="shared" si="13"/>
        <v>4874</v>
      </c>
      <c r="Q66" s="2">
        <f t="shared" si="14"/>
        <v>5669</v>
      </c>
      <c r="R66" s="2">
        <f t="shared" si="15"/>
        <v>1020</v>
      </c>
      <c r="S66" s="2">
        <f t="shared" si="16"/>
        <v>702</v>
      </c>
      <c r="T66" s="2">
        <f t="shared" si="17"/>
        <v>543</v>
      </c>
      <c r="U66" s="2" t="str">
        <f t="shared" si="18"/>
        <v>-</v>
      </c>
      <c r="V66" s="2" t="str">
        <f t="shared" si="19"/>
        <v>-</v>
      </c>
      <c r="W66" s="2" t="str">
        <f t="shared" si="20"/>
        <v>-</v>
      </c>
      <c r="X66" s="2">
        <f t="shared" si="21"/>
        <v>1950</v>
      </c>
      <c r="Y66" s="2">
        <f t="shared" si="22"/>
        <v>4549</v>
      </c>
      <c r="Z66" s="2">
        <f t="shared" si="23"/>
        <v>5344</v>
      </c>
      <c r="AA66" s="2">
        <f t="shared" si="24"/>
        <v>963</v>
      </c>
      <c r="AB66" s="2">
        <f t="shared" si="25"/>
        <v>663</v>
      </c>
      <c r="AC66" s="2">
        <f t="shared" si="26"/>
        <v>513</v>
      </c>
      <c r="AD66" s="2" t="str">
        <f t="shared" si="27"/>
        <v>-</v>
      </c>
      <c r="AE66" s="2" t="str">
        <f t="shared" si="28"/>
        <v>-</v>
      </c>
      <c r="AF66" s="2" t="str">
        <f t="shared" si="29"/>
        <v>-</v>
      </c>
      <c r="AG66" s="2">
        <f t="shared" si="30"/>
        <v>2275</v>
      </c>
      <c r="AH66" s="2">
        <f t="shared" si="31"/>
        <v>4224</v>
      </c>
      <c r="AI66" s="2">
        <f t="shared" si="32"/>
        <v>5019</v>
      </c>
      <c r="AJ66" s="2">
        <f t="shared" si="33"/>
        <v>905</v>
      </c>
      <c r="AK66" s="2">
        <f t="shared" si="34"/>
        <v>623</v>
      </c>
      <c r="AL66" s="2">
        <f t="shared" si="35"/>
        <v>482</v>
      </c>
      <c r="AM66" s="2" t="str">
        <f t="shared" si="36"/>
        <v>-</v>
      </c>
      <c r="AN66" s="2" t="str">
        <f t="shared" si="37"/>
        <v>-</v>
      </c>
      <c r="AO66" s="2" t="str">
        <f t="shared" si="38"/>
        <v>-</v>
      </c>
      <c r="AP66" s="2">
        <f t="shared" si="39"/>
        <v>2600</v>
      </c>
      <c r="AQ66" s="2">
        <f t="shared" si="40"/>
        <v>3899</v>
      </c>
      <c r="AR66" s="2">
        <f t="shared" si="41"/>
        <v>4694</v>
      </c>
      <c r="AS66" s="2">
        <f t="shared" si="42"/>
        <v>847</v>
      </c>
      <c r="AT66" s="2">
        <f t="shared" si="43"/>
        <v>583</v>
      </c>
      <c r="AU66" s="2" t="str">
        <f t="shared" si="44"/>
        <v>-</v>
      </c>
      <c r="AV66" s="2" t="str">
        <f t="shared" si="45"/>
        <v>-</v>
      </c>
      <c r="AW66" s="2" t="str">
        <f t="shared" si="46"/>
        <v>-</v>
      </c>
      <c r="AX66" s="2" t="str">
        <f t="shared" si="47"/>
        <v>-</v>
      </c>
    </row>
    <row r="67" ht="14.25" customHeight="1">
      <c r="A67" s="2" t="str">
        <f t="array" ref="A67">IFERROR(INDEX('Product Price'!A:A,SMALL('Product Price'!$D:$D,65)),"")</f>
        <v>realme Note 80 4/64 GB</v>
      </c>
      <c r="B67" s="2">
        <f t="array" ref="B67">IFERROR(INDEX('Product Price'!B:B,SMALL('Product Price'!$D:$D,65)),"")</f>
        <v>4999</v>
      </c>
      <c r="C67" s="2">
        <f t="array" ref="C67">IFERROR(INDEX('Product Price'!C:C,SMALL('Product Price'!$D:$D,65)),"")</f>
        <v>249</v>
      </c>
      <c r="D67" s="2">
        <f t="shared" si="1"/>
        <v>795</v>
      </c>
      <c r="E67" s="2">
        <f t="shared" si="2"/>
        <v>5794</v>
      </c>
      <c r="F67" s="2">
        <f t="shared" si="3"/>
        <v>1000</v>
      </c>
      <c r="G67" s="2">
        <f t="shared" si="4"/>
        <v>3999</v>
      </c>
      <c r="H67" s="2">
        <f t="shared" si="5"/>
        <v>4794</v>
      </c>
      <c r="I67" s="2">
        <f t="shared" si="6"/>
        <v>865</v>
      </c>
      <c r="J67" s="2">
        <f t="shared" si="7"/>
        <v>595</v>
      </c>
      <c r="K67" s="2" t="str">
        <f t="shared" si="8"/>
        <v>-</v>
      </c>
      <c r="L67" s="2" t="str">
        <f t="shared" si="9"/>
        <v>-</v>
      </c>
      <c r="M67" s="2" t="str">
        <f t="shared" si="10"/>
        <v>-</v>
      </c>
      <c r="N67" s="2" t="str">
        <f t="shared" si="11"/>
        <v>-</v>
      </c>
      <c r="O67" s="2">
        <f t="shared" si="12"/>
        <v>1250</v>
      </c>
      <c r="P67" s="2">
        <f t="shared" si="13"/>
        <v>3749</v>
      </c>
      <c r="Q67" s="2">
        <f t="shared" si="14"/>
        <v>4544</v>
      </c>
      <c r="R67" s="2">
        <f t="shared" si="15"/>
        <v>820</v>
      </c>
      <c r="S67" s="2">
        <f t="shared" si="16"/>
        <v>564</v>
      </c>
      <c r="T67" s="2" t="str">
        <f t="shared" si="17"/>
        <v>-</v>
      </c>
      <c r="U67" s="2" t="str">
        <f t="shared" si="18"/>
        <v>-</v>
      </c>
      <c r="V67" s="2" t="str">
        <f t="shared" si="19"/>
        <v>-</v>
      </c>
      <c r="W67" s="2" t="str">
        <f t="shared" si="20"/>
        <v>-</v>
      </c>
      <c r="X67" s="2">
        <f t="shared" si="21"/>
        <v>1500</v>
      </c>
      <c r="Y67" s="2">
        <f t="shared" si="22"/>
        <v>3499</v>
      </c>
      <c r="Z67" s="2">
        <f t="shared" si="23"/>
        <v>4294</v>
      </c>
      <c r="AA67" s="2">
        <f t="shared" si="24"/>
        <v>775</v>
      </c>
      <c r="AB67" s="2">
        <f t="shared" si="25"/>
        <v>534</v>
      </c>
      <c r="AC67" s="2" t="str">
        <f t="shared" si="26"/>
        <v>-</v>
      </c>
      <c r="AD67" s="2" t="str">
        <f t="shared" si="27"/>
        <v>-</v>
      </c>
      <c r="AE67" s="2" t="str">
        <f t="shared" si="28"/>
        <v>-</v>
      </c>
      <c r="AF67" s="2" t="str">
        <f t="shared" si="29"/>
        <v>-</v>
      </c>
      <c r="AG67" s="2">
        <f t="shared" si="30"/>
        <v>1750</v>
      </c>
      <c r="AH67" s="2">
        <f t="shared" si="31"/>
        <v>3249</v>
      </c>
      <c r="AI67" s="2">
        <f t="shared" si="32"/>
        <v>4044</v>
      </c>
      <c r="AJ67" s="2">
        <f t="shared" si="33"/>
        <v>731</v>
      </c>
      <c r="AK67" s="2" t="str">
        <f t="shared" si="34"/>
        <v>-</v>
      </c>
      <c r="AL67" s="2" t="str">
        <f t="shared" si="35"/>
        <v>-</v>
      </c>
      <c r="AM67" s="2" t="str">
        <f t="shared" si="36"/>
        <v>-</v>
      </c>
      <c r="AN67" s="2" t="str">
        <f t="shared" si="37"/>
        <v>-</v>
      </c>
      <c r="AO67" s="2" t="str">
        <f t="shared" si="38"/>
        <v>-</v>
      </c>
      <c r="AP67" s="2">
        <f t="shared" si="39"/>
        <v>2000</v>
      </c>
      <c r="AQ67" s="2">
        <f t="shared" si="40"/>
        <v>2999</v>
      </c>
      <c r="AR67" s="2">
        <f t="shared" si="41"/>
        <v>3794</v>
      </c>
      <c r="AS67" s="2">
        <f t="shared" si="42"/>
        <v>686</v>
      </c>
      <c r="AT67" s="2" t="str">
        <f t="shared" si="43"/>
        <v>-</v>
      </c>
      <c r="AU67" s="2" t="str">
        <f t="shared" si="44"/>
        <v>-</v>
      </c>
      <c r="AV67" s="2" t="str">
        <f t="shared" si="45"/>
        <v>-</v>
      </c>
      <c r="AW67" s="2" t="str">
        <f t="shared" si="46"/>
        <v>-</v>
      </c>
      <c r="AX67" s="2" t="str">
        <f t="shared" si="47"/>
        <v>-</v>
      </c>
    </row>
    <row r="68" ht="14.25" customHeight="1">
      <c r="A68" s="2" t="str">
        <f t="array" ref="A68">IFERROR(INDEX('Product Price'!A:A,SMALL('Product Price'!$D:$D,66)),"")</f>
        <v>realme PAD3 5G 8/256 GB</v>
      </c>
      <c r="B68" s="2">
        <f t="array" ref="B68">IFERROR(INDEX('Product Price'!B:B,SMALL('Product Price'!$D:$D,66)),"")</f>
        <v>14999</v>
      </c>
      <c r="C68" s="2">
        <f t="array" ref="C68">IFERROR(INDEX('Product Price'!C:C,SMALL('Product Price'!$D:$D,66)),"")</f>
        <v>55</v>
      </c>
      <c r="D68" s="2">
        <f t="shared" si="1"/>
        <v>1450</v>
      </c>
      <c r="E68" s="2">
        <f t="shared" si="2"/>
        <v>16449</v>
      </c>
      <c r="F68" s="2">
        <f t="shared" si="3"/>
        <v>3000</v>
      </c>
      <c r="G68" s="2">
        <f t="shared" si="4"/>
        <v>11999</v>
      </c>
      <c r="H68" s="2">
        <f t="shared" si="5"/>
        <v>13449</v>
      </c>
      <c r="I68" s="2">
        <f t="shared" si="6"/>
        <v>2415</v>
      </c>
      <c r="J68" s="2">
        <f t="shared" si="7"/>
        <v>1662</v>
      </c>
      <c r="K68" s="2">
        <f t="shared" si="8"/>
        <v>1286</v>
      </c>
      <c r="L68" s="2">
        <f t="shared" si="9"/>
        <v>1060</v>
      </c>
      <c r="M68" s="2">
        <f t="shared" si="10"/>
        <v>909</v>
      </c>
      <c r="N68" s="2">
        <f t="shared" si="11"/>
        <v>721</v>
      </c>
      <c r="O68" s="2">
        <f t="shared" si="12"/>
        <v>3750</v>
      </c>
      <c r="P68" s="2">
        <f t="shared" si="13"/>
        <v>11249</v>
      </c>
      <c r="Q68" s="2">
        <f t="shared" si="14"/>
        <v>12699</v>
      </c>
      <c r="R68" s="2">
        <f t="shared" si="15"/>
        <v>2281</v>
      </c>
      <c r="S68" s="2">
        <f t="shared" si="16"/>
        <v>1570</v>
      </c>
      <c r="T68" s="2">
        <f t="shared" si="17"/>
        <v>1214</v>
      </c>
      <c r="U68" s="2">
        <f t="shared" si="18"/>
        <v>1001</v>
      </c>
      <c r="V68" s="2">
        <f t="shared" si="19"/>
        <v>859</v>
      </c>
      <c r="W68" s="2">
        <f t="shared" si="20"/>
        <v>681</v>
      </c>
      <c r="X68" s="2">
        <f t="shared" si="21"/>
        <v>4500</v>
      </c>
      <c r="Y68" s="2">
        <f t="shared" si="22"/>
        <v>10499</v>
      </c>
      <c r="Z68" s="2">
        <f t="shared" si="23"/>
        <v>11949</v>
      </c>
      <c r="AA68" s="2">
        <f t="shared" si="24"/>
        <v>2147</v>
      </c>
      <c r="AB68" s="2">
        <f t="shared" si="25"/>
        <v>1478</v>
      </c>
      <c r="AC68" s="2">
        <f t="shared" si="26"/>
        <v>1143</v>
      </c>
      <c r="AD68" s="2">
        <f t="shared" si="27"/>
        <v>942</v>
      </c>
      <c r="AE68" s="2">
        <f t="shared" si="28"/>
        <v>809</v>
      </c>
      <c r="AF68" s="2">
        <f t="shared" si="29"/>
        <v>641</v>
      </c>
      <c r="AG68" s="2">
        <f t="shared" si="30"/>
        <v>5250</v>
      </c>
      <c r="AH68" s="2">
        <f t="shared" si="31"/>
        <v>9749</v>
      </c>
      <c r="AI68" s="2">
        <f t="shared" si="32"/>
        <v>11199</v>
      </c>
      <c r="AJ68" s="2">
        <f t="shared" si="33"/>
        <v>2014</v>
      </c>
      <c r="AK68" s="2">
        <f t="shared" si="34"/>
        <v>1386</v>
      </c>
      <c r="AL68" s="2">
        <f t="shared" si="35"/>
        <v>1072</v>
      </c>
      <c r="AM68" s="2">
        <f t="shared" si="36"/>
        <v>884</v>
      </c>
      <c r="AN68" s="2">
        <f t="shared" si="37"/>
        <v>758</v>
      </c>
      <c r="AO68" s="2">
        <f t="shared" si="38"/>
        <v>601</v>
      </c>
      <c r="AP68" s="2">
        <f t="shared" si="39"/>
        <v>6000</v>
      </c>
      <c r="AQ68" s="2">
        <f t="shared" si="40"/>
        <v>8999</v>
      </c>
      <c r="AR68" s="2">
        <f t="shared" si="41"/>
        <v>10449</v>
      </c>
      <c r="AS68" s="2">
        <f t="shared" si="42"/>
        <v>1880</v>
      </c>
      <c r="AT68" s="2">
        <f t="shared" si="43"/>
        <v>1294</v>
      </c>
      <c r="AU68" s="2">
        <f t="shared" si="44"/>
        <v>1001</v>
      </c>
      <c r="AV68" s="2">
        <f t="shared" si="45"/>
        <v>825</v>
      </c>
      <c r="AW68" s="2">
        <f t="shared" si="46"/>
        <v>708</v>
      </c>
      <c r="AX68" s="2">
        <f t="shared" si="47"/>
        <v>561</v>
      </c>
    </row>
    <row r="69" ht="14.25" customHeight="1">
      <c r="A69" s="2" t="str">
        <f t="array" ref="A69">IFERROR(INDEX('Product Price'!A:A,SMALL('Product Price'!$D:$D,67)),"")</f>
        <v>SAMSUNG Galaxy A07 5G 6/128 GB</v>
      </c>
      <c r="B69" s="2">
        <f t="array" ref="B69">IFERROR(INDEX('Product Price'!B:B,SMALL('Product Price'!$D:$D,67)),"")</f>
        <v>5999</v>
      </c>
      <c r="C69" s="2">
        <f t="array" ref="C69">IFERROR(INDEX('Product Price'!C:C,SMALL('Product Price'!$D:$D,67)),"")</f>
        <v>57</v>
      </c>
      <c r="D69" s="2">
        <f t="shared" si="1"/>
        <v>795</v>
      </c>
      <c r="E69" s="2">
        <f t="shared" si="2"/>
        <v>6794</v>
      </c>
      <c r="F69" s="2">
        <f t="shared" si="3"/>
        <v>1200</v>
      </c>
      <c r="G69" s="2">
        <f t="shared" si="4"/>
        <v>4799</v>
      </c>
      <c r="H69" s="2">
        <f t="shared" si="5"/>
        <v>5594</v>
      </c>
      <c r="I69" s="2">
        <f t="shared" si="6"/>
        <v>1007</v>
      </c>
      <c r="J69" s="2">
        <f t="shared" si="7"/>
        <v>693</v>
      </c>
      <c r="K69" s="2">
        <f t="shared" si="8"/>
        <v>536</v>
      </c>
      <c r="L69" s="2" t="str">
        <f t="shared" si="9"/>
        <v>-</v>
      </c>
      <c r="M69" s="2" t="str">
        <f t="shared" si="10"/>
        <v>-</v>
      </c>
      <c r="N69" s="2" t="str">
        <f t="shared" si="11"/>
        <v>-</v>
      </c>
      <c r="O69" s="2">
        <f t="shared" si="12"/>
        <v>1500</v>
      </c>
      <c r="P69" s="2">
        <f t="shared" si="13"/>
        <v>4499</v>
      </c>
      <c r="Q69" s="2">
        <f t="shared" si="14"/>
        <v>5294</v>
      </c>
      <c r="R69" s="2">
        <f t="shared" si="15"/>
        <v>954</v>
      </c>
      <c r="S69" s="2">
        <f t="shared" si="16"/>
        <v>656</v>
      </c>
      <c r="T69" s="2">
        <f t="shared" si="17"/>
        <v>508</v>
      </c>
      <c r="U69" s="2" t="str">
        <f t="shared" si="18"/>
        <v>-</v>
      </c>
      <c r="V69" s="2" t="str">
        <f t="shared" si="19"/>
        <v>-</v>
      </c>
      <c r="W69" s="2" t="str">
        <f t="shared" si="20"/>
        <v>-</v>
      </c>
      <c r="X69" s="2">
        <f t="shared" si="21"/>
        <v>1800</v>
      </c>
      <c r="Y69" s="2">
        <f t="shared" si="22"/>
        <v>4199</v>
      </c>
      <c r="Z69" s="2">
        <f t="shared" si="23"/>
        <v>4994</v>
      </c>
      <c r="AA69" s="2">
        <f t="shared" si="24"/>
        <v>900</v>
      </c>
      <c r="AB69" s="2">
        <f t="shared" si="25"/>
        <v>620</v>
      </c>
      <c r="AC69" s="2" t="str">
        <f t="shared" si="26"/>
        <v>-</v>
      </c>
      <c r="AD69" s="2" t="str">
        <f t="shared" si="27"/>
        <v>-</v>
      </c>
      <c r="AE69" s="2" t="str">
        <f t="shared" si="28"/>
        <v>-</v>
      </c>
      <c r="AF69" s="2" t="str">
        <f t="shared" si="29"/>
        <v>-</v>
      </c>
      <c r="AG69" s="2">
        <f t="shared" si="30"/>
        <v>2100</v>
      </c>
      <c r="AH69" s="2">
        <f t="shared" si="31"/>
        <v>3899</v>
      </c>
      <c r="AI69" s="2">
        <f t="shared" si="32"/>
        <v>4694</v>
      </c>
      <c r="AJ69" s="2">
        <f t="shared" si="33"/>
        <v>847</v>
      </c>
      <c r="AK69" s="2">
        <f t="shared" si="34"/>
        <v>583</v>
      </c>
      <c r="AL69" s="2" t="str">
        <f t="shared" si="35"/>
        <v>-</v>
      </c>
      <c r="AM69" s="2" t="str">
        <f t="shared" si="36"/>
        <v>-</v>
      </c>
      <c r="AN69" s="2" t="str">
        <f t="shared" si="37"/>
        <v>-</v>
      </c>
      <c r="AO69" s="2" t="str">
        <f t="shared" si="38"/>
        <v>-</v>
      </c>
      <c r="AP69" s="2">
        <f t="shared" si="39"/>
        <v>2400</v>
      </c>
      <c r="AQ69" s="2">
        <f t="shared" si="40"/>
        <v>3599</v>
      </c>
      <c r="AR69" s="2">
        <f t="shared" si="41"/>
        <v>4394</v>
      </c>
      <c r="AS69" s="2">
        <f t="shared" si="42"/>
        <v>793</v>
      </c>
      <c r="AT69" s="2">
        <f t="shared" si="43"/>
        <v>546</v>
      </c>
      <c r="AU69" s="2" t="str">
        <f t="shared" si="44"/>
        <v>-</v>
      </c>
      <c r="AV69" s="2" t="str">
        <f t="shared" si="45"/>
        <v>-</v>
      </c>
      <c r="AW69" s="2" t="str">
        <f t="shared" si="46"/>
        <v>-</v>
      </c>
      <c r="AX69" s="2" t="str">
        <f t="shared" si="47"/>
        <v>-</v>
      </c>
    </row>
    <row r="70" ht="14.25" customHeight="1">
      <c r="A70" s="2" t="str">
        <f t="array" ref="A70">IFERROR(INDEX('Product Price'!A:A,SMALL('Product Price'!$D:$D,68)),"")</f>
        <v>SAMSUNG Galaxy A17 LTE 8/128 GB</v>
      </c>
      <c r="B70" s="2">
        <f t="array" ref="B70">IFERROR(INDEX('Product Price'!B:B,SMALL('Product Price'!$D:$D,68)),"")</f>
        <v>6999</v>
      </c>
      <c r="C70" s="2">
        <f t="array" ref="C70">IFERROR(INDEX('Product Price'!C:C,SMALL('Product Price'!$D:$D,68)),"")</f>
        <v>58</v>
      </c>
      <c r="D70" s="2">
        <f t="shared" si="1"/>
        <v>795</v>
      </c>
      <c r="E70" s="2">
        <f t="shared" si="2"/>
        <v>7794</v>
      </c>
      <c r="F70" s="2">
        <f t="shared" si="3"/>
        <v>1400</v>
      </c>
      <c r="G70" s="2">
        <f t="shared" si="4"/>
        <v>5599</v>
      </c>
      <c r="H70" s="2">
        <f t="shared" si="5"/>
        <v>6394</v>
      </c>
      <c r="I70" s="2">
        <f t="shared" si="6"/>
        <v>1150</v>
      </c>
      <c r="J70" s="2">
        <f t="shared" si="7"/>
        <v>791</v>
      </c>
      <c r="K70" s="2">
        <f t="shared" si="8"/>
        <v>612</v>
      </c>
      <c r="L70" s="2">
        <f t="shared" si="9"/>
        <v>505</v>
      </c>
      <c r="M70" s="2" t="str">
        <f t="shared" si="10"/>
        <v>-</v>
      </c>
      <c r="N70" s="2" t="str">
        <f t="shared" si="11"/>
        <v>-</v>
      </c>
      <c r="O70" s="2">
        <f t="shared" si="12"/>
        <v>1750</v>
      </c>
      <c r="P70" s="2">
        <f t="shared" si="13"/>
        <v>5249</v>
      </c>
      <c r="Q70" s="2">
        <f t="shared" si="14"/>
        <v>6044</v>
      </c>
      <c r="R70" s="2">
        <f t="shared" si="15"/>
        <v>1087</v>
      </c>
      <c r="S70" s="2">
        <f t="shared" si="16"/>
        <v>748</v>
      </c>
      <c r="T70" s="2">
        <f t="shared" si="17"/>
        <v>579</v>
      </c>
      <c r="U70" s="2">
        <f t="shared" si="18"/>
        <v>477</v>
      </c>
      <c r="V70" s="2" t="str">
        <f t="shared" si="19"/>
        <v>-</v>
      </c>
      <c r="W70" s="2" t="str">
        <f t="shared" si="20"/>
        <v>-</v>
      </c>
      <c r="X70" s="2">
        <f t="shared" si="21"/>
        <v>2100</v>
      </c>
      <c r="Y70" s="2">
        <f t="shared" si="22"/>
        <v>4899</v>
      </c>
      <c r="Z70" s="2">
        <f t="shared" si="23"/>
        <v>5694</v>
      </c>
      <c r="AA70" s="2">
        <f t="shared" si="24"/>
        <v>1025</v>
      </c>
      <c r="AB70" s="2">
        <f t="shared" si="25"/>
        <v>705</v>
      </c>
      <c r="AC70" s="2">
        <f t="shared" si="26"/>
        <v>546</v>
      </c>
      <c r="AD70" s="2" t="str">
        <f t="shared" si="27"/>
        <v>-</v>
      </c>
      <c r="AE70" s="2" t="str">
        <f t="shared" si="28"/>
        <v>-</v>
      </c>
      <c r="AF70" s="2" t="str">
        <f t="shared" si="29"/>
        <v>-</v>
      </c>
      <c r="AG70" s="2">
        <f t="shared" si="30"/>
        <v>2450</v>
      </c>
      <c r="AH70" s="2">
        <f t="shared" si="31"/>
        <v>4549</v>
      </c>
      <c r="AI70" s="2">
        <f t="shared" si="32"/>
        <v>5344</v>
      </c>
      <c r="AJ70" s="2">
        <f t="shared" si="33"/>
        <v>963</v>
      </c>
      <c r="AK70" s="2">
        <f t="shared" si="34"/>
        <v>663</v>
      </c>
      <c r="AL70" s="2">
        <f t="shared" si="35"/>
        <v>513</v>
      </c>
      <c r="AM70" s="2" t="str">
        <f t="shared" si="36"/>
        <v>-</v>
      </c>
      <c r="AN70" s="2" t="str">
        <f t="shared" si="37"/>
        <v>-</v>
      </c>
      <c r="AO70" s="2" t="str">
        <f t="shared" si="38"/>
        <v>-</v>
      </c>
      <c r="AP70" s="2">
        <f t="shared" si="39"/>
        <v>2800</v>
      </c>
      <c r="AQ70" s="2">
        <f t="shared" si="40"/>
        <v>4199</v>
      </c>
      <c r="AR70" s="2">
        <f t="shared" si="41"/>
        <v>4994</v>
      </c>
      <c r="AS70" s="2">
        <f t="shared" si="42"/>
        <v>900</v>
      </c>
      <c r="AT70" s="2">
        <f t="shared" si="43"/>
        <v>620</v>
      </c>
      <c r="AU70" s="2" t="str">
        <f t="shared" si="44"/>
        <v>-</v>
      </c>
      <c r="AV70" s="2" t="str">
        <f t="shared" si="45"/>
        <v>-</v>
      </c>
      <c r="AW70" s="2" t="str">
        <f t="shared" si="46"/>
        <v>-</v>
      </c>
      <c r="AX70" s="2" t="str">
        <f t="shared" si="47"/>
        <v>-</v>
      </c>
    </row>
    <row r="71" ht="14.25" customHeight="1">
      <c r="A71" s="2" t="str">
        <f t="array" ref="A71">IFERROR(INDEX('Product Price'!A:A,SMALL('Product Price'!$D:$D,69)),"")</f>
        <v>SAMSUNG Galaxy A17 5G 8/128 GB</v>
      </c>
      <c r="B71" s="2">
        <f t="array" ref="B71">IFERROR(INDEX('Product Price'!B:B,SMALL('Product Price'!$D:$D,69)),"")</f>
        <v>7999</v>
      </c>
      <c r="C71" s="2">
        <f t="array" ref="C71">IFERROR(INDEX('Product Price'!C:C,SMALL('Product Price'!$D:$D,69)),"")</f>
        <v>59</v>
      </c>
      <c r="D71" s="2">
        <f t="shared" si="1"/>
        <v>795</v>
      </c>
      <c r="E71" s="2">
        <f t="shared" si="2"/>
        <v>8794</v>
      </c>
      <c r="F71" s="2">
        <f t="shared" si="3"/>
        <v>1600</v>
      </c>
      <c r="G71" s="2">
        <f t="shared" si="4"/>
        <v>6399</v>
      </c>
      <c r="H71" s="2">
        <f t="shared" si="5"/>
        <v>7194</v>
      </c>
      <c r="I71" s="2">
        <f t="shared" si="6"/>
        <v>1292</v>
      </c>
      <c r="J71" s="2">
        <f t="shared" si="7"/>
        <v>889</v>
      </c>
      <c r="K71" s="2">
        <f t="shared" si="8"/>
        <v>688</v>
      </c>
      <c r="L71" s="2">
        <f t="shared" si="9"/>
        <v>567</v>
      </c>
      <c r="M71" s="2">
        <f t="shared" si="10"/>
        <v>487</v>
      </c>
      <c r="N71" s="2" t="str">
        <f t="shared" si="11"/>
        <v>-</v>
      </c>
      <c r="O71" s="2">
        <f t="shared" si="12"/>
        <v>2000</v>
      </c>
      <c r="P71" s="2">
        <f t="shared" si="13"/>
        <v>5999</v>
      </c>
      <c r="Q71" s="2">
        <f t="shared" si="14"/>
        <v>6794</v>
      </c>
      <c r="R71" s="2">
        <f t="shared" si="15"/>
        <v>1221</v>
      </c>
      <c r="S71" s="2">
        <f t="shared" si="16"/>
        <v>840</v>
      </c>
      <c r="T71" s="2">
        <f t="shared" si="17"/>
        <v>650</v>
      </c>
      <c r="U71" s="2">
        <f t="shared" si="18"/>
        <v>536</v>
      </c>
      <c r="V71" s="2">
        <f t="shared" si="19"/>
        <v>460</v>
      </c>
      <c r="W71" s="2" t="str">
        <f t="shared" si="20"/>
        <v>-</v>
      </c>
      <c r="X71" s="2">
        <f t="shared" si="21"/>
        <v>2400</v>
      </c>
      <c r="Y71" s="2">
        <f t="shared" si="22"/>
        <v>5599</v>
      </c>
      <c r="Z71" s="2">
        <f t="shared" si="23"/>
        <v>6394</v>
      </c>
      <c r="AA71" s="2">
        <f t="shared" si="24"/>
        <v>1150</v>
      </c>
      <c r="AB71" s="2">
        <f t="shared" si="25"/>
        <v>791</v>
      </c>
      <c r="AC71" s="2">
        <f t="shared" si="26"/>
        <v>612</v>
      </c>
      <c r="AD71" s="2">
        <f t="shared" si="27"/>
        <v>505</v>
      </c>
      <c r="AE71" s="2" t="str">
        <f t="shared" si="28"/>
        <v>-</v>
      </c>
      <c r="AF71" s="2" t="str">
        <f t="shared" si="29"/>
        <v>-</v>
      </c>
      <c r="AG71" s="2">
        <f t="shared" si="30"/>
        <v>2800</v>
      </c>
      <c r="AH71" s="2">
        <f t="shared" si="31"/>
        <v>5199</v>
      </c>
      <c r="AI71" s="2">
        <f t="shared" si="32"/>
        <v>5994</v>
      </c>
      <c r="AJ71" s="2">
        <f t="shared" si="33"/>
        <v>1078</v>
      </c>
      <c r="AK71" s="2">
        <f t="shared" si="34"/>
        <v>742</v>
      </c>
      <c r="AL71" s="2">
        <f t="shared" si="35"/>
        <v>574</v>
      </c>
      <c r="AM71" s="2">
        <f t="shared" si="36"/>
        <v>473</v>
      </c>
      <c r="AN71" s="2" t="str">
        <f t="shared" si="37"/>
        <v>-</v>
      </c>
      <c r="AO71" s="2" t="str">
        <f t="shared" si="38"/>
        <v>-</v>
      </c>
      <c r="AP71" s="2">
        <f t="shared" si="39"/>
        <v>3200</v>
      </c>
      <c r="AQ71" s="2">
        <f t="shared" si="40"/>
        <v>4799</v>
      </c>
      <c r="AR71" s="2">
        <f t="shared" si="41"/>
        <v>5594</v>
      </c>
      <c r="AS71" s="2">
        <f t="shared" si="42"/>
        <v>1007</v>
      </c>
      <c r="AT71" s="2">
        <f t="shared" si="43"/>
        <v>693</v>
      </c>
      <c r="AU71" s="2">
        <f t="shared" si="44"/>
        <v>536</v>
      </c>
      <c r="AV71" s="2" t="str">
        <f t="shared" si="45"/>
        <v>-</v>
      </c>
      <c r="AW71" s="2" t="str">
        <f t="shared" si="46"/>
        <v>-</v>
      </c>
      <c r="AX71" s="2" t="str">
        <f t="shared" si="47"/>
        <v>-</v>
      </c>
    </row>
    <row r="72" ht="14.25" customHeight="1">
      <c r="A72" s="2" t="str">
        <f t="array" ref="A72">IFERROR(INDEX('Product Price'!A:A,SMALL('Product Price'!$D:$D,70)),"")</f>
        <v>SAMSUNG Galaxy A17 5G 8/256 GB</v>
      </c>
      <c r="B72" s="2">
        <f t="array" ref="B72">IFERROR(INDEX('Product Price'!B:B,SMALL('Product Price'!$D:$D,70)),"")</f>
        <v>9299</v>
      </c>
      <c r="C72" s="2">
        <f t="array" ref="C72">IFERROR(INDEX('Product Price'!C:C,SMALL('Product Price'!$D:$D,70)),"")</f>
        <v>60</v>
      </c>
      <c r="D72" s="2">
        <f t="shared" si="1"/>
        <v>795</v>
      </c>
      <c r="E72" s="2">
        <f t="shared" si="2"/>
        <v>10094</v>
      </c>
      <c r="F72" s="2">
        <f t="shared" si="3"/>
        <v>1860</v>
      </c>
      <c r="G72" s="2">
        <f t="shared" si="4"/>
        <v>7439</v>
      </c>
      <c r="H72" s="2">
        <f t="shared" si="5"/>
        <v>8234</v>
      </c>
      <c r="I72" s="2">
        <f t="shared" si="6"/>
        <v>1477</v>
      </c>
      <c r="J72" s="2">
        <f t="shared" si="7"/>
        <v>1017</v>
      </c>
      <c r="K72" s="2">
        <f t="shared" si="8"/>
        <v>787</v>
      </c>
      <c r="L72" s="2">
        <f t="shared" si="9"/>
        <v>648</v>
      </c>
      <c r="M72" s="2">
        <f t="shared" si="10"/>
        <v>556</v>
      </c>
      <c r="N72" s="2" t="str">
        <f t="shared" si="11"/>
        <v>-</v>
      </c>
      <c r="O72" s="2">
        <f t="shared" si="12"/>
        <v>2325</v>
      </c>
      <c r="P72" s="2">
        <f t="shared" si="13"/>
        <v>6974</v>
      </c>
      <c r="Q72" s="2">
        <f t="shared" si="14"/>
        <v>7769</v>
      </c>
      <c r="R72" s="2">
        <f t="shared" si="15"/>
        <v>1395</v>
      </c>
      <c r="S72" s="2">
        <f t="shared" si="16"/>
        <v>960</v>
      </c>
      <c r="T72" s="2">
        <f t="shared" si="17"/>
        <v>743</v>
      </c>
      <c r="U72" s="2">
        <f t="shared" si="18"/>
        <v>612</v>
      </c>
      <c r="V72" s="2">
        <f t="shared" si="19"/>
        <v>525</v>
      </c>
      <c r="W72" s="2" t="str">
        <f t="shared" si="20"/>
        <v>-</v>
      </c>
      <c r="X72" s="2">
        <f t="shared" si="21"/>
        <v>2790</v>
      </c>
      <c r="Y72" s="2">
        <f t="shared" si="22"/>
        <v>6509</v>
      </c>
      <c r="Z72" s="2">
        <f t="shared" si="23"/>
        <v>7304</v>
      </c>
      <c r="AA72" s="2">
        <f t="shared" si="24"/>
        <v>1312</v>
      </c>
      <c r="AB72" s="2">
        <f t="shared" si="25"/>
        <v>903</v>
      </c>
      <c r="AC72" s="2">
        <f t="shared" si="26"/>
        <v>698</v>
      </c>
      <c r="AD72" s="2">
        <f t="shared" si="27"/>
        <v>576</v>
      </c>
      <c r="AE72" s="2">
        <f t="shared" si="28"/>
        <v>494</v>
      </c>
      <c r="AF72" s="2" t="str">
        <f t="shared" si="29"/>
        <v>-</v>
      </c>
      <c r="AG72" s="2">
        <f t="shared" si="30"/>
        <v>3255</v>
      </c>
      <c r="AH72" s="2">
        <f t="shared" si="31"/>
        <v>6044</v>
      </c>
      <c r="AI72" s="2">
        <f t="shared" si="32"/>
        <v>6839</v>
      </c>
      <c r="AJ72" s="2">
        <f t="shared" si="33"/>
        <v>1229</v>
      </c>
      <c r="AK72" s="2">
        <f t="shared" si="34"/>
        <v>846</v>
      </c>
      <c r="AL72" s="2">
        <f t="shared" si="35"/>
        <v>654</v>
      </c>
      <c r="AM72" s="2">
        <f t="shared" si="36"/>
        <v>539</v>
      </c>
      <c r="AN72" s="2">
        <f t="shared" si="37"/>
        <v>463</v>
      </c>
      <c r="AO72" s="2" t="str">
        <f t="shared" si="38"/>
        <v>-</v>
      </c>
      <c r="AP72" s="2">
        <f t="shared" si="39"/>
        <v>3720</v>
      </c>
      <c r="AQ72" s="2">
        <f t="shared" si="40"/>
        <v>5579</v>
      </c>
      <c r="AR72" s="2">
        <f t="shared" si="41"/>
        <v>6374</v>
      </c>
      <c r="AS72" s="2">
        <f t="shared" si="42"/>
        <v>1146</v>
      </c>
      <c r="AT72" s="2">
        <f t="shared" si="43"/>
        <v>789</v>
      </c>
      <c r="AU72" s="2">
        <f t="shared" si="44"/>
        <v>610</v>
      </c>
      <c r="AV72" s="2">
        <f t="shared" si="45"/>
        <v>503</v>
      </c>
      <c r="AW72" s="2" t="str">
        <f t="shared" si="46"/>
        <v>-</v>
      </c>
      <c r="AX72" s="2" t="str">
        <f t="shared" si="47"/>
        <v>-</v>
      </c>
    </row>
    <row r="73" ht="14.25" customHeight="1">
      <c r="A73" s="2" t="str">
        <f t="array" ref="A73">IFERROR(INDEX('Product Price'!A:A,SMALL('Product Price'!$D:$D,71)),"")</f>
        <v>SAMSUNG Galaxy A26 5G 8/256 GB</v>
      </c>
      <c r="B73" s="2">
        <f t="array" ref="B73">IFERROR(INDEX('Product Price'!B:B,SMALL('Product Price'!$D:$D,71)),"")</f>
        <v>10999</v>
      </c>
      <c r="C73" s="2">
        <f t="array" ref="C73">IFERROR(INDEX('Product Price'!C:C,SMALL('Product Price'!$D:$D,71)),"")</f>
        <v>61</v>
      </c>
      <c r="D73" s="2">
        <f t="shared" si="1"/>
        <v>1450</v>
      </c>
      <c r="E73" s="2">
        <f t="shared" si="2"/>
        <v>12449</v>
      </c>
      <c r="F73" s="2">
        <f t="shared" si="3"/>
        <v>2200</v>
      </c>
      <c r="G73" s="2">
        <f t="shared" si="4"/>
        <v>8799</v>
      </c>
      <c r="H73" s="2">
        <f t="shared" si="5"/>
        <v>10249</v>
      </c>
      <c r="I73" s="2">
        <f t="shared" si="6"/>
        <v>1845</v>
      </c>
      <c r="J73" s="2">
        <f t="shared" si="7"/>
        <v>1270</v>
      </c>
      <c r="K73" s="2">
        <f t="shared" si="8"/>
        <v>982</v>
      </c>
      <c r="L73" s="2">
        <f t="shared" si="9"/>
        <v>810</v>
      </c>
      <c r="M73" s="2">
        <f t="shared" si="10"/>
        <v>695</v>
      </c>
      <c r="N73" s="2">
        <f t="shared" si="11"/>
        <v>551</v>
      </c>
      <c r="O73" s="2">
        <f t="shared" si="12"/>
        <v>2750</v>
      </c>
      <c r="P73" s="2">
        <f t="shared" si="13"/>
        <v>8249</v>
      </c>
      <c r="Q73" s="2">
        <f t="shared" si="14"/>
        <v>9699</v>
      </c>
      <c r="R73" s="2">
        <f t="shared" si="15"/>
        <v>1747</v>
      </c>
      <c r="S73" s="2">
        <f t="shared" si="16"/>
        <v>1202</v>
      </c>
      <c r="T73" s="2">
        <f t="shared" si="17"/>
        <v>930</v>
      </c>
      <c r="U73" s="2">
        <f t="shared" si="18"/>
        <v>767</v>
      </c>
      <c r="V73" s="2">
        <f t="shared" si="19"/>
        <v>658</v>
      </c>
      <c r="W73" s="2">
        <f t="shared" si="20"/>
        <v>522</v>
      </c>
      <c r="X73" s="2">
        <f t="shared" si="21"/>
        <v>3300</v>
      </c>
      <c r="Y73" s="2">
        <f t="shared" si="22"/>
        <v>7699</v>
      </c>
      <c r="Z73" s="2">
        <f t="shared" si="23"/>
        <v>9149</v>
      </c>
      <c r="AA73" s="2">
        <f t="shared" si="24"/>
        <v>1649</v>
      </c>
      <c r="AB73" s="2">
        <f t="shared" si="25"/>
        <v>1135</v>
      </c>
      <c r="AC73" s="2">
        <f t="shared" si="26"/>
        <v>878</v>
      </c>
      <c r="AD73" s="2">
        <f t="shared" si="27"/>
        <v>724</v>
      </c>
      <c r="AE73" s="2">
        <f t="shared" si="28"/>
        <v>621</v>
      </c>
      <c r="AF73" s="2">
        <f t="shared" si="29"/>
        <v>492</v>
      </c>
      <c r="AG73" s="2">
        <f t="shared" si="30"/>
        <v>3850</v>
      </c>
      <c r="AH73" s="2">
        <f t="shared" si="31"/>
        <v>7149</v>
      </c>
      <c r="AI73" s="2">
        <f t="shared" si="32"/>
        <v>8599</v>
      </c>
      <c r="AJ73" s="2">
        <f t="shared" si="33"/>
        <v>1551</v>
      </c>
      <c r="AK73" s="2">
        <f t="shared" si="34"/>
        <v>1067</v>
      </c>
      <c r="AL73" s="2">
        <f t="shared" si="35"/>
        <v>826</v>
      </c>
      <c r="AM73" s="2">
        <f t="shared" si="36"/>
        <v>681</v>
      </c>
      <c r="AN73" s="2">
        <f t="shared" si="37"/>
        <v>584</v>
      </c>
      <c r="AO73" s="2" t="str">
        <f t="shared" si="38"/>
        <v>-</v>
      </c>
      <c r="AP73" s="2">
        <f t="shared" si="39"/>
        <v>4400</v>
      </c>
      <c r="AQ73" s="2">
        <f t="shared" si="40"/>
        <v>6599</v>
      </c>
      <c r="AR73" s="2">
        <f t="shared" si="41"/>
        <v>8049</v>
      </c>
      <c r="AS73" s="2">
        <f t="shared" si="42"/>
        <v>1453</v>
      </c>
      <c r="AT73" s="2">
        <f t="shared" si="43"/>
        <v>1000</v>
      </c>
      <c r="AU73" s="2">
        <f t="shared" si="44"/>
        <v>773</v>
      </c>
      <c r="AV73" s="2">
        <f t="shared" si="45"/>
        <v>638</v>
      </c>
      <c r="AW73" s="2">
        <f t="shared" si="46"/>
        <v>547</v>
      </c>
      <c r="AX73" s="2" t="str">
        <f t="shared" si="47"/>
        <v>-</v>
      </c>
    </row>
    <row r="74" ht="14.25" customHeight="1">
      <c r="A74" s="2" t="str">
        <f t="array" ref="A74">IFERROR(INDEX('Product Price'!A:A,SMALL('Product Price'!$D:$D,72)),"")</f>
        <v>SAMSUNG Galaxy A57 5G 12/512 GB</v>
      </c>
      <c r="B74" s="2">
        <f t="array" ref="B74">IFERROR(INDEX('Product Price'!B:B,SMALL('Product Price'!$D:$D,72)),"")</f>
        <v>20999</v>
      </c>
      <c r="C74" s="2">
        <f t="array" ref="C74">IFERROR(INDEX('Product Price'!C:C,SMALL('Product Price'!$D:$D,72)),"")</f>
        <v>62</v>
      </c>
      <c r="D74" s="2">
        <f t="shared" si="1"/>
        <v>1900</v>
      </c>
      <c r="E74" s="2">
        <f t="shared" si="2"/>
        <v>22899</v>
      </c>
      <c r="F74" s="2">
        <f t="shared" si="3"/>
        <v>4200</v>
      </c>
      <c r="G74" s="2">
        <f t="shared" si="4"/>
        <v>16799</v>
      </c>
      <c r="H74" s="2">
        <f t="shared" si="5"/>
        <v>18699</v>
      </c>
      <c r="I74" s="2">
        <f t="shared" si="6"/>
        <v>3356</v>
      </c>
      <c r="J74" s="2">
        <f t="shared" si="7"/>
        <v>2310</v>
      </c>
      <c r="K74" s="2">
        <f t="shared" si="8"/>
        <v>1786</v>
      </c>
      <c r="L74" s="2">
        <f t="shared" si="9"/>
        <v>1473</v>
      </c>
      <c r="M74" s="2">
        <f t="shared" si="10"/>
        <v>1263</v>
      </c>
      <c r="N74" s="2">
        <f t="shared" si="11"/>
        <v>1002</v>
      </c>
      <c r="O74" s="2">
        <f t="shared" si="12"/>
        <v>5250</v>
      </c>
      <c r="P74" s="2">
        <f t="shared" si="13"/>
        <v>15749</v>
      </c>
      <c r="Q74" s="2">
        <f t="shared" si="14"/>
        <v>17649</v>
      </c>
      <c r="R74" s="2">
        <f t="shared" si="15"/>
        <v>3169</v>
      </c>
      <c r="S74" s="2">
        <f t="shared" si="16"/>
        <v>2181</v>
      </c>
      <c r="T74" s="2">
        <f t="shared" si="17"/>
        <v>1687</v>
      </c>
      <c r="U74" s="2">
        <f t="shared" si="18"/>
        <v>1390</v>
      </c>
      <c r="V74" s="2">
        <f t="shared" si="19"/>
        <v>1193</v>
      </c>
      <c r="W74" s="2">
        <f t="shared" si="20"/>
        <v>946</v>
      </c>
      <c r="X74" s="2">
        <f t="shared" si="21"/>
        <v>6300</v>
      </c>
      <c r="Y74" s="2">
        <f t="shared" si="22"/>
        <v>14699</v>
      </c>
      <c r="Z74" s="2">
        <f t="shared" si="23"/>
        <v>16599</v>
      </c>
      <c r="AA74" s="2">
        <f t="shared" si="24"/>
        <v>2982</v>
      </c>
      <c r="AB74" s="2">
        <f t="shared" si="25"/>
        <v>2052</v>
      </c>
      <c r="AC74" s="2">
        <f t="shared" si="26"/>
        <v>1587</v>
      </c>
      <c r="AD74" s="2">
        <f t="shared" si="27"/>
        <v>1308</v>
      </c>
      <c r="AE74" s="2">
        <f t="shared" si="28"/>
        <v>1122</v>
      </c>
      <c r="AF74" s="2">
        <f t="shared" si="29"/>
        <v>890</v>
      </c>
      <c r="AG74" s="2">
        <f t="shared" si="30"/>
        <v>7350</v>
      </c>
      <c r="AH74" s="2">
        <f t="shared" si="31"/>
        <v>13649</v>
      </c>
      <c r="AI74" s="2">
        <f t="shared" si="32"/>
        <v>15549</v>
      </c>
      <c r="AJ74" s="2">
        <f t="shared" si="33"/>
        <v>2795</v>
      </c>
      <c r="AK74" s="2">
        <f t="shared" si="34"/>
        <v>1923</v>
      </c>
      <c r="AL74" s="2">
        <f t="shared" si="35"/>
        <v>1488</v>
      </c>
      <c r="AM74" s="2">
        <f t="shared" si="36"/>
        <v>1226</v>
      </c>
      <c r="AN74" s="2">
        <f t="shared" si="37"/>
        <v>1052</v>
      </c>
      <c r="AO74" s="2">
        <f t="shared" si="38"/>
        <v>834</v>
      </c>
      <c r="AP74" s="2">
        <f t="shared" si="39"/>
        <v>8400</v>
      </c>
      <c r="AQ74" s="2">
        <f t="shared" si="40"/>
        <v>12599</v>
      </c>
      <c r="AR74" s="2">
        <f t="shared" si="41"/>
        <v>14499</v>
      </c>
      <c r="AS74" s="2">
        <f t="shared" si="42"/>
        <v>2607</v>
      </c>
      <c r="AT74" s="2">
        <f t="shared" si="43"/>
        <v>1795</v>
      </c>
      <c r="AU74" s="2">
        <f t="shared" si="44"/>
        <v>1388</v>
      </c>
      <c r="AV74" s="2">
        <f t="shared" si="45"/>
        <v>1144</v>
      </c>
      <c r="AW74" s="2">
        <f t="shared" si="46"/>
        <v>982</v>
      </c>
      <c r="AX74" s="2">
        <f t="shared" si="47"/>
        <v>778</v>
      </c>
    </row>
    <row r="75" ht="14.25" customHeight="1">
      <c r="A75" s="2" t="str">
        <f t="array" ref="A75">IFERROR(INDEX('Product Price'!A:A,SMALL('Product Price'!$D:$D,73)),"")</f>
        <v>SAMSUNG Galaxy A57 5G 12/256 GB</v>
      </c>
      <c r="B75" s="2">
        <f t="array" ref="B75">IFERROR(INDEX('Product Price'!B:B,SMALL('Product Price'!$D:$D,73)),"")</f>
        <v>17999</v>
      </c>
      <c r="C75" s="2">
        <f t="array" ref="C75">IFERROR(INDEX('Product Price'!C:C,SMALL('Product Price'!$D:$D,73)),"")</f>
        <v>63</v>
      </c>
      <c r="D75" s="2">
        <f t="shared" si="1"/>
        <v>1450</v>
      </c>
      <c r="E75" s="2">
        <f t="shared" si="2"/>
        <v>19449</v>
      </c>
      <c r="F75" s="2">
        <f t="shared" si="3"/>
        <v>3600</v>
      </c>
      <c r="G75" s="2">
        <f t="shared" si="4"/>
        <v>14399</v>
      </c>
      <c r="H75" s="2">
        <f t="shared" si="5"/>
        <v>15849</v>
      </c>
      <c r="I75" s="2">
        <f t="shared" si="6"/>
        <v>2842</v>
      </c>
      <c r="J75" s="2">
        <f t="shared" si="7"/>
        <v>1956</v>
      </c>
      <c r="K75" s="2">
        <f t="shared" si="8"/>
        <v>1513</v>
      </c>
      <c r="L75" s="2">
        <f t="shared" si="9"/>
        <v>1247</v>
      </c>
      <c r="M75" s="2">
        <f t="shared" si="10"/>
        <v>1070</v>
      </c>
      <c r="N75" s="2">
        <f t="shared" si="11"/>
        <v>849</v>
      </c>
      <c r="O75" s="2">
        <f t="shared" si="12"/>
        <v>4500</v>
      </c>
      <c r="P75" s="2">
        <f t="shared" si="13"/>
        <v>13499</v>
      </c>
      <c r="Q75" s="2">
        <f t="shared" si="14"/>
        <v>14949</v>
      </c>
      <c r="R75" s="2">
        <f t="shared" si="15"/>
        <v>2682</v>
      </c>
      <c r="S75" s="2">
        <f t="shared" si="16"/>
        <v>1846</v>
      </c>
      <c r="T75" s="2">
        <f t="shared" si="17"/>
        <v>1428</v>
      </c>
      <c r="U75" s="2">
        <f t="shared" si="18"/>
        <v>1177</v>
      </c>
      <c r="V75" s="2">
        <f t="shared" si="19"/>
        <v>1010</v>
      </c>
      <c r="W75" s="2">
        <f t="shared" si="20"/>
        <v>801</v>
      </c>
      <c r="X75" s="2">
        <f t="shared" si="21"/>
        <v>5400</v>
      </c>
      <c r="Y75" s="2">
        <f t="shared" si="22"/>
        <v>12599</v>
      </c>
      <c r="Z75" s="2">
        <f t="shared" si="23"/>
        <v>14049</v>
      </c>
      <c r="AA75" s="2">
        <f t="shared" si="24"/>
        <v>2522</v>
      </c>
      <c r="AB75" s="2">
        <f t="shared" si="25"/>
        <v>1736</v>
      </c>
      <c r="AC75" s="2">
        <f t="shared" si="26"/>
        <v>1342</v>
      </c>
      <c r="AD75" s="2">
        <f t="shared" si="27"/>
        <v>1107</v>
      </c>
      <c r="AE75" s="2">
        <f t="shared" si="28"/>
        <v>949</v>
      </c>
      <c r="AF75" s="2">
        <f t="shared" si="29"/>
        <v>753</v>
      </c>
      <c r="AG75" s="2">
        <f t="shared" si="30"/>
        <v>6300</v>
      </c>
      <c r="AH75" s="2">
        <f t="shared" si="31"/>
        <v>11699</v>
      </c>
      <c r="AI75" s="2">
        <f t="shared" si="32"/>
        <v>13149</v>
      </c>
      <c r="AJ75" s="2">
        <f t="shared" si="33"/>
        <v>2361</v>
      </c>
      <c r="AK75" s="2">
        <f t="shared" si="34"/>
        <v>1625</v>
      </c>
      <c r="AL75" s="2">
        <f t="shared" si="35"/>
        <v>1257</v>
      </c>
      <c r="AM75" s="2">
        <f t="shared" si="36"/>
        <v>1036</v>
      </c>
      <c r="AN75" s="2">
        <f t="shared" si="37"/>
        <v>889</v>
      </c>
      <c r="AO75" s="2">
        <f t="shared" si="38"/>
        <v>705</v>
      </c>
      <c r="AP75" s="2">
        <f t="shared" si="39"/>
        <v>7200</v>
      </c>
      <c r="AQ75" s="2">
        <f t="shared" si="40"/>
        <v>10799</v>
      </c>
      <c r="AR75" s="2">
        <f t="shared" si="41"/>
        <v>12249</v>
      </c>
      <c r="AS75" s="2">
        <f t="shared" si="42"/>
        <v>2201</v>
      </c>
      <c r="AT75" s="2">
        <f t="shared" si="43"/>
        <v>1515</v>
      </c>
      <c r="AU75" s="2">
        <f t="shared" si="44"/>
        <v>1172</v>
      </c>
      <c r="AV75" s="2">
        <f t="shared" si="45"/>
        <v>966</v>
      </c>
      <c r="AW75" s="2">
        <f t="shared" si="46"/>
        <v>829</v>
      </c>
      <c r="AX75" s="2">
        <f t="shared" si="47"/>
        <v>657</v>
      </c>
    </row>
    <row r="76" ht="14.25" customHeight="1">
      <c r="A76" s="2" t="str">
        <f t="array" ref="A76">IFERROR(INDEX('Product Price'!A:A,SMALL('Product Price'!$D:$D,74)),"")</f>
        <v>SAMSUNG Galaxy A57 5G 8/256 GB</v>
      </c>
      <c r="B76" s="2">
        <f t="array" ref="B76">IFERROR(INDEX('Product Price'!B:B,SMALL('Product Price'!$D:$D,74)),"")</f>
        <v>16999</v>
      </c>
      <c r="C76" s="2">
        <f t="array" ref="C76">IFERROR(INDEX('Product Price'!C:C,SMALL('Product Price'!$D:$D,74)),"")</f>
        <v>64</v>
      </c>
      <c r="D76" s="2">
        <f t="shared" si="1"/>
        <v>1450</v>
      </c>
      <c r="E76" s="2">
        <f t="shared" si="2"/>
        <v>18449</v>
      </c>
      <c r="F76" s="2">
        <f t="shared" si="3"/>
        <v>3400</v>
      </c>
      <c r="G76" s="2">
        <f t="shared" si="4"/>
        <v>13599</v>
      </c>
      <c r="H76" s="2">
        <f t="shared" si="5"/>
        <v>15049</v>
      </c>
      <c r="I76" s="2">
        <f t="shared" si="6"/>
        <v>2700</v>
      </c>
      <c r="J76" s="2">
        <f t="shared" si="7"/>
        <v>1858</v>
      </c>
      <c r="K76" s="2">
        <f t="shared" si="8"/>
        <v>1437</v>
      </c>
      <c r="L76" s="2">
        <f t="shared" si="9"/>
        <v>1185</v>
      </c>
      <c r="M76" s="2">
        <f t="shared" si="10"/>
        <v>1016</v>
      </c>
      <c r="N76" s="2">
        <f t="shared" si="11"/>
        <v>806</v>
      </c>
      <c r="O76" s="2">
        <f t="shared" si="12"/>
        <v>4250</v>
      </c>
      <c r="P76" s="2">
        <f t="shared" si="13"/>
        <v>12749</v>
      </c>
      <c r="Q76" s="2">
        <f t="shared" si="14"/>
        <v>14199</v>
      </c>
      <c r="R76" s="2">
        <f t="shared" si="15"/>
        <v>2548</v>
      </c>
      <c r="S76" s="2">
        <f t="shared" si="16"/>
        <v>1754</v>
      </c>
      <c r="T76" s="2">
        <f t="shared" si="17"/>
        <v>1357</v>
      </c>
      <c r="U76" s="2">
        <f t="shared" si="18"/>
        <v>1118</v>
      </c>
      <c r="V76" s="2">
        <f t="shared" si="19"/>
        <v>959</v>
      </c>
      <c r="W76" s="2">
        <f t="shared" si="20"/>
        <v>761</v>
      </c>
      <c r="X76" s="2">
        <f t="shared" si="21"/>
        <v>5100</v>
      </c>
      <c r="Y76" s="2">
        <f t="shared" si="22"/>
        <v>11899</v>
      </c>
      <c r="Z76" s="2">
        <f t="shared" si="23"/>
        <v>13349</v>
      </c>
      <c r="AA76" s="2">
        <f t="shared" si="24"/>
        <v>2397</v>
      </c>
      <c r="AB76" s="2">
        <f t="shared" si="25"/>
        <v>1650</v>
      </c>
      <c r="AC76" s="2">
        <f t="shared" si="26"/>
        <v>1276</v>
      </c>
      <c r="AD76" s="2">
        <f t="shared" si="27"/>
        <v>1052</v>
      </c>
      <c r="AE76" s="2">
        <f t="shared" si="28"/>
        <v>902</v>
      </c>
      <c r="AF76" s="2">
        <f t="shared" si="29"/>
        <v>716</v>
      </c>
      <c r="AG76" s="2">
        <f t="shared" si="30"/>
        <v>5950</v>
      </c>
      <c r="AH76" s="2">
        <f t="shared" si="31"/>
        <v>11049</v>
      </c>
      <c r="AI76" s="2">
        <f t="shared" si="32"/>
        <v>12499</v>
      </c>
      <c r="AJ76" s="2">
        <f t="shared" si="33"/>
        <v>2245</v>
      </c>
      <c r="AK76" s="2">
        <f t="shared" si="34"/>
        <v>1545</v>
      </c>
      <c r="AL76" s="2">
        <f t="shared" si="35"/>
        <v>1195</v>
      </c>
      <c r="AM76" s="2">
        <f t="shared" si="36"/>
        <v>985</v>
      </c>
      <c r="AN76" s="2">
        <f t="shared" si="37"/>
        <v>845</v>
      </c>
      <c r="AO76" s="2">
        <f t="shared" si="38"/>
        <v>670</v>
      </c>
      <c r="AP76" s="2">
        <f t="shared" si="39"/>
        <v>6800</v>
      </c>
      <c r="AQ76" s="2">
        <f t="shared" si="40"/>
        <v>10199</v>
      </c>
      <c r="AR76" s="2">
        <f t="shared" si="41"/>
        <v>11649</v>
      </c>
      <c r="AS76" s="2">
        <f t="shared" si="42"/>
        <v>2094</v>
      </c>
      <c r="AT76" s="2">
        <f t="shared" si="43"/>
        <v>1441</v>
      </c>
      <c r="AU76" s="2">
        <f t="shared" si="44"/>
        <v>1115</v>
      </c>
      <c r="AV76" s="2">
        <f t="shared" si="45"/>
        <v>919</v>
      </c>
      <c r="AW76" s="2">
        <f t="shared" si="46"/>
        <v>788</v>
      </c>
      <c r="AX76" s="2">
        <f t="shared" si="47"/>
        <v>625</v>
      </c>
    </row>
    <row r="77" ht="14.25" customHeight="1">
      <c r="A77" s="2" t="str">
        <f t="array" ref="A77">IFERROR(INDEX('Product Price'!A:A,SMALL('Product Price'!$D:$D,75)),"")</f>
        <v>SAMSUNG Galaxy A37 5G 8/256 GB</v>
      </c>
      <c r="B77" s="2">
        <f t="array" ref="B77">IFERROR(INDEX('Product Price'!B:B,SMALL('Product Price'!$D:$D,75)),"")</f>
        <v>13999</v>
      </c>
      <c r="C77" s="2">
        <f t="array" ref="C77">IFERROR(INDEX('Product Price'!C:C,SMALL('Product Price'!$D:$D,75)),"")</f>
        <v>65</v>
      </c>
      <c r="D77" s="2">
        <f t="shared" si="1"/>
        <v>1450</v>
      </c>
      <c r="E77" s="2">
        <f t="shared" si="2"/>
        <v>15449</v>
      </c>
      <c r="F77" s="2">
        <f t="shared" si="3"/>
        <v>2800</v>
      </c>
      <c r="G77" s="2">
        <f t="shared" si="4"/>
        <v>11199</v>
      </c>
      <c r="H77" s="2">
        <f t="shared" si="5"/>
        <v>12649</v>
      </c>
      <c r="I77" s="2">
        <f t="shared" si="6"/>
        <v>2272</v>
      </c>
      <c r="J77" s="2">
        <f t="shared" si="7"/>
        <v>1564</v>
      </c>
      <c r="K77" s="2">
        <f t="shared" si="8"/>
        <v>1210</v>
      </c>
      <c r="L77" s="2">
        <f t="shared" si="9"/>
        <v>997</v>
      </c>
      <c r="M77" s="2">
        <f t="shared" si="10"/>
        <v>855</v>
      </c>
      <c r="N77" s="2">
        <f t="shared" si="11"/>
        <v>678</v>
      </c>
      <c r="O77" s="2">
        <f t="shared" si="12"/>
        <v>3500</v>
      </c>
      <c r="P77" s="2">
        <f t="shared" si="13"/>
        <v>10499</v>
      </c>
      <c r="Q77" s="2">
        <f t="shared" si="14"/>
        <v>11949</v>
      </c>
      <c r="R77" s="2">
        <f t="shared" si="15"/>
        <v>2147</v>
      </c>
      <c r="S77" s="2">
        <f t="shared" si="16"/>
        <v>1478</v>
      </c>
      <c r="T77" s="2">
        <f t="shared" si="17"/>
        <v>1143</v>
      </c>
      <c r="U77" s="2">
        <f t="shared" si="18"/>
        <v>942</v>
      </c>
      <c r="V77" s="2">
        <f t="shared" si="19"/>
        <v>809</v>
      </c>
      <c r="W77" s="2">
        <f t="shared" si="20"/>
        <v>641</v>
      </c>
      <c r="X77" s="2">
        <f t="shared" si="21"/>
        <v>4200</v>
      </c>
      <c r="Y77" s="2">
        <f t="shared" si="22"/>
        <v>9799</v>
      </c>
      <c r="Z77" s="2">
        <f t="shared" si="23"/>
        <v>11249</v>
      </c>
      <c r="AA77" s="2">
        <f t="shared" si="24"/>
        <v>2023</v>
      </c>
      <c r="AB77" s="2">
        <f t="shared" si="25"/>
        <v>1392</v>
      </c>
      <c r="AC77" s="2">
        <f t="shared" si="26"/>
        <v>1077</v>
      </c>
      <c r="AD77" s="2">
        <f t="shared" si="27"/>
        <v>888</v>
      </c>
      <c r="AE77" s="2">
        <f t="shared" si="28"/>
        <v>762</v>
      </c>
      <c r="AF77" s="2">
        <f t="shared" si="29"/>
        <v>604</v>
      </c>
      <c r="AG77" s="2">
        <f t="shared" si="30"/>
        <v>4900</v>
      </c>
      <c r="AH77" s="2">
        <f t="shared" si="31"/>
        <v>9099</v>
      </c>
      <c r="AI77" s="2">
        <f t="shared" si="32"/>
        <v>10549</v>
      </c>
      <c r="AJ77" s="2">
        <f t="shared" si="33"/>
        <v>1898</v>
      </c>
      <c r="AK77" s="2">
        <f t="shared" si="34"/>
        <v>1306</v>
      </c>
      <c r="AL77" s="2">
        <f t="shared" si="35"/>
        <v>1011</v>
      </c>
      <c r="AM77" s="2">
        <f t="shared" si="36"/>
        <v>833</v>
      </c>
      <c r="AN77" s="2">
        <f t="shared" si="37"/>
        <v>715</v>
      </c>
      <c r="AO77" s="2">
        <f t="shared" si="38"/>
        <v>567</v>
      </c>
      <c r="AP77" s="2">
        <f t="shared" si="39"/>
        <v>5600</v>
      </c>
      <c r="AQ77" s="2">
        <f t="shared" si="40"/>
        <v>8399</v>
      </c>
      <c r="AR77" s="2">
        <f t="shared" si="41"/>
        <v>9849</v>
      </c>
      <c r="AS77" s="2">
        <f t="shared" si="42"/>
        <v>1773</v>
      </c>
      <c r="AT77" s="2">
        <f t="shared" si="43"/>
        <v>1221</v>
      </c>
      <c r="AU77" s="2">
        <f t="shared" si="44"/>
        <v>944</v>
      </c>
      <c r="AV77" s="2">
        <f t="shared" si="45"/>
        <v>778</v>
      </c>
      <c r="AW77" s="2">
        <f t="shared" si="46"/>
        <v>668</v>
      </c>
      <c r="AX77" s="2">
        <f t="shared" si="47"/>
        <v>530</v>
      </c>
    </row>
    <row r="78" ht="14.25" customHeight="1">
      <c r="A78" s="2" t="str">
        <f t="array" ref="A78">IFERROR(INDEX('Product Price'!A:A,SMALL('Product Price'!$D:$D,76)),"")</f>
        <v>SAMSUNG Galaxy A36 5G 8/128 GB</v>
      </c>
      <c r="B78" s="2">
        <f t="array" ref="B78">IFERROR(INDEX('Product Price'!B:B,SMALL('Product Price'!$D:$D,76)),"")</f>
        <v>11999</v>
      </c>
      <c r="C78" s="2">
        <f t="array" ref="C78">IFERROR(INDEX('Product Price'!C:C,SMALL('Product Price'!$D:$D,76)),"")</f>
        <v>66</v>
      </c>
      <c r="D78" s="2">
        <f t="shared" si="1"/>
        <v>1450</v>
      </c>
      <c r="E78" s="2">
        <f t="shared" si="2"/>
        <v>13449</v>
      </c>
      <c r="F78" s="2">
        <f t="shared" si="3"/>
        <v>2400</v>
      </c>
      <c r="G78" s="2">
        <f t="shared" si="4"/>
        <v>9599</v>
      </c>
      <c r="H78" s="2">
        <f t="shared" si="5"/>
        <v>11049</v>
      </c>
      <c r="I78" s="2">
        <f t="shared" si="6"/>
        <v>1987</v>
      </c>
      <c r="J78" s="2">
        <f t="shared" si="7"/>
        <v>1368</v>
      </c>
      <c r="K78" s="2">
        <f t="shared" si="8"/>
        <v>1058</v>
      </c>
      <c r="L78" s="2">
        <f t="shared" si="9"/>
        <v>872</v>
      </c>
      <c r="M78" s="2">
        <f t="shared" si="10"/>
        <v>748</v>
      </c>
      <c r="N78" s="2">
        <f t="shared" si="11"/>
        <v>593</v>
      </c>
      <c r="O78" s="2">
        <f t="shared" si="12"/>
        <v>3000</v>
      </c>
      <c r="P78" s="2">
        <f t="shared" si="13"/>
        <v>8999</v>
      </c>
      <c r="Q78" s="2">
        <f t="shared" si="14"/>
        <v>10449</v>
      </c>
      <c r="R78" s="2">
        <f t="shared" si="15"/>
        <v>1880</v>
      </c>
      <c r="S78" s="2">
        <f t="shared" si="16"/>
        <v>1294</v>
      </c>
      <c r="T78" s="2">
        <f t="shared" si="17"/>
        <v>1001</v>
      </c>
      <c r="U78" s="2">
        <f t="shared" si="18"/>
        <v>825</v>
      </c>
      <c r="V78" s="2">
        <f t="shared" si="19"/>
        <v>708</v>
      </c>
      <c r="W78" s="2">
        <f t="shared" si="20"/>
        <v>561</v>
      </c>
      <c r="X78" s="2">
        <f t="shared" si="21"/>
        <v>3600</v>
      </c>
      <c r="Y78" s="2">
        <f t="shared" si="22"/>
        <v>8399</v>
      </c>
      <c r="Z78" s="2">
        <f t="shared" si="23"/>
        <v>9849</v>
      </c>
      <c r="AA78" s="2">
        <f t="shared" si="24"/>
        <v>1773</v>
      </c>
      <c r="AB78" s="2">
        <f t="shared" si="25"/>
        <v>1221</v>
      </c>
      <c r="AC78" s="2">
        <f t="shared" si="26"/>
        <v>944</v>
      </c>
      <c r="AD78" s="2">
        <f t="shared" si="27"/>
        <v>778</v>
      </c>
      <c r="AE78" s="2">
        <f t="shared" si="28"/>
        <v>668</v>
      </c>
      <c r="AF78" s="2">
        <f t="shared" si="29"/>
        <v>530</v>
      </c>
      <c r="AG78" s="2">
        <f t="shared" si="30"/>
        <v>4200</v>
      </c>
      <c r="AH78" s="2">
        <f t="shared" si="31"/>
        <v>7799</v>
      </c>
      <c r="AI78" s="2">
        <f t="shared" si="32"/>
        <v>9249</v>
      </c>
      <c r="AJ78" s="2">
        <f t="shared" si="33"/>
        <v>1666</v>
      </c>
      <c r="AK78" s="2">
        <f t="shared" si="34"/>
        <v>1147</v>
      </c>
      <c r="AL78" s="2">
        <f t="shared" si="35"/>
        <v>887</v>
      </c>
      <c r="AM78" s="2">
        <f t="shared" si="36"/>
        <v>731</v>
      </c>
      <c r="AN78" s="2">
        <f t="shared" si="37"/>
        <v>628</v>
      </c>
      <c r="AO78" s="2">
        <f t="shared" si="38"/>
        <v>498</v>
      </c>
      <c r="AP78" s="2">
        <f t="shared" si="39"/>
        <v>4800</v>
      </c>
      <c r="AQ78" s="2">
        <f t="shared" si="40"/>
        <v>7199</v>
      </c>
      <c r="AR78" s="2">
        <f t="shared" si="41"/>
        <v>8649</v>
      </c>
      <c r="AS78" s="2">
        <f t="shared" si="42"/>
        <v>1560</v>
      </c>
      <c r="AT78" s="2">
        <f t="shared" si="43"/>
        <v>1073</v>
      </c>
      <c r="AU78" s="2">
        <f t="shared" si="44"/>
        <v>830</v>
      </c>
      <c r="AV78" s="2">
        <f t="shared" si="45"/>
        <v>684</v>
      </c>
      <c r="AW78" s="2">
        <f t="shared" si="46"/>
        <v>587</v>
      </c>
      <c r="AX78" s="2" t="str">
        <f t="shared" si="47"/>
        <v>-</v>
      </c>
    </row>
    <row r="79" ht="14.25" customHeight="1">
      <c r="A79" s="2" t="str">
        <f t="array" ref="A79">IFERROR(INDEX('Product Price'!A:A,SMALL('Product Price'!$D:$D,77)),"")</f>
        <v>SAMSUNG Galaxy A56 5G 8/128 GB</v>
      </c>
      <c r="B79" s="2">
        <f t="array" ref="B79">IFERROR(INDEX('Product Price'!B:B,SMALL('Product Price'!$D:$D,77)),"")</f>
        <v>13999</v>
      </c>
      <c r="C79" s="2">
        <f t="array" ref="C79">IFERROR(INDEX('Product Price'!C:C,SMALL('Product Price'!$D:$D,77)),"")</f>
        <v>67</v>
      </c>
      <c r="D79" s="2">
        <f t="shared" si="1"/>
        <v>1450</v>
      </c>
      <c r="E79" s="2">
        <f t="shared" si="2"/>
        <v>15449</v>
      </c>
      <c r="F79" s="2">
        <f t="shared" si="3"/>
        <v>2800</v>
      </c>
      <c r="G79" s="2">
        <f t="shared" si="4"/>
        <v>11199</v>
      </c>
      <c r="H79" s="2">
        <f t="shared" si="5"/>
        <v>12649</v>
      </c>
      <c r="I79" s="2">
        <f t="shared" si="6"/>
        <v>2272</v>
      </c>
      <c r="J79" s="2">
        <f t="shared" si="7"/>
        <v>1564</v>
      </c>
      <c r="K79" s="2">
        <f t="shared" si="8"/>
        <v>1210</v>
      </c>
      <c r="L79" s="2">
        <f t="shared" si="9"/>
        <v>997</v>
      </c>
      <c r="M79" s="2">
        <f t="shared" si="10"/>
        <v>855</v>
      </c>
      <c r="N79" s="2">
        <f t="shared" si="11"/>
        <v>678</v>
      </c>
      <c r="O79" s="2">
        <f t="shared" si="12"/>
        <v>3500</v>
      </c>
      <c r="P79" s="2">
        <f t="shared" si="13"/>
        <v>10499</v>
      </c>
      <c r="Q79" s="2">
        <f t="shared" si="14"/>
        <v>11949</v>
      </c>
      <c r="R79" s="2">
        <f t="shared" si="15"/>
        <v>2147</v>
      </c>
      <c r="S79" s="2">
        <f t="shared" si="16"/>
        <v>1478</v>
      </c>
      <c r="T79" s="2">
        <f t="shared" si="17"/>
        <v>1143</v>
      </c>
      <c r="U79" s="2">
        <f t="shared" si="18"/>
        <v>942</v>
      </c>
      <c r="V79" s="2">
        <f t="shared" si="19"/>
        <v>809</v>
      </c>
      <c r="W79" s="2">
        <f t="shared" si="20"/>
        <v>641</v>
      </c>
      <c r="X79" s="2">
        <f t="shared" si="21"/>
        <v>4200</v>
      </c>
      <c r="Y79" s="2">
        <f t="shared" si="22"/>
        <v>9799</v>
      </c>
      <c r="Z79" s="2">
        <f t="shared" si="23"/>
        <v>11249</v>
      </c>
      <c r="AA79" s="2">
        <f t="shared" si="24"/>
        <v>2023</v>
      </c>
      <c r="AB79" s="2">
        <f t="shared" si="25"/>
        <v>1392</v>
      </c>
      <c r="AC79" s="2">
        <f t="shared" si="26"/>
        <v>1077</v>
      </c>
      <c r="AD79" s="2">
        <f t="shared" si="27"/>
        <v>888</v>
      </c>
      <c r="AE79" s="2">
        <f t="shared" si="28"/>
        <v>762</v>
      </c>
      <c r="AF79" s="2">
        <f t="shared" si="29"/>
        <v>604</v>
      </c>
      <c r="AG79" s="2">
        <f t="shared" si="30"/>
        <v>4900</v>
      </c>
      <c r="AH79" s="2">
        <f t="shared" si="31"/>
        <v>9099</v>
      </c>
      <c r="AI79" s="2">
        <f t="shared" si="32"/>
        <v>10549</v>
      </c>
      <c r="AJ79" s="2">
        <f t="shared" si="33"/>
        <v>1898</v>
      </c>
      <c r="AK79" s="2">
        <f t="shared" si="34"/>
        <v>1306</v>
      </c>
      <c r="AL79" s="2">
        <f t="shared" si="35"/>
        <v>1011</v>
      </c>
      <c r="AM79" s="2">
        <f t="shared" si="36"/>
        <v>833</v>
      </c>
      <c r="AN79" s="2">
        <f t="shared" si="37"/>
        <v>715</v>
      </c>
      <c r="AO79" s="2">
        <f t="shared" si="38"/>
        <v>567</v>
      </c>
      <c r="AP79" s="2">
        <f t="shared" si="39"/>
        <v>5600</v>
      </c>
      <c r="AQ79" s="2">
        <f t="shared" si="40"/>
        <v>8399</v>
      </c>
      <c r="AR79" s="2">
        <f t="shared" si="41"/>
        <v>9849</v>
      </c>
      <c r="AS79" s="2">
        <f t="shared" si="42"/>
        <v>1773</v>
      </c>
      <c r="AT79" s="2">
        <f t="shared" si="43"/>
        <v>1221</v>
      </c>
      <c r="AU79" s="2">
        <f t="shared" si="44"/>
        <v>944</v>
      </c>
      <c r="AV79" s="2">
        <f t="shared" si="45"/>
        <v>778</v>
      </c>
      <c r="AW79" s="2">
        <f t="shared" si="46"/>
        <v>668</v>
      </c>
      <c r="AX79" s="2">
        <f t="shared" si="47"/>
        <v>530</v>
      </c>
    </row>
    <row r="80" ht="14.25" customHeight="1">
      <c r="A80" s="2" t="str">
        <f t="array" ref="A80">IFERROR(INDEX('Product Price'!A:A,SMALL('Product Price'!$D:$D,78)),"")</f>
        <v>SAMSUNG Galaxy A56 5G 12/256 GB</v>
      </c>
      <c r="B80" s="2">
        <f t="array" ref="B80">IFERROR(INDEX('Product Price'!B:B,SMALL('Product Price'!$D:$D,78)),"")</f>
        <v>15999</v>
      </c>
      <c r="C80" s="2">
        <f t="array" ref="C80">IFERROR(INDEX('Product Price'!C:C,SMALL('Product Price'!$D:$D,78)),"")</f>
        <v>68</v>
      </c>
      <c r="D80" s="2">
        <f t="shared" si="1"/>
        <v>1450</v>
      </c>
      <c r="E80" s="2">
        <f t="shared" si="2"/>
        <v>17449</v>
      </c>
      <c r="F80" s="2">
        <f t="shared" si="3"/>
        <v>3200</v>
      </c>
      <c r="G80" s="2">
        <f t="shared" si="4"/>
        <v>12799</v>
      </c>
      <c r="H80" s="2">
        <f t="shared" si="5"/>
        <v>14249</v>
      </c>
      <c r="I80" s="2">
        <f t="shared" si="6"/>
        <v>2557</v>
      </c>
      <c r="J80" s="2">
        <f t="shared" si="7"/>
        <v>1760</v>
      </c>
      <c r="K80" s="2">
        <f t="shared" si="8"/>
        <v>1361</v>
      </c>
      <c r="L80" s="2">
        <f t="shared" si="9"/>
        <v>1122</v>
      </c>
      <c r="M80" s="2">
        <f t="shared" si="10"/>
        <v>963</v>
      </c>
      <c r="N80" s="2">
        <f t="shared" si="11"/>
        <v>763</v>
      </c>
      <c r="O80" s="2">
        <f t="shared" si="12"/>
        <v>4000</v>
      </c>
      <c r="P80" s="2">
        <f t="shared" si="13"/>
        <v>11999</v>
      </c>
      <c r="Q80" s="2">
        <f t="shared" si="14"/>
        <v>13449</v>
      </c>
      <c r="R80" s="2">
        <f t="shared" si="15"/>
        <v>2415</v>
      </c>
      <c r="S80" s="2">
        <f t="shared" si="16"/>
        <v>1662</v>
      </c>
      <c r="T80" s="2">
        <f t="shared" si="17"/>
        <v>1286</v>
      </c>
      <c r="U80" s="2">
        <f t="shared" si="18"/>
        <v>1060</v>
      </c>
      <c r="V80" s="2">
        <f t="shared" si="19"/>
        <v>909</v>
      </c>
      <c r="W80" s="2">
        <f t="shared" si="20"/>
        <v>721</v>
      </c>
      <c r="X80" s="2">
        <f t="shared" si="21"/>
        <v>4800</v>
      </c>
      <c r="Y80" s="2">
        <f t="shared" si="22"/>
        <v>11199</v>
      </c>
      <c r="Z80" s="2">
        <f t="shared" si="23"/>
        <v>12649</v>
      </c>
      <c r="AA80" s="2">
        <f t="shared" si="24"/>
        <v>2272</v>
      </c>
      <c r="AB80" s="2">
        <f t="shared" si="25"/>
        <v>1564</v>
      </c>
      <c r="AC80" s="2">
        <f t="shared" si="26"/>
        <v>1210</v>
      </c>
      <c r="AD80" s="2">
        <f t="shared" si="27"/>
        <v>997</v>
      </c>
      <c r="AE80" s="2">
        <f t="shared" si="28"/>
        <v>855</v>
      </c>
      <c r="AF80" s="2">
        <f t="shared" si="29"/>
        <v>678</v>
      </c>
      <c r="AG80" s="2">
        <f t="shared" si="30"/>
        <v>5600</v>
      </c>
      <c r="AH80" s="2">
        <f t="shared" si="31"/>
        <v>10399</v>
      </c>
      <c r="AI80" s="2">
        <f t="shared" si="32"/>
        <v>11849</v>
      </c>
      <c r="AJ80" s="2">
        <f t="shared" si="33"/>
        <v>2130</v>
      </c>
      <c r="AK80" s="2">
        <f t="shared" si="34"/>
        <v>1466</v>
      </c>
      <c r="AL80" s="2">
        <f t="shared" si="35"/>
        <v>1134</v>
      </c>
      <c r="AM80" s="2">
        <f t="shared" si="36"/>
        <v>935</v>
      </c>
      <c r="AN80" s="2">
        <f t="shared" si="37"/>
        <v>802</v>
      </c>
      <c r="AO80" s="2">
        <f t="shared" si="38"/>
        <v>636</v>
      </c>
      <c r="AP80" s="2">
        <f t="shared" si="39"/>
        <v>6400</v>
      </c>
      <c r="AQ80" s="2">
        <f t="shared" si="40"/>
        <v>9599</v>
      </c>
      <c r="AR80" s="2">
        <f t="shared" si="41"/>
        <v>11049</v>
      </c>
      <c r="AS80" s="2">
        <f t="shared" si="42"/>
        <v>1987</v>
      </c>
      <c r="AT80" s="2">
        <f t="shared" si="43"/>
        <v>1368</v>
      </c>
      <c r="AU80" s="2">
        <f t="shared" si="44"/>
        <v>1058</v>
      </c>
      <c r="AV80" s="2">
        <f t="shared" si="45"/>
        <v>872</v>
      </c>
      <c r="AW80" s="2">
        <f t="shared" si="46"/>
        <v>748</v>
      </c>
      <c r="AX80" s="2">
        <f t="shared" si="47"/>
        <v>593</v>
      </c>
    </row>
    <row r="81" ht="14.25" customHeight="1">
      <c r="A81" s="2" t="str">
        <f t="array" ref="A81">IFERROR(INDEX('Product Price'!A:A,SMALL('Product Price'!$D:$D,79)),"")</f>
        <v>SAMSUNG Galaxy Z Flip6 12/256 GB</v>
      </c>
      <c r="B81" s="2">
        <f t="array" ref="B81">IFERROR(INDEX('Product Price'!B:B,SMALL('Product Price'!$D:$D,79)),"")</f>
        <v>42900</v>
      </c>
      <c r="C81" s="2">
        <f t="array" ref="C81">IFERROR(INDEX('Product Price'!C:C,SMALL('Product Price'!$D:$D,79)),"")</f>
        <v>69</v>
      </c>
      <c r="D81" s="2">
        <f t="shared" si="1"/>
        <v>2475</v>
      </c>
      <c r="E81" s="2">
        <f t="shared" si="2"/>
        <v>45375</v>
      </c>
      <c r="F81" s="2">
        <f t="shared" si="3"/>
        <v>8580</v>
      </c>
      <c r="G81" s="2">
        <f t="shared" si="4"/>
        <v>34320</v>
      </c>
      <c r="H81" s="2">
        <f t="shared" si="5"/>
        <v>36795</v>
      </c>
      <c r="I81" s="2">
        <f t="shared" si="6"/>
        <v>6587</v>
      </c>
      <c r="J81" s="2">
        <f t="shared" si="7"/>
        <v>4533</v>
      </c>
      <c r="K81" s="2">
        <f t="shared" si="8"/>
        <v>3506</v>
      </c>
      <c r="L81" s="2">
        <f t="shared" si="9"/>
        <v>2890</v>
      </c>
      <c r="M81" s="2">
        <f t="shared" si="10"/>
        <v>2479</v>
      </c>
      <c r="N81" s="2">
        <f t="shared" si="11"/>
        <v>1966</v>
      </c>
      <c r="O81" s="2">
        <f t="shared" si="12"/>
        <v>10725</v>
      </c>
      <c r="P81" s="2">
        <f t="shared" si="13"/>
        <v>32175</v>
      </c>
      <c r="Q81" s="2">
        <f t="shared" si="14"/>
        <v>34650</v>
      </c>
      <c r="R81" s="2">
        <f t="shared" si="15"/>
        <v>6205</v>
      </c>
      <c r="S81" s="2">
        <f t="shared" si="16"/>
        <v>4270</v>
      </c>
      <c r="T81" s="2">
        <f t="shared" si="17"/>
        <v>3303</v>
      </c>
      <c r="U81" s="2">
        <f t="shared" si="18"/>
        <v>2723</v>
      </c>
      <c r="V81" s="2">
        <f t="shared" si="19"/>
        <v>2336</v>
      </c>
      <c r="W81" s="2">
        <f t="shared" si="20"/>
        <v>1852</v>
      </c>
      <c r="X81" s="2">
        <f t="shared" si="21"/>
        <v>12870</v>
      </c>
      <c r="Y81" s="2">
        <f t="shared" si="22"/>
        <v>30030</v>
      </c>
      <c r="Z81" s="2">
        <f t="shared" si="23"/>
        <v>32505</v>
      </c>
      <c r="AA81" s="2">
        <f t="shared" si="24"/>
        <v>5823</v>
      </c>
      <c r="AB81" s="2">
        <f t="shared" si="25"/>
        <v>4007</v>
      </c>
      <c r="AC81" s="2">
        <f t="shared" si="26"/>
        <v>3099</v>
      </c>
      <c r="AD81" s="2">
        <f t="shared" si="27"/>
        <v>2555</v>
      </c>
      <c r="AE81" s="2">
        <f t="shared" si="28"/>
        <v>2192</v>
      </c>
      <c r="AF81" s="2">
        <f t="shared" si="29"/>
        <v>1738</v>
      </c>
      <c r="AG81" s="2">
        <f t="shared" si="30"/>
        <v>15015</v>
      </c>
      <c r="AH81" s="2">
        <f t="shared" si="31"/>
        <v>27885</v>
      </c>
      <c r="AI81" s="2">
        <f t="shared" si="32"/>
        <v>30360</v>
      </c>
      <c r="AJ81" s="2">
        <f t="shared" si="33"/>
        <v>5441</v>
      </c>
      <c r="AK81" s="2">
        <f t="shared" si="34"/>
        <v>3744</v>
      </c>
      <c r="AL81" s="2">
        <f t="shared" si="35"/>
        <v>2896</v>
      </c>
      <c r="AM81" s="2">
        <f t="shared" si="36"/>
        <v>2387</v>
      </c>
      <c r="AN81" s="2">
        <f t="shared" si="37"/>
        <v>2048</v>
      </c>
      <c r="AO81" s="2">
        <f t="shared" si="38"/>
        <v>1624</v>
      </c>
      <c r="AP81" s="2">
        <f t="shared" si="39"/>
        <v>17160</v>
      </c>
      <c r="AQ81" s="2">
        <f t="shared" si="40"/>
        <v>25740</v>
      </c>
      <c r="AR81" s="2">
        <f t="shared" si="41"/>
        <v>28215</v>
      </c>
      <c r="AS81" s="2">
        <f t="shared" si="42"/>
        <v>5058</v>
      </c>
      <c r="AT81" s="2">
        <f t="shared" si="43"/>
        <v>3481</v>
      </c>
      <c r="AU81" s="2">
        <f t="shared" si="44"/>
        <v>2693</v>
      </c>
      <c r="AV81" s="2">
        <f t="shared" si="45"/>
        <v>2220</v>
      </c>
      <c r="AW81" s="2">
        <f t="shared" si="46"/>
        <v>1904</v>
      </c>
      <c r="AX81" s="2">
        <f t="shared" si="47"/>
        <v>1510</v>
      </c>
    </row>
    <row r="82" ht="14.25" customHeight="1">
      <c r="A82" s="2" t="str">
        <f t="array" ref="A82">IFERROR(INDEX('Product Price'!A:A,SMALL('Product Price'!$D:$D,80)),"")</f>
        <v>SAMSUNG Galaxy Z Flip6 12/512 GB</v>
      </c>
      <c r="B82" s="2">
        <f t="array" ref="B82">IFERROR(INDEX('Product Price'!B:B,SMALL('Product Price'!$D:$D,80)),"")</f>
        <v>47900</v>
      </c>
      <c r="C82" s="2">
        <f t="array" ref="C82">IFERROR(INDEX('Product Price'!C:C,SMALL('Product Price'!$D:$D,80)),"")</f>
        <v>70</v>
      </c>
      <c r="D82" s="2">
        <f t="shared" si="1"/>
        <v>2475</v>
      </c>
      <c r="E82" s="2">
        <f t="shared" si="2"/>
        <v>50375</v>
      </c>
      <c r="F82" s="2">
        <f t="shared" si="3"/>
        <v>9580</v>
      </c>
      <c r="G82" s="2">
        <f t="shared" si="4"/>
        <v>38320</v>
      </c>
      <c r="H82" s="2">
        <f t="shared" si="5"/>
        <v>40795</v>
      </c>
      <c r="I82" s="2">
        <f t="shared" si="6"/>
        <v>7300</v>
      </c>
      <c r="J82" s="2">
        <f t="shared" si="7"/>
        <v>5024</v>
      </c>
      <c r="K82" s="2">
        <f t="shared" si="8"/>
        <v>3886</v>
      </c>
      <c r="L82" s="2">
        <f t="shared" si="9"/>
        <v>3203</v>
      </c>
      <c r="M82" s="2">
        <f t="shared" si="10"/>
        <v>2748</v>
      </c>
      <c r="N82" s="2">
        <f t="shared" si="11"/>
        <v>2179</v>
      </c>
      <c r="O82" s="2">
        <f t="shared" si="12"/>
        <v>11975</v>
      </c>
      <c r="P82" s="2">
        <f t="shared" si="13"/>
        <v>35925</v>
      </c>
      <c r="Q82" s="2">
        <f t="shared" si="14"/>
        <v>38400</v>
      </c>
      <c r="R82" s="2">
        <f t="shared" si="15"/>
        <v>6873</v>
      </c>
      <c r="S82" s="2">
        <f t="shared" si="16"/>
        <v>4730</v>
      </c>
      <c r="T82" s="2">
        <f t="shared" si="17"/>
        <v>3659</v>
      </c>
      <c r="U82" s="2">
        <f t="shared" si="18"/>
        <v>3016</v>
      </c>
      <c r="V82" s="2">
        <f t="shared" si="19"/>
        <v>2587</v>
      </c>
      <c r="W82" s="2">
        <f t="shared" si="20"/>
        <v>2051</v>
      </c>
      <c r="X82" s="2">
        <f t="shared" si="21"/>
        <v>14370</v>
      </c>
      <c r="Y82" s="2">
        <f t="shared" si="22"/>
        <v>33530</v>
      </c>
      <c r="Z82" s="2">
        <f t="shared" si="23"/>
        <v>36005</v>
      </c>
      <c r="AA82" s="2">
        <f t="shared" si="24"/>
        <v>6446</v>
      </c>
      <c r="AB82" s="2">
        <f t="shared" si="25"/>
        <v>4436</v>
      </c>
      <c r="AC82" s="2">
        <f t="shared" si="26"/>
        <v>3431</v>
      </c>
      <c r="AD82" s="2">
        <f t="shared" si="27"/>
        <v>2828</v>
      </c>
      <c r="AE82" s="2">
        <f t="shared" si="28"/>
        <v>2426</v>
      </c>
      <c r="AF82" s="2">
        <f t="shared" si="29"/>
        <v>1924</v>
      </c>
      <c r="AG82" s="2">
        <f t="shared" si="30"/>
        <v>16765</v>
      </c>
      <c r="AH82" s="2">
        <f t="shared" si="31"/>
        <v>31135</v>
      </c>
      <c r="AI82" s="2">
        <f t="shared" si="32"/>
        <v>33610</v>
      </c>
      <c r="AJ82" s="2">
        <f t="shared" si="33"/>
        <v>6020</v>
      </c>
      <c r="AK82" s="2">
        <f t="shared" si="34"/>
        <v>4143</v>
      </c>
      <c r="AL82" s="2">
        <f t="shared" si="35"/>
        <v>3204</v>
      </c>
      <c r="AM82" s="2">
        <f t="shared" si="36"/>
        <v>2641</v>
      </c>
      <c r="AN82" s="2">
        <f t="shared" si="37"/>
        <v>2266</v>
      </c>
      <c r="AO82" s="2">
        <f t="shared" si="38"/>
        <v>1797</v>
      </c>
      <c r="AP82" s="2">
        <f t="shared" si="39"/>
        <v>19160</v>
      </c>
      <c r="AQ82" s="2">
        <f t="shared" si="40"/>
        <v>28740</v>
      </c>
      <c r="AR82" s="2">
        <f t="shared" si="41"/>
        <v>31215</v>
      </c>
      <c r="AS82" s="2">
        <f t="shared" si="42"/>
        <v>5593</v>
      </c>
      <c r="AT82" s="2">
        <f t="shared" si="43"/>
        <v>3849</v>
      </c>
      <c r="AU82" s="2">
        <f t="shared" si="44"/>
        <v>2977</v>
      </c>
      <c r="AV82" s="2">
        <f t="shared" si="45"/>
        <v>2454</v>
      </c>
      <c r="AW82" s="2">
        <f t="shared" si="46"/>
        <v>2105</v>
      </c>
      <c r="AX82" s="2">
        <f t="shared" si="47"/>
        <v>1669</v>
      </c>
    </row>
    <row r="83" ht="14.25" customHeight="1">
      <c r="A83" s="2" t="str">
        <f t="array" ref="A83">IFERROR(INDEX('Product Price'!A:A,SMALL('Product Price'!$D:$D,81)),"")</f>
        <v>SAMSUNG Galaxy Z Flip7 12/256 GB</v>
      </c>
      <c r="B83" s="2">
        <f t="array" ref="B83">IFERROR(INDEX('Product Price'!B:B,SMALL('Product Price'!$D:$D,81)),"")</f>
        <v>40900</v>
      </c>
      <c r="C83" s="2">
        <f t="array" ref="C83">IFERROR(INDEX('Product Price'!C:C,SMALL('Product Price'!$D:$D,81)),"")</f>
        <v>71</v>
      </c>
      <c r="D83" s="2">
        <f t="shared" si="1"/>
        <v>2475</v>
      </c>
      <c r="E83" s="2">
        <f t="shared" si="2"/>
        <v>43375</v>
      </c>
      <c r="F83" s="2">
        <f t="shared" si="3"/>
        <v>8180</v>
      </c>
      <c r="G83" s="2">
        <f t="shared" si="4"/>
        <v>32720</v>
      </c>
      <c r="H83" s="2">
        <f t="shared" si="5"/>
        <v>35195</v>
      </c>
      <c r="I83" s="2">
        <f t="shared" si="6"/>
        <v>6302</v>
      </c>
      <c r="J83" s="2">
        <f t="shared" si="7"/>
        <v>4337</v>
      </c>
      <c r="K83" s="2">
        <f t="shared" si="8"/>
        <v>3355</v>
      </c>
      <c r="L83" s="2">
        <f t="shared" si="9"/>
        <v>2765</v>
      </c>
      <c r="M83" s="2">
        <f t="shared" si="10"/>
        <v>2372</v>
      </c>
      <c r="N83" s="2">
        <f t="shared" si="11"/>
        <v>1881</v>
      </c>
      <c r="O83" s="2">
        <f t="shared" si="12"/>
        <v>10225</v>
      </c>
      <c r="P83" s="2">
        <f t="shared" si="13"/>
        <v>30675</v>
      </c>
      <c r="Q83" s="2">
        <f t="shared" si="14"/>
        <v>33150</v>
      </c>
      <c r="R83" s="2">
        <f t="shared" si="15"/>
        <v>5938</v>
      </c>
      <c r="S83" s="2">
        <f t="shared" si="16"/>
        <v>4086</v>
      </c>
      <c r="T83" s="2">
        <f t="shared" si="17"/>
        <v>3161</v>
      </c>
      <c r="U83" s="2">
        <f t="shared" si="18"/>
        <v>2605</v>
      </c>
      <c r="V83" s="2">
        <f t="shared" si="19"/>
        <v>2235</v>
      </c>
      <c r="W83" s="2">
        <f t="shared" si="20"/>
        <v>1772</v>
      </c>
      <c r="X83" s="2">
        <f t="shared" si="21"/>
        <v>12270</v>
      </c>
      <c r="Y83" s="2">
        <f t="shared" si="22"/>
        <v>28630</v>
      </c>
      <c r="Z83" s="2">
        <f t="shared" si="23"/>
        <v>31105</v>
      </c>
      <c r="AA83" s="2">
        <f t="shared" si="24"/>
        <v>5573</v>
      </c>
      <c r="AB83" s="2">
        <f t="shared" si="25"/>
        <v>3836</v>
      </c>
      <c r="AC83" s="2">
        <f t="shared" si="26"/>
        <v>2967</v>
      </c>
      <c r="AD83" s="2">
        <f t="shared" si="27"/>
        <v>2445</v>
      </c>
      <c r="AE83" s="2">
        <f t="shared" si="28"/>
        <v>2098</v>
      </c>
      <c r="AF83" s="2">
        <f t="shared" si="29"/>
        <v>1663</v>
      </c>
      <c r="AG83" s="2">
        <f t="shared" si="30"/>
        <v>14315</v>
      </c>
      <c r="AH83" s="2">
        <f t="shared" si="31"/>
        <v>26585</v>
      </c>
      <c r="AI83" s="2">
        <f t="shared" si="32"/>
        <v>29060</v>
      </c>
      <c r="AJ83" s="2">
        <f t="shared" si="33"/>
        <v>5209</v>
      </c>
      <c r="AK83" s="2">
        <f t="shared" si="34"/>
        <v>3585</v>
      </c>
      <c r="AL83" s="2">
        <f t="shared" si="35"/>
        <v>2773</v>
      </c>
      <c r="AM83" s="2">
        <f t="shared" si="36"/>
        <v>2286</v>
      </c>
      <c r="AN83" s="2">
        <f t="shared" si="37"/>
        <v>1961</v>
      </c>
      <c r="AO83" s="2">
        <f t="shared" si="38"/>
        <v>1555</v>
      </c>
      <c r="AP83" s="2">
        <f t="shared" si="39"/>
        <v>16360</v>
      </c>
      <c r="AQ83" s="2">
        <f t="shared" si="40"/>
        <v>24540</v>
      </c>
      <c r="AR83" s="2">
        <f t="shared" si="41"/>
        <v>27015</v>
      </c>
      <c r="AS83" s="2">
        <f t="shared" si="42"/>
        <v>4845</v>
      </c>
      <c r="AT83" s="2">
        <f t="shared" si="43"/>
        <v>3334</v>
      </c>
      <c r="AU83" s="2">
        <f t="shared" si="44"/>
        <v>2579</v>
      </c>
      <c r="AV83" s="2">
        <f t="shared" si="45"/>
        <v>2126</v>
      </c>
      <c r="AW83" s="2">
        <f t="shared" si="46"/>
        <v>1824</v>
      </c>
      <c r="AX83" s="2">
        <f t="shared" si="47"/>
        <v>1446</v>
      </c>
    </row>
    <row r="84" ht="14.25" customHeight="1">
      <c r="A84" s="2" t="str">
        <f t="array" ref="A84">IFERROR(INDEX('Product Price'!A:A,SMALL('Product Price'!$D:$D,82)),"")</f>
        <v>SAMSUNG Galaxy Z Flip7 12/512 GB</v>
      </c>
      <c r="B84" s="2">
        <f t="array" ref="B84">IFERROR(INDEX('Product Price'!B:B,SMALL('Product Price'!$D:$D,82)),"")</f>
        <v>48900</v>
      </c>
      <c r="C84" s="2">
        <f t="array" ref="C84">IFERROR(INDEX('Product Price'!C:C,SMALL('Product Price'!$D:$D,82)),"")</f>
        <v>72</v>
      </c>
      <c r="D84" s="2">
        <f t="shared" si="1"/>
        <v>2475</v>
      </c>
      <c r="E84" s="2">
        <f t="shared" si="2"/>
        <v>51375</v>
      </c>
      <c r="F84" s="2">
        <f t="shared" si="3"/>
        <v>9780</v>
      </c>
      <c r="G84" s="2">
        <f t="shared" si="4"/>
        <v>39120</v>
      </c>
      <c r="H84" s="2">
        <f t="shared" si="5"/>
        <v>41595</v>
      </c>
      <c r="I84" s="2">
        <f t="shared" si="6"/>
        <v>7442</v>
      </c>
      <c r="J84" s="2">
        <f t="shared" si="7"/>
        <v>5122</v>
      </c>
      <c r="K84" s="2">
        <f t="shared" si="8"/>
        <v>3962</v>
      </c>
      <c r="L84" s="2">
        <f t="shared" si="9"/>
        <v>3265</v>
      </c>
      <c r="M84" s="2">
        <f t="shared" si="10"/>
        <v>2801</v>
      </c>
      <c r="N84" s="2">
        <f t="shared" si="11"/>
        <v>2221</v>
      </c>
      <c r="O84" s="2">
        <f t="shared" si="12"/>
        <v>12225</v>
      </c>
      <c r="P84" s="2">
        <f t="shared" si="13"/>
        <v>36675</v>
      </c>
      <c r="Q84" s="2">
        <f t="shared" si="14"/>
        <v>39150</v>
      </c>
      <c r="R84" s="2">
        <f t="shared" si="15"/>
        <v>7007</v>
      </c>
      <c r="S84" s="2">
        <f t="shared" si="16"/>
        <v>4822</v>
      </c>
      <c r="T84" s="2">
        <f t="shared" si="17"/>
        <v>3730</v>
      </c>
      <c r="U84" s="2">
        <f t="shared" si="18"/>
        <v>3074</v>
      </c>
      <c r="V84" s="2">
        <f t="shared" si="19"/>
        <v>2637</v>
      </c>
      <c r="W84" s="2">
        <f t="shared" si="20"/>
        <v>2091</v>
      </c>
      <c r="X84" s="2">
        <f t="shared" si="21"/>
        <v>14670</v>
      </c>
      <c r="Y84" s="2">
        <f t="shared" si="22"/>
        <v>34230</v>
      </c>
      <c r="Z84" s="2">
        <f t="shared" si="23"/>
        <v>36705</v>
      </c>
      <c r="AA84" s="2">
        <f t="shared" si="24"/>
        <v>6571</v>
      </c>
      <c r="AB84" s="2">
        <f t="shared" si="25"/>
        <v>4522</v>
      </c>
      <c r="AC84" s="2">
        <f t="shared" si="26"/>
        <v>3498</v>
      </c>
      <c r="AD84" s="2">
        <f t="shared" si="27"/>
        <v>2883</v>
      </c>
      <c r="AE84" s="2">
        <f t="shared" si="28"/>
        <v>2473</v>
      </c>
      <c r="AF84" s="2">
        <f t="shared" si="29"/>
        <v>1961</v>
      </c>
      <c r="AG84" s="2">
        <f t="shared" si="30"/>
        <v>17115</v>
      </c>
      <c r="AH84" s="2">
        <f t="shared" si="31"/>
        <v>31785</v>
      </c>
      <c r="AI84" s="2">
        <f t="shared" si="32"/>
        <v>34260</v>
      </c>
      <c r="AJ84" s="2">
        <f t="shared" si="33"/>
        <v>6135</v>
      </c>
      <c r="AK84" s="2">
        <f t="shared" si="34"/>
        <v>4222</v>
      </c>
      <c r="AL84" s="2">
        <f t="shared" si="35"/>
        <v>3266</v>
      </c>
      <c r="AM84" s="2">
        <f t="shared" si="36"/>
        <v>2692</v>
      </c>
      <c r="AN84" s="2">
        <f t="shared" si="37"/>
        <v>2309</v>
      </c>
      <c r="AO84" s="2">
        <f t="shared" si="38"/>
        <v>1831</v>
      </c>
      <c r="AP84" s="2">
        <f t="shared" si="39"/>
        <v>19560</v>
      </c>
      <c r="AQ84" s="2">
        <f t="shared" si="40"/>
        <v>29340</v>
      </c>
      <c r="AR84" s="2">
        <f t="shared" si="41"/>
        <v>31815</v>
      </c>
      <c r="AS84" s="2">
        <f t="shared" si="42"/>
        <v>5700</v>
      </c>
      <c r="AT84" s="2">
        <f t="shared" si="43"/>
        <v>3923</v>
      </c>
      <c r="AU84" s="2">
        <f t="shared" si="44"/>
        <v>3034</v>
      </c>
      <c r="AV84" s="2">
        <f t="shared" si="45"/>
        <v>2501</v>
      </c>
      <c r="AW84" s="2">
        <f t="shared" si="46"/>
        <v>2145</v>
      </c>
      <c r="AX84" s="2">
        <f t="shared" si="47"/>
        <v>1701</v>
      </c>
    </row>
    <row r="85" ht="14.25" customHeight="1">
      <c r="A85" s="2" t="str">
        <f t="array" ref="A85">IFERROR(INDEX('Product Price'!A:A,SMALL('Product Price'!$D:$D,83)),"")</f>
        <v>SAMSUNG Galaxy Z Flip7 FE 8/128 GB</v>
      </c>
      <c r="B85" s="2">
        <f t="array" ref="B85">IFERROR(INDEX('Product Price'!B:B,SMALL('Product Price'!$D:$D,83)),"")</f>
        <v>32900</v>
      </c>
      <c r="C85" s="2">
        <f t="array" ref="C85">IFERROR(INDEX('Product Price'!C:C,SMALL('Product Price'!$D:$D,83)),"")</f>
        <v>73</v>
      </c>
      <c r="D85" s="2">
        <f t="shared" si="1"/>
        <v>1900</v>
      </c>
      <c r="E85" s="2">
        <f t="shared" si="2"/>
        <v>34800</v>
      </c>
      <c r="F85" s="2">
        <f t="shared" si="3"/>
        <v>6580</v>
      </c>
      <c r="G85" s="2">
        <f t="shared" si="4"/>
        <v>26320</v>
      </c>
      <c r="H85" s="2">
        <f t="shared" si="5"/>
        <v>28220</v>
      </c>
      <c r="I85" s="2">
        <f t="shared" si="6"/>
        <v>5052</v>
      </c>
      <c r="J85" s="2">
        <f t="shared" si="7"/>
        <v>3477</v>
      </c>
      <c r="K85" s="2">
        <f t="shared" si="8"/>
        <v>2689</v>
      </c>
      <c r="L85" s="2">
        <f t="shared" si="9"/>
        <v>2217</v>
      </c>
      <c r="M85" s="2">
        <f t="shared" si="10"/>
        <v>1902</v>
      </c>
      <c r="N85" s="2">
        <f t="shared" si="11"/>
        <v>1508</v>
      </c>
      <c r="O85" s="2">
        <f t="shared" si="12"/>
        <v>8225</v>
      </c>
      <c r="P85" s="2">
        <f t="shared" si="13"/>
        <v>24675</v>
      </c>
      <c r="Q85" s="2">
        <f t="shared" si="14"/>
        <v>26575</v>
      </c>
      <c r="R85" s="2">
        <f t="shared" si="15"/>
        <v>4759</v>
      </c>
      <c r="S85" s="2">
        <f t="shared" si="16"/>
        <v>3275</v>
      </c>
      <c r="T85" s="2">
        <f t="shared" si="17"/>
        <v>2533</v>
      </c>
      <c r="U85" s="2">
        <f t="shared" si="18"/>
        <v>2088</v>
      </c>
      <c r="V85" s="2">
        <f t="shared" si="19"/>
        <v>1791</v>
      </c>
      <c r="W85" s="2">
        <f t="shared" si="20"/>
        <v>1420</v>
      </c>
      <c r="X85" s="2">
        <f t="shared" si="21"/>
        <v>9870</v>
      </c>
      <c r="Y85" s="2">
        <f t="shared" si="22"/>
        <v>23030</v>
      </c>
      <c r="Z85" s="2">
        <f t="shared" si="23"/>
        <v>24930</v>
      </c>
      <c r="AA85" s="2">
        <f t="shared" si="24"/>
        <v>4466</v>
      </c>
      <c r="AB85" s="2">
        <f t="shared" si="25"/>
        <v>3074</v>
      </c>
      <c r="AC85" s="2">
        <f t="shared" si="26"/>
        <v>2377</v>
      </c>
      <c r="AD85" s="2">
        <f t="shared" si="27"/>
        <v>1960</v>
      </c>
      <c r="AE85" s="2">
        <f t="shared" si="28"/>
        <v>1681</v>
      </c>
      <c r="AF85" s="2">
        <f t="shared" si="29"/>
        <v>1333</v>
      </c>
      <c r="AG85" s="2">
        <f t="shared" si="30"/>
        <v>11515</v>
      </c>
      <c r="AH85" s="2">
        <f t="shared" si="31"/>
        <v>21385</v>
      </c>
      <c r="AI85" s="2">
        <f t="shared" si="32"/>
        <v>23285</v>
      </c>
      <c r="AJ85" s="2">
        <f t="shared" si="33"/>
        <v>4173</v>
      </c>
      <c r="AK85" s="2">
        <f t="shared" si="34"/>
        <v>2872</v>
      </c>
      <c r="AL85" s="2">
        <f t="shared" si="35"/>
        <v>2221</v>
      </c>
      <c r="AM85" s="2">
        <f t="shared" si="36"/>
        <v>1831</v>
      </c>
      <c r="AN85" s="2">
        <f t="shared" si="37"/>
        <v>1571</v>
      </c>
      <c r="AO85" s="2">
        <f t="shared" si="38"/>
        <v>1246</v>
      </c>
      <c r="AP85" s="2">
        <f t="shared" si="39"/>
        <v>13160</v>
      </c>
      <c r="AQ85" s="2">
        <f t="shared" si="40"/>
        <v>19740</v>
      </c>
      <c r="AR85" s="2">
        <f t="shared" si="41"/>
        <v>21640</v>
      </c>
      <c r="AS85" s="2">
        <f t="shared" si="42"/>
        <v>3880</v>
      </c>
      <c r="AT85" s="2">
        <f t="shared" si="43"/>
        <v>2670</v>
      </c>
      <c r="AU85" s="2">
        <f t="shared" si="44"/>
        <v>2065</v>
      </c>
      <c r="AV85" s="2">
        <f t="shared" si="45"/>
        <v>1702</v>
      </c>
      <c r="AW85" s="2">
        <f t="shared" si="46"/>
        <v>1461</v>
      </c>
      <c r="AX85" s="2">
        <f t="shared" si="47"/>
        <v>1158</v>
      </c>
    </row>
    <row r="86" ht="14.25" customHeight="1">
      <c r="A86" s="2" t="str">
        <f t="array" ref="A86">IFERROR(INDEX('Product Price'!A:A,SMALL('Product Price'!$D:$D,84)),"")</f>
        <v>SAMSUNG Galaxy Z Flip7 FE 8/256 GB</v>
      </c>
      <c r="B86" s="2">
        <f t="array" ref="B86">IFERROR(INDEX('Product Price'!B:B,SMALL('Product Price'!$D:$D,84)),"")</f>
        <v>36900</v>
      </c>
      <c r="C86" s="2">
        <f t="array" ref="C86">IFERROR(INDEX('Product Price'!C:C,SMALL('Product Price'!$D:$D,84)),"")</f>
        <v>74</v>
      </c>
      <c r="D86" s="2">
        <f t="shared" si="1"/>
        <v>1900</v>
      </c>
      <c r="E86" s="2">
        <f t="shared" si="2"/>
        <v>38800</v>
      </c>
      <c r="F86" s="2">
        <f t="shared" si="3"/>
        <v>7380</v>
      </c>
      <c r="G86" s="2">
        <f t="shared" si="4"/>
        <v>29520</v>
      </c>
      <c r="H86" s="2">
        <f t="shared" si="5"/>
        <v>31420</v>
      </c>
      <c r="I86" s="2">
        <f t="shared" si="6"/>
        <v>5622</v>
      </c>
      <c r="J86" s="2">
        <f t="shared" si="7"/>
        <v>3869</v>
      </c>
      <c r="K86" s="2">
        <f t="shared" si="8"/>
        <v>2993</v>
      </c>
      <c r="L86" s="2">
        <f t="shared" si="9"/>
        <v>2467</v>
      </c>
      <c r="M86" s="2">
        <f t="shared" si="10"/>
        <v>2116</v>
      </c>
      <c r="N86" s="2">
        <f t="shared" si="11"/>
        <v>1678</v>
      </c>
      <c r="O86" s="2">
        <f t="shared" si="12"/>
        <v>9225</v>
      </c>
      <c r="P86" s="2">
        <f t="shared" si="13"/>
        <v>27675</v>
      </c>
      <c r="Q86" s="2">
        <f t="shared" si="14"/>
        <v>29575</v>
      </c>
      <c r="R86" s="2">
        <f t="shared" si="15"/>
        <v>5293</v>
      </c>
      <c r="S86" s="2">
        <f t="shared" si="16"/>
        <v>3643</v>
      </c>
      <c r="T86" s="2">
        <f t="shared" si="17"/>
        <v>2818</v>
      </c>
      <c r="U86" s="2">
        <f t="shared" si="18"/>
        <v>2323</v>
      </c>
      <c r="V86" s="2">
        <f t="shared" si="19"/>
        <v>1993</v>
      </c>
      <c r="W86" s="2">
        <f t="shared" si="20"/>
        <v>1580</v>
      </c>
      <c r="X86" s="2">
        <f t="shared" si="21"/>
        <v>11070</v>
      </c>
      <c r="Y86" s="2">
        <f t="shared" si="22"/>
        <v>25830</v>
      </c>
      <c r="Z86" s="2">
        <f t="shared" si="23"/>
        <v>27730</v>
      </c>
      <c r="AA86" s="2">
        <f t="shared" si="24"/>
        <v>4965</v>
      </c>
      <c r="AB86" s="2">
        <f t="shared" si="25"/>
        <v>3417</v>
      </c>
      <c r="AC86" s="2">
        <f t="shared" si="26"/>
        <v>2643</v>
      </c>
      <c r="AD86" s="2">
        <f t="shared" si="27"/>
        <v>2178</v>
      </c>
      <c r="AE86" s="2">
        <f t="shared" si="28"/>
        <v>1869</v>
      </c>
      <c r="AF86" s="2">
        <f t="shared" si="29"/>
        <v>1482</v>
      </c>
      <c r="AG86" s="2">
        <f t="shared" si="30"/>
        <v>12915</v>
      </c>
      <c r="AH86" s="2">
        <f t="shared" si="31"/>
        <v>23985</v>
      </c>
      <c r="AI86" s="2">
        <f t="shared" si="32"/>
        <v>25885</v>
      </c>
      <c r="AJ86" s="2">
        <f t="shared" si="33"/>
        <v>4636</v>
      </c>
      <c r="AK86" s="2">
        <f t="shared" si="34"/>
        <v>3191</v>
      </c>
      <c r="AL86" s="2">
        <f t="shared" si="35"/>
        <v>2468</v>
      </c>
      <c r="AM86" s="2">
        <f t="shared" si="36"/>
        <v>2034</v>
      </c>
      <c r="AN86" s="2">
        <f t="shared" si="37"/>
        <v>1745</v>
      </c>
      <c r="AO86" s="2">
        <f t="shared" si="38"/>
        <v>1384</v>
      </c>
      <c r="AP86" s="2">
        <f t="shared" si="39"/>
        <v>14760</v>
      </c>
      <c r="AQ86" s="2">
        <f t="shared" si="40"/>
        <v>22140</v>
      </c>
      <c r="AR86" s="2">
        <f t="shared" si="41"/>
        <v>24040</v>
      </c>
      <c r="AS86" s="2">
        <f t="shared" si="42"/>
        <v>4307</v>
      </c>
      <c r="AT86" s="2">
        <f t="shared" si="43"/>
        <v>2964</v>
      </c>
      <c r="AU86" s="2">
        <f t="shared" si="44"/>
        <v>2293</v>
      </c>
      <c r="AV86" s="2">
        <f t="shared" si="45"/>
        <v>1890</v>
      </c>
      <c r="AW86" s="2">
        <f t="shared" si="46"/>
        <v>1621</v>
      </c>
      <c r="AX86" s="2">
        <f t="shared" si="47"/>
        <v>1286</v>
      </c>
    </row>
    <row r="87" ht="14.25" customHeight="1">
      <c r="A87" s="2" t="str">
        <f t="array" ref="A87">IFERROR(INDEX('Product Price'!A:A,SMALL('Product Price'!$D:$D,85)),"")</f>
        <v>SAMSUNG Galaxy Z Fold6 12/256 GB</v>
      </c>
      <c r="B87" s="2">
        <f t="array" ref="B87">IFERROR(INDEX('Product Price'!B:B,SMALL('Product Price'!$D:$D,85)),"")</f>
        <v>63900</v>
      </c>
      <c r="C87" s="2">
        <f t="array" ref="C87">IFERROR(INDEX('Product Price'!C:C,SMALL('Product Price'!$D:$D,85)),"")</f>
        <v>75</v>
      </c>
      <c r="D87" s="2">
        <f t="shared" si="1"/>
        <v>4025</v>
      </c>
      <c r="E87" s="2">
        <f t="shared" si="2"/>
        <v>67925</v>
      </c>
      <c r="F87" s="2">
        <f t="shared" si="3"/>
        <v>12780</v>
      </c>
      <c r="G87" s="2">
        <f t="shared" si="4"/>
        <v>51120</v>
      </c>
      <c r="H87" s="2">
        <f t="shared" si="5"/>
        <v>55145</v>
      </c>
      <c r="I87" s="2">
        <f t="shared" si="6"/>
        <v>9876</v>
      </c>
      <c r="J87" s="2">
        <f t="shared" si="7"/>
        <v>6796</v>
      </c>
      <c r="K87" s="2">
        <f t="shared" si="8"/>
        <v>5257</v>
      </c>
      <c r="L87" s="2">
        <f t="shared" si="9"/>
        <v>4333</v>
      </c>
      <c r="M87" s="2">
        <f t="shared" si="10"/>
        <v>3717</v>
      </c>
      <c r="N87" s="2">
        <f t="shared" si="11"/>
        <v>2947</v>
      </c>
      <c r="O87" s="2">
        <f t="shared" si="12"/>
        <v>15975</v>
      </c>
      <c r="P87" s="2">
        <f t="shared" si="13"/>
        <v>47925</v>
      </c>
      <c r="Q87" s="2">
        <f t="shared" si="14"/>
        <v>51950</v>
      </c>
      <c r="R87" s="2">
        <f t="shared" si="15"/>
        <v>9306</v>
      </c>
      <c r="S87" s="2">
        <f t="shared" si="16"/>
        <v>6405</v>
      </c>
      <c r="T87" s="2">
        <f t="shared" si="17"/>
        <v>4954</v>
      </c>
      <c r="U87" s="2">
        <f t="shared" si="18"/>
        <v>4083</v>
      </c>
      <c r="V87" s="2">
        <f t="shared" si="19"/>
        <v>3503</v>
      </c>
      <c r="W87" s="2">
        <f t="shared" si="20"/>
        <v>2777</v>
      </c>
      <c r="X87" s="2">
        <f t="shared" si="21"/>
        <v>19170</v>
      </c>
      <c r="Y87" s="2">
        <f t="shared" si="22"/>
        <v>44730</v>
      </c>
      <c r="Z87" s="2">
        <f t="shared" si="23"/>
        <v>48755</v>
      </c>
      <c r="AA87" s="2">
        <f t="shared" si="24"/>
        <v>8737</v>
      </c>
      <c r="AB87" s="2">
        <f t="shared" si="25"/>
        <v>6013</v>
      </c>
      <c r="AC87" s="2">
        <f t="shared" si="26"/>
        <v>4651</v>
      </c>
      <c r="AD87" s="2">
        <f t="shared" si="27"/>
        <v>3834</v>
      </c>
      <c r="AE87" s="2">
        <f t="shared" si="28"/>
        <v>3289</v>
      </c>
      <c r="AF87" s="2">
        <f t="shared" si="29"/>
        <v>2608</v>
      </c>
      <c r="AG87" s="2">
        <f t="shared" si="30"/>
        <v>22365</v>
      </c>
      <c r="AH87" s="2">
        <f t="shared" si="31"/>
        <v>41535</v>
      </c>
      <c r="AI87" s="2">
        <f t="shared" si="32"/>
        <v>45560</v>
      </c>
      <c r="AJ87" s="2">
        <f t="shared" si="33"/>
        <v>8168</v>
      </c>
      <c r="AK87" s="2">
        <f t="shared" si="34"/>
        <v>5621</v>
      </c>
      <c r="AL87" s="2">
        <f t="shared" si="35"/>
        <v>4348</v>
      </c>
      <c r="AM87" s="2">
        <f t="shared" si="36"/>
        <v>3584</v>
      </c>
      <c r="AN87" s="2">
        <f t="shared" si="37"/>
        <v>3074</v>
      </c>
      <c r="AO87" s="2">
        <f t="shared" si="38"/>
        <v>2438</v>
      </c>
      <c r="AP87" s="2">
        <f t="shared" si="39"/>
        <v>25560</v>
      </c>
      <c r="AQ87" s="2">
        <f t="shared" si="40"/>
        <v>38340</v>
      </c>
      <c r="AR87" s="2">
        <f t="shared" si="41"/>
        <v>42365</v>
      </c>
      <c r="AS87" s="2">
        <f t="shared" si="42"/>
        <v>7599</v>
      </c>
      <c r="AT87" s="2">
        <f t="shared" si="43"/>
        <v>5229</v>
      </c>
      <c r="AU87" s="2">
        <f t="shared" si="44"/>
        <v>4045</v>
      </c>
      <c r="AV87" s="2">
        <f t="shared" si="45"/>
        <v>3334</v>
      </c>
      <c r="AW87" s="2">
        <f t="shared" si="46"/>
        <v>2860</v>
      </c>
      <c r="AX87" s="2">
        <f t="shared" si="47"/>
        <v>2268</v>
      </c>
    </row>
    <row r="88" ht="14.25" customHeight="1">
      <c r="A88" s="2" t="str">
        <f t="array" ref="A88">IFERROR(INDEX('Product Price'!A:A,SMALL('Product Price'!$D:$D,86)),"")</f>
        <v>SAMSUNG Galaxy Z Fold6 12/512 GB</v>
      </c>
      <c r="B88" s="2">
        <f t="array" ref="B88">IFERROR(INDEX('Product Price'!B:B,SMALL('Product Price'!$D:$D,86)),"")</f>
        <v>68900</v>
      </c>
      <c r="C88" s="2">
        <f t="array" ref="C88">IFERROR(INDEX('Product Price'!C:C,SMALL('Product Price'!$D:$D,86)),"")</f>
        <v>76</v>
      </c>
      <c r="D88" s="2">
        <f t="shared" si="1"/>
        <v>4025</v>
      </c>
      <c r="E88" s="2">
        <f t="shared" si="2"/>
        <v>72925</v>
      </c>
      <c r="F88" s="2">
        <f t="shared" si="3"/>
        <v>13780</v>
      </c>
      <c r="G88" s="2">
        <f t="shared" si="4"/>
        <v>55120</v>
      </c>
      <c r="H88" s="2">
        <f t="shared" si="5"/>
        <v>59145</v>
      </c>
      <c r="I88" s="2">
        <f t="shared" si="6"/>
        <v>10588</v>
      </c>
      <c r="J88" s="2">
        <f t="shared" si="7"/>
        <v>7287</v>
      </c>
      <c r="K88" s="2">
        <f t="shared" si="8"/>
        <v>5636</v>
      </c>
      <c r="L88" s="2">
        <f t="shared" si="9"/>
        <v>4646</v>
      </c>
      <c r="M88" s="2">
        <f t="shared" si="10"/>
        <v>3985</v>
      </c>
      <c r="N88" s="2">
        <f t="shared" si="11"/>
        <v>3160</v>
      </c>
      <c r="O88" s="2">
        <f t="shared" si="12"/>
        <v>17225</v>
      </c>
      <c r="P88" s="2">
        <f t="shared" si="13"/>
        <v>51675</v>
      </c>
      <c r="Q88" s="2">
        <f t="shared" si="14"/>
        <v>55700</v>
      </c>
      <c r="R88" s="2">
        <f t="shared" si="15"/>
        <v>9975</v>
      </c>
      <c r="S88" s="2">
        <f t="shared" si="16"/>
        <v>6864</v>
      </c>
      <c r="T88" s="2">
        <f t="shared" si="17"/>
        <v>5309</v>
      </c>
      <c r="U88" s="2">
        <f t="shared" si="18"/>
        <v>4376</v>
      </c>
      <c r="V88" s="2">
        <f t="shared" si="19"/>
        <v>3754</v>
      </c>
      <c r="W88" s="2">
        <f t="shared" si="20"/>
        <v>2977</v>
      </c>
      <c r="X88" s="2">
        <f t="shared" si="21"/>
        <v>20670</v>
      </c>
      <c r="Y88" s="2">
        <f t="shared" si="22"/>
        <v>48230</v>
      </c>
      <c r="Z88" s="2">
        <f t="shared" si="23"/>
        <v>52255</v>
      </c>
      <c r="AA88" s="2">
        <f t="shared" si="24"/>
        <v>9361</v>
      </c>
      <c r="AB88" s="2">
        <f t="shared" si="25"/>
        <v>6442</v>
      </c>
      <c r="AC88" s="2">
        <f t="shared" si="26"/>
        <v>4983</v>
      </c>
      <c r="AD88" s="2">
        <f t="shared" si="27"/>
        <v>4107</v>
      </c>
      <c r="AE88" s="2">
        <f t="shared" si="28"/>
        <v>3523</v>
      </c>
      <c r="AF88" s="2">
        <f t="shared" si="29"/>
        <v>2794</v>
      </c>
      <c r="AG88" s="2">
        <f t="shared" si="30"/>
        <v>24115</v>
      </c>
      <c r="AH88" s="2">
        <f t="shared" si="31"/>
        <v>44785</v>
      </c>
      <c r="AI88" s="2">
        <f t="shared" si="32"/>
        <v>48810</v>
      </c>
      <c r="AJ88" s="2">
        <f t="shared" si="33"/>
        <v>8747</v>
      </c>
      <c r="AK88" s="2">
        <f t="shared" si="34"/>
        <v>6020</v>
      </c>
      <c r="AL88" s="2">
        <f t="shared" si="35"/>
        <v>4656</v>
      </c>
      <c r="AM88" s="2">
        <f t="shared" si="36"/>
        <v>3838</v>
      </c>
      <c r="AN88" s="2">
        <f t="shared" si="37"/>
        <v>3292</v>
      </c>
      <c r="AO88" s="2">
        <f t="shared" si="38"/>
        <v>2611</v>
      </c>
      <c r="AP88" s="2">
        <f t="shared" si="39"/>
        <v>27560</v>
      </c>
      <c r="AQ88" s="2">
        <f t="shared" si="40"/>
        <v>41340</v>
      </c>
      <c r="AR88" s="2">
        <f t="shared" si="41"/>
        <v>45365</v>
      </c>
      <c r="AS88" s="2">
        <f t="shared" si="42"/>
        <v>8133</v>
      </c>
      <c r="AT88" s="2">
        <f t="shared" si="43"/>
        <v>5597</v>
      </c>
      <c r="AU88" s="2">
        <f t="shared" si="44"/>
        <v>4329</v>
      </c>
      <c r="AV88" s="2">
        <f t="shared" si="45"/>
        <v>3569</v>
      </c>
      <c r="AW88" s="2">
        <f t="shared" si="46"/>
        <v>3061</v>
      </c>
      <c r="AX88" s="2">
        <f t="shared" si="47"/>
        <v>2427</v>
      </c>
    </row>
    <row r="89" ht="14.25" customHeight="1">
      <c r="A89" s="2" t="str">
        <f t="array" ref="A89">IFERROR(INDEX('Product Price'!A:A,SMALL('Product Price'!$D:$D,87)),"")</f>
        <v>SAMSUNG Galaxy Z Fold6 12/1TB GB</v>
      </c>
      <c r="B89" s="2">
        <f t="array" ref="B89">IFERROR(INDEX('Product Price'!B:B,SMALL('Product Price'!$D:$D,87)),"")</f>
        <v>78900</v>
      </c>
      <c r="C89" s="2">
        <f t="array" ref="C89">IFERROR(INDEX('Product Price'!C:C,SMALL('Product Price'!$D:$D,87)),"")</f>
        <v>77</v>
      </c>
      <c r="D89" s="2">
        <f t="shared" si="1"/>
        <v>4025</v>
      </c>
      <c r="E89" s="2">
        <f t="shared" si="2"/>
        <v>82925</v>
      </c>
      <c r="F89" s="2">
        <f t="shared" si="3"/>
        <v>15780</v>
      </c>
      <c r="G89" s="2">
        <f t="shared" si="4"/>
        <v>63120</v>
      </c>
      <c r="H89" s="2">
        <f t="shared" si="5"/>
        <v>67145</v>
      </c>
      <c r="I89" s="2">
        <f t="shared" si="6"/>
        <v>12014</v>
      </c>
      <c r="J89" s="2">
        <f t="shared" si="7"/>
        <v>8268</v>
      </c>
      <c r="K89" s="2">
        <f t="shared" si="8"/>
        <v>6395</v>
      </c>
      <c r="L89" s="2">
        <f t="shared" si="9"/>
        <v>5271</v>
      </c>
      <c r="M89" s="2">
        <f t="shared" si="10"/>
        <v>4522</v>
      </c>
      <c r="N89" s="2">
        <f t="shared" si="11"/>
        <v>3585</v>
      </c>
      <c r="O89" s="2">
        <f t="shared" si="12"/>
        <v>19725</v>
      </c>
      <c r="P89" s="2">
        <f t="shared" si="13"/>
        <v>59175</v>
      </c>
      <c r="Q89" s="2">
        <f t="shared" si="14"/>
        <v>63200</v>
      </c>
      <c r="R89" s="2">
        <f t="shared" si="15"/>
        <v>11311</v>
      </c>
      <c r="S89" s="2">
        <f t="shared" si="16"/>
        <v>7784</v>
      </c>
      <c r="T89" s="2">
        <f t="shared" si="17"/>
        <v>6021</v>
      </c>
      <c r="U89" s="2">
        <f t="shared" si="18"/>
        <v>4963</v>
      </c>
      <c r="V89" s="2">
        <f t="shared" si="19"/>
        <v>4257</v>
      </c>
      <c r="W89" s="2">
        <f t="shared" si="20"/>
        <v>3376</v>
      </c>
      <c r="X89" s="2">
        <f t="shared" si="21"/>
        <v>23670</v>
      </c>
      <c r="Y89" s="2">
        <f t="shared" si="22"/>
        <v>55230</v>
      </c>
      <c r="Z89" s="2">
        <f t="shared" si="23"/>
        <v>59255</v>
      </c>
      <c r="AA89" s="2">
        <f t="shared" si="24"/>
        <v>10608</v>
      </c>
      <c r="AB89" s="2">
        <f t="shared" si="25"/>
        <v>7300</v>
      </c>
      <c r="AC89" s="2">
        <f t="shared" si="26"/>
        <v>5647</v>
      </c>
      <c r="AD89" s="2">
        <f t="shared" si="27"/>
        <v>4654</v>
      </c>
      <c r="AE89" s="2">
        <f t="shared" si="28"/>
        <v>3993</v>
      </c>
      <c r="AF89" s="2">
        <f t="shared" si="29"/>
        <v>3166</v>
      </c>
      <c r="AG89" s="2">
        <f t="shared" si="30"/>
        <v>27615</v>
      </c>
      <c r="AH89" s="2">
        <f t="shared" si="31"/>
        <v>51285</v>
      </c>
      <c r="AI89" s="2">
        <f t="shared" si="32"/>
        <v>55310</v>
      </c>
      <c r="AJ89" s="2">
        <f t="shared" si="33"/>
        <v>9905</v>
      </c>
      <c r="AK89" s="2">
        <f t="shared" si="34"/>
        <v>6817</v>
      </c>
      <c r="AL89" s="2">
        <f t="shared" si="35"/>
        <v>5272</v>
      </c>
      <c r="AM89" s="2">
        <f t="shared" si="36"/>
        <v>4346</v>
      </c>
      <c r="AN89" s="2">
        <f t="shared" si="37"/>
        <v>3728</v>
      </c>
      <c r="AO89" s="2">
        <f t="shared" si="38"/>
        <v>2956</v>
      </c>
      <c r="AP89" s="2">
        <f t="shared" si="39"/>
        <v>31560</v>
      </c>
      <c r="AQ89" s="2">
        <f t="shared" si="40"/>
        <v>47340</v>
      </c>
      <c r="AR89" s="2">
        <f t="shared" si="41"/>
        <v>51365</v>
      </c>
      <c r="AS89" s="2">
        <f t="shared" si="42"/>
        <v>9202</v>
      </c>
      <c r="AT89" s="2">
        <f t="shared" si="43"/>
        <v>6333</v>
      </c>
      <c r="AU89" s="2">
        <f t="shared" si="44"/>
        <v>4898</v>
      </c>
      <c r="AV89" s="2">
        <f t="shared" si="45"/>
        <v>4038</v>
      </c>
      <c r="AW89" s="2">
        <f t="shared" si="46"/>
        <v>3464</v>
      </c>
      <c r="AX89" s="2">
        <f t="shared" si="47"/>
        <v>2746</v>
      </c>
    </row>
    <row r="90" ht="14.25" customHeight="1">
      <c r="A90" s="2" t="str">
        <f t="array" ref="A90">IFERROR(INDEX('Product Price'!A:A,SMALL('Product Price'!$D:$D,88)),"")</f>
        <v>SAMSUNG Galaxy Z Fold7 12/256 GB</v>
      </c>
      <c r="B90" s="2">
        <f t="array" ref="B90">IFERROR(INDEX('Product Price'!B:B,SMALL('Product Price'!$D:$D,88)),"")</f>
        <v>67900</v>
      </c>
      <c r="C90" s="2">
        <f t="array" ref="C90">IFERROR(INDEX('Product Price'!C:C,SMALL('Product Price'!$D:$D,88)),"")</f>
        <v>78</v>
      </c>
      <c r="D90" s="2">
        <f t="shared" si="1"/>
        <v>4025</v>
      </c>
      <c r="E90" s="2">
        <f t="shared" si="2"/>
        <v>71925</v>
      </c>
      <c r="F90" s="2">
        <f t="shared" si="3"/>
        <v>13580</v>
      </c>
      <c r="G90" s="2">
        <f t="shared" si="4"/>
        <v>54320</v>
      </c>
      <c r="H90" s="2">
        <f t="shared" si="5"/>
        <v>58345</v>
      </c>
      <c r="I90" s="2">
        <f t="shared" si="6"/>
        <v>10446</v>
      </c>
      <c r="J90" s="2">
        <f t="shared" si="7"/>
        <v>7189</v>
      </c>
      <c r="K90" s="2">
        <f t="shared" si="8"/>
        <v>5560</v>
      </c>
      <c r="L90" s="2">
        <f t="shared" si="9"/>
        <v>4583</v>
      </c>
      <c r="M90" s="2">
        <f t="shared" si="10"/>
        <v>3932</v>
      </c>
      <c r="N90" s="2">
        <f t="shared" si="11"/>
        <v>3117</v>
      </c>
      <c r="O90" s="2">
        <f t="shared" si="12"/>
        <v>16975</v>
      </c>
      <c r="P90" s="2">
        <f t="shared" si="13"/>
        <v>50925</v>
      </c>
      <c r="Q90" s="2">
        <f t="shared" si="14"/>
        <v>54950</v>
      </c>
      <c r="R90" s="2">
        <f t="shared" si="15"/>
        <v>9841</v>
      </c>
      <c r="S90" s="2">
        <f t="shared" si="16"/>
        <v>6773</v>
      </c>
      <c r="T90" s="2">
        <f t="shared" si="17"/>
        <v>5238</v>
      </c>
      <c r="U90" s="2">
        <f t="shared" si="18"/>
        <v>4318</v>
      </c>
      <c r="V90" s="2">
        <f t="shared" si="19"/>
        <v>3704</v>
      </c>
      <c r="W90" s="2">
        <f t="shared" si="20"/>
        <v>2937</v>
      </c>
      <c r="X90" s="2">
        <f t="shared" si="21"/>
        <v>20370</v>
      </c>
      <c r="Y90" s="2">
        <f t="shared" si="22"/>
        <v>47530</v>
      </c>
      <c r="Z90" s="2">
        <f t="shared" si="23"/>
        <v>51555</v>
      </c>
      <c r="AA90" s="2">
        <f t="shared" si="24"/>
        <v>9236</v>
      </c>
      <c r="AB90" s="2">
        <f t="shared" si="25"/>
        <v>6356</v>
      </c>
      <c r="AC90" s="2">
        <f t="shared" si="26"/>
        <v>4916</v>
      </c>
      <c r="AD90" s="2">
        <f t="shared" si="27"/>
        <v>4052</v>
      </c>
      <c r="AE90" s="2">
        <f t="shared" si="28"/>
        <v>3476</v>
      </c>
      <c r="AF90" s="2">
        <f t="shared" si="29"/>
        <v>2756</v>
      </c>
      <c r="AG90" s="2">
        <f t="shared" si="30"/>
        <v>23765</v>
      </c>
      <c r="AH90" s="2">
        <f t="shared" si="31"/>
        <v>44135</v>
      </c>
      <c r="AI90" s="2">
        <f t="shared" si="32"/>
        <v>48160</v>
      </c>
      <c r="AJ90" s="2">
        <f t="shared" si="33"/>
        <v>8631</v>
      </c>
      <c r="AK90" s="2">
        <f t="shared" si="34"/>
        <v>5940</v>
      </c>
      <c r="AL90" s="2">
        <f t="shared" si="35"/>
        <v>4594</v>
      </c>
      <c r="AM90" s="2">
        <f t="shared" si="36"/>
        <v>3787</v>
      </c>
      <c r="AN90" s="2">
        <f t="shared" si="37"/>
        <v>3249</v>
      </c>
      <c r="AO90" s="2">
        <f t="shared" si="38"/>
        <v>2576</v>
      </c>
      <c r="AP90" s="2">
        <f t="shared" si="39"/>
        <v>27160</v>
      </c>
      <c r="AQ90" s="2">
        <f t="shared" si="40"/>
        <v>40740</v>
      </c>
      <c r="AR90" s="2">
        <f t="shared" si="41"/>
        <v>44765</v>
      </c>
      <c r="AS90" s="2">
        <f t="shared" si="42"/>
        <v>8026</v>
      </c>
      <c r="AT90" s="2">
        <f t="shared" si="43"/>
        <v>5524</v>
      </c>
      <c r="AU90" s="2">
        <f t="shared" si="44"/>
        <v>4272</v>
      </c>
      <c r="AV90" s="2">
        <f t="shared" si="45"/>
        <v>3522</v>
      </c>
      <c r="AW90" s="2">
        <f t="shared" si="46"/>
        <v>3021</v>
      </c>
      <c r="AX90" s="2">
        <f t="shared" si="47"/>
        <v>2395</v>
      </c>
    </row>
    <row r="91" ht="14.25" customHeight="1">
      <c r="A91" s="2" t="str">
        <f t="array" ref="A91">IFERROR(INDEX('Product Price'!A:A,SMALL('Product Price'!$D:$D,89)),"")</f>
        <v>SAMSUNG Galaxy Z Fold7 12/512 GB</v>
      </c>
      <c r="B91" s="2">
        <f t="array" ref="B91">IFERROR(INDEX('Product Price'!B:B,SMALL('Product Price'!$D:$D,89)),"")</f>
        <v>75900</v>
      </c>
      <c r="C91" s="2">
        <f t="array" ref="C91">IFERROR(INDEX('Product Price'!C:C,SMALL('Product Price'!$D:$D,89)),"")</f>
        <v>79</v>
      </c>
      <c r="D91" s="2">
        <f t="shared" si="1"/>
        <v>4025</v>
      </c>
      <c r="E91" s="2">
        <f t="shared" si="2"/>
        <v>79925</v>
      </c>
      <c r="F91" s="2">
        <f t="shared" si="3"/>
        <v>15180</v>
      </c>
      <c r="G91" s="2">
        <f t="shared" si="4"/>
        <v>60720</v>
      </c>
      <c r="H91" s="2">
        <f t="shared" si="5"/>
        <v>64745</v>
      </c>
      <c r="I91" s="2">
        <f t="shared" si="6"/>
        <v>11586</v>
      </c>
      <c r="J91" s="2">
        <f t="shared" si="7"/>
        <v>7974</v>
      </c>
      <c r="K91" s="2">
        <f t="shared" si="8"/>
        <v>6167</v>
      </c>
      <c r="L91" s="2">
        <f t="shared" si="9"/>
        <v>5083</v>
      </c>
      <c r="M91" s="2">
        <f t="shared" si="10"/>
        <v>4361</v>
      </c>
      <c r="N91" s="2">
        <f t="shared" si="11"/>
        <v>3458</v>
      </c>
      <c r="O91" s="2">
        <f t="shared" si="12"/>
        <v>18975</v>
      </c>
      <c r="P91" s="2">
        <f t="shared" si="13"/>
        <v>56925</v>
      </c>
      <c r="Q91" s="2">
        <f t="shared" si="14"/>
        <v>60950</v>
      </c>
      <c r="R91" s="2">
        <f t="shared" si="15"/>
        <v>10910</v>
      </c>
      <c r="S91" s="2">
        <f t="shared" si="16"/>
        <v>7508</v>
      </c>
      <c r="T91" s="2">
        <f t="shared" si="17"/>
        <v>5807</v>
      </c>
      <c r="U91" s="2">
        <f t="shared" si="18"/>
        <v>4787</v>
      </c>
      <c r="V91" s="2">
        <f t="shared" si="19"/>
        <v>4106</v>
      </c>
      <c r="W91" s="2">
        <f t="shared" si="20"/>
        <v>3256</v>
      </c>
      <c r="X91" s="2">
        <f t="shared" si="21"/>
        <v>22770</v>
      </c>
      <c r="Y91" s="2">
        <f t="shared" si="22"/>
        <v>53130</v>
      </c>
      <c r="Z91" s="2">
        <f t="shared" si="23"/>
        <v>57155</v>
      </c>
      <c r="AA91" s="2">
        <f t="shared" si="24"/>
        <v>10234</v>
      </c>
      <c r="AB91" s="2">
        <f t="shared" si="25"/>
        <v>7043</v>
      </c>
      <c r="AC91" s="2">
        <f t="shared" si="26"/>
        <v>5447</v>
      </c>
      <c r="AD91" s="2">
        <f t="shared" si="27"/>
        <v>4490</v>
      </c>
      <c r="AE91" s="2">
        <f t="shared" si="28"/>
        <v>3852</v>
      </c>
      <c r="AF91" s="2">
        <f t="shared" si="29"/>
        <v>3054</v>
      </c>
      <c r="AG91" s="2">
        <f t="shared" si="30"/>
        <v>26565</v>
      </c>
      <c r="AH91" s="2">
        <f t="shared" si="31"/>
        <v>49335</v>
      </c>
      <c r="AI91" s="2">
        <f t="shared" si="32"/>
        <v>53360</v>
      </c>
      <c r="AJ91" s="2">
        <f t="shared" si="33"/>
        <v>9558</v>
      </c>
      <c r="AK91" s="2">
        <f t="shared" si="34"/>
        <v>6578</v>
      </c>
      <c r="AL91" s="2">
        <f t="shared" si="35"/>
        <v>5088</v>
      </c>
      <c r="AM91" s="2">
        <f t="shared" si="36"/>
        <v>4193</v>
      </c>
      <c r="AN91" s="2">
        <f t="shared" si="37"/>
        <v>3597</v>
      </c>
      <c r="AO91" s="2">
        <f t="shared" si="38"/>
        <v>2852</v>
      </c>
      <c r="AP91" s="2">
        <f t="shared" si="39"/>
        <v>30360</v>
      </c>
      <c r="AQ91" s="2">
        <f t="shared" si="40"/>
        <v>45540</v>
      </c>
      <c r="AR91" s="2">
        <f t="shared" si="41"/>
        <v>49565</v>
      </c>
      <c r="AS91" s="2">
        <f t="shared" si="42"/>
        <v>8882</v>
      </c>
      <c r="AT91" s="2">
        <f t="shared" si="43"/>
        <v>6112</v>
      </c>
      <c r="AU91" s="2">
        <f t="shared" si="44"/>
        <v>4728</v>
      </c>
      <c r="AV91" s="2">
        <f t="shared" si="45"/>
        <v>3897</v>
      </c>
      <c r="AW91" s="2">
        <f t="shared" si="46"/>
        <v>3343</v>
      </c>
      <c r="AX91" s="2">
        <f t="shared" si="47"/>
        <v>2651</v>
      </c>
    </row>
    <row r="92" ht="14.25" customHeight="1">
      <c r="A92" s="2" t="str">
        <f t="array" ref="A92">IFERROR(INDEX('Product Price'!A:A,SMALL('Product Price'!$D:$D,90)),"")</f>
        <v>SAMSUNG Galaxy Z Fold7 16/1TB</v>
      </c>
      <c r="B92" s="2">
        <f t="array" ref="B92">IFERROR(INDEX('Product Price'!B:B,SMALL('Product Price'!$D:$D,90)),"")</f>
        <v>87900</v>
      </c>
      <c r="C92" s="2">
        <f t="array" ref="C92">IFERROR(INDEX('Product Price'!C:C,SMALL('Product Price'!$D:$D,90)),"")</f>
        <v>80</v>
      </c>
      <c r="D92" s="2">
        <f t="shared" si="1"/>
        <v>5175</v>
      </c>
      <c r="E92" s="2">
        <f t="shared" si="2"/>
        <v>93075</v>
      </c>
      <c r="F92" s="2">
        <f t="shared" si="3"/>
        <v>17580</v>
      </c>
      <c r="G92" s="2">
        <f t="shared" si="4"/>
        <v>70320</v>
      </c>
      <c r="H92" s="2">
        <f t="shared" si="5"/>
        <v>75495</v>
      </c>
      <c r="I92" s="2">
        <f t="shared" si="6"/>
        <v>13516</v>
      </c>
      <c r="J92" s="2">
        <f t="shared" si="7"/>
        <v>9301</v>
      </c>
      <c r="K92" s="2">
        <f t="shared" si="8"/>
        <v>7194</v>
      </c>
      <c r="L92" s="2">
        <f t="shared" si="9"/>
        <v>5930</v>
      </c>
      <c r="M92" s="2">
        <f t="shared" si="10"/>
        <v>5087</v>
      </c>
      <c r="N92" s="2">
        <f t="shared" si="11"/>
        <v>4034</v>
      </c>
      <c r="O92" s="2">
        <f t="shared" si="12"/>
        <v>21975</v>
      </c>
      <c r="P92" s="2">
        <f t="shared" si="13"/>
        <v>65925</v>
      </c>
      <c r="Q92" s="2">
        <f t="shared" si="14"/>
        <v>71100</v>
      </c>
      <c r="R92" s="2">
        <f t="shared" si="15"/>
        <v>12733</v>
      </c>
      <c r="S92" s="2">
        <f t="shared" si="16"/>
        <v>8763</v>
      </c>
      <c r="T92" s="2">
        <f t="shared" si="17"/>
        <v>6778</v>
      </c>
      <c r="U92" s="2">
        <f t="shared" si="18"/>
        <v>5586</v>
      </c>
      <c r="V92" s="2">
        <f t="shared" si="19"/>
        <v>4792</v>
      </c>
      <c r="W92" s="2">
        <f t="shared" si="20"/>
        <v>3800</v>
      </c>
      <c r="X92" s="2">
        <f t="shared" si="21"/>
        <v>26370</v>
      </c>
      <c r="Y92" s="2">
        <f t="shared" si="22"/>
        <v>61530</v>
      </c>
      <c r="Z92" s="2">
        <f t="shared" si="23"/>
        <v>66705</v>
      </c>
      <c r="AA92" s="2">
        <f t="shared" si="24"/>
        <v>11950</v>
      </c>
      <c r="AB92" s="2">
        <f t="shared" si="25"/>
        <v>8224</v>
      </c>
      <c r="AC92" s="2">
        <f t="shared" si="26"/>
        <v>6361</v>
      </c>
      <c r="AD92" s="2">
        <f t="shared" si="27"/>
        <v>5243</v>
      </c>
      <c r="AE92" s="2">
        <f t="shared" si="28"/>
        <v>4498</v>
      </c>
      <c r="AF92" s="2">
        <f t="shared" si="29"/>
        <v>3566</v>
      </c>
      <c r="AG92" s="2">
        <f t="shared" si="30"/>
        <v>30765</v>
      </c>
      <c r="AH92" s="2">
        <f t="shared" si="31"/>
        <v>57135</v>
      </c>
      <c r="AI92" s="2">
        <f t="shared" si="32"/>
        <v>62310</v>
      </c>
      <c r="AJ92" s="2">
        <f t="shared" si="33"/>
        <v>11167</v>
      </c>
      <c r="AK92" s="2">
        <f t="shared" si="34"/>
        <v>7685</v>
      </c>
      <c r="AL92" s="2">
        <f t="shared" si="35"/>
        <v>5944</v>
      </c>
      <c r="AM92" s="2">
        <f t="shared" si="36"/>
        <v>4899</v>
      </c>
      <c r="AN92" s="2">
        <f t="shared" si="37"/>
        <v>4203</v>
      </c>
      <c r="AO92" s="2">
        <f t="shared" si="38"/>
        <v>3333</v>
      </c>
      <c r="AP92" s="2">
        <f t="shared" si="39"/>
        <v>35160</v>
      </c>
      <c r="AQ92" s="2">
        <f t="shared" si="40"/>
        <v>52740</v>
      </c>
      <c r="AR92" s="2">
        <f t="shared" si="41"/>
        <v>57915</v>
      </c>
      <c r="AS92" s="2">
        <f t="shared" si="42"/>
        <v>10384</v>
      </c>
      <c r="AT92" s="2">
        <f t="shared" si="43"/>
        <v>7146</v>
      </c>
      <c r="AU92" s="2">
        <f t="shared" si="44"/>
        <v>5527</v>
      </c>
      <c r="AV92" s="2">
        <f t="shared" si="45"/>
        <v>4556</v>
      </c>
      <c r="AW92" s="2">
        <f t="shared" si="46"/>
        <v>3908</v>
      </c>
      <c r="AX92" s="2">
        <f t="shared" si="47"/>
        <v>3099</v>
      </c>
    </row>
    <row r="93" ht="14.25" customHeight="1">
      <c r="A93" s="2" t="str">
        <f t="array" ref="A93">IFERROR(INDEX('Product Price'!A:A,SMALL('Product Price'!$D:$D,91)),"")</f>
        <v>SAMSUNG Galaxy S24 8/256 GB</v>
      </c>
      <c r="B93" s="2">
        <f t="array" ref="B93">IFERROR(INDEX('Product Price'!B:B,SMALL('Product Price'!$D:$D,91)),"")</f>
        <v>27900</v>
      </c>
      <c r="C93" s="2">
        <f t="array" ref="C93">IFERROR(INDEX('Product Price'!C:C,SMALL('Product Price'!$D:$D,91)),"")</f>
        <v>81</v>
      </c>
      <c r="D93" s="2">
        <f t="shared" si="1"/>
        <v>1900</v>
      </c>
      <c r="E93" s="2">
        <f t="shared" si="2"/>
        <v>29800</v>
      </c>
      <c r="F93" s="2">
        <f t="shared" si="3"/>
        <v>5580</v>
      </c>
      <c r="G93" s="2">
        <f t="shared" si="4"/>
        <v>22320</v>
      </c>
      <c r="H93" s="2">
        <f t="shared" si="5"/>
        <v>24220</v>
      </c>
      <c r="I93" s="2">
        <f t="shared" si="6"/>
        <v>4339</v>
      </c>
      <c r="J93" s="2">
        <f t="shared" si="7"/>
        <v>2986</v>
      </c>
      <c r="K93" s="2">
        <f t="shared" si="8"/>
        <v>2310</v>
      </c>
      <c r="L93" s="2">
        <f t="shared" si="9"/>
        <v>1904</v>
      </c>
      <c r="M93" s="2">
        <f t="shared" si="10"/>
        <v>1634</v>
      </c>
      <c r="N93" s="2">
        <f t="shared" si="11"/>
        <v>1295</v>
      </c>
      <c r="O93" s="2">
        <f t="shared" si="12"/>
        <v>6975</v>
      </c>
      <c r="P93" s="2">
        <f t="shared" si="13"/>
        <v>20925</v>
      </c>
      <c r="Q93" s="2">
        <f t="shared" si="14"/>
        <v>22825</v>
      </c>
      <c r="R93" s="2">
        <f t="shared" si="15"/>
        <v>4091</v>
      </c>
      <c r="S93" s="2">
        <f t="shared" si="16"/>
        <v>2815</v>
      </c>
      <c r="T93" s="2">
        <f t="shared" si="17"/>
        <v>2178</v>
      </c>
      <c r="U93" s="2">
        <f t="shared" si="18"/>
        <v>1795</v>
      </c>
      <c r="V93" s="2">
        <f t="shared" si="19"/>
        <v>1540</v>
      </c>
      <c r="W93" s="2">
        <f t="shared" si="20"/>
        <v>1221</v>
      </c>
      <c r="X93" s="2">
        <f t="shared" si="21"/>
        <v>8370</v>
      </c>
      <c r="Y93" s="2">
        <f t="shared" si="22"/>
        <v>19530</v>
      </c>
      <c r="Z93" s="2">
        <f t="shared" si="23"/>
        <v>21430</v>
      </c>
      <c r="AA93" s="2">
        <f t="shared" si="24"/>
        <v>3842</v>
      </c>
      <c r="AB93" s="2">
        <f t="shared" si="25"/>
        <v>2644</v>
      </c>
      <c r="AC93" s="2">
        <f t="shared" si="26"/>
        <v>2045</v>
      </c>
      <c r="AD93" s="2">
        <f t="shared" si="27"/>
        <v>1686</v>
      </c>
      <c r="AE93" s="2">
        <f t="shared" si="28"/>
        <v>1446</v>
      </c>
      <c r="AF93" s="2">
        <f t="shared" si="29"/>
        <v>1147</v>
      </c>
      <c r="AG93" s="2">
        <f t="shared" si="30"/>
        <v>9765</v>
      </c>
      <c r="AH93" s="2">
        <f t="shared" si="31"/>
        <v>18135</v>
      </c>
      <c r="AI93" s="2">
        <f t="shared" si="32"/>
        <v>20035</v>
      </c>
      <c r="AJ93" s="2">
        <f t="shared" si="33"/>
        <v>3594</v>
      </c>
      <c r="AK93" s="2">
        <f t="shared" si="34"/>
        <v>2473</v>
      </c>
      <c r="AL93" s="2">
        <f t="shared" si="35"/>
        <v>1913</v>
      </c>
      <c r="AM93" s="2">
        <f t="shared" si="36"/>
        <v>1577</v>
      </c>
      <c r="AN93" s="2">
        <f t="shared" si="37"/>
        <v>1353</v>
      </c>
      <c r="AO93" s="2">
        <f t="shared" si="38"/>
        <v>1073</v>
      </c>
      <c r="AP93" s="2">
        <f t="shared" si="39"/>
        <v>11160</v>
      </c>
      <c r="AQ93" s="2">
        <f t="shared" si="40"/>
        <v>16740</v>
      </c>
      <c r="AR93" s="2">
        <f t="shared" si="41"/>
        <v>18640</v>
      </c>
      <c r="AS93" s="2">
        <f t="shared" si="42"/>
        <v>3345</v>
      </c>
      <c r="AT93" s="2">
        <f t="shared" si="43"/>
        <v>2302</v>
      </c>
      <c r="AU93" s="2">
        <f t="shared" si="44"/>
        <v>1781</v>
      </c>
      <c r="AV93" s="2">
        <f t="shared" si="45"/>
        <v>1468</v>
      </c>
      <c r="AW93" s="2">
        <f t="shared" si="46"/>
        <v>1259</v>
      </c>
      <c r="AX93" s="2">
        <f t="shared" si="47"/>
        <v>999</v>
      </c>
    </row>
    <row r="94" ht="14.25" customHeight="1">
      <c r="A94" s="2" t="str">
        <f t="array" ref="A94">IFERROR(INDEX('Product Price'!A:A,SMALL('Product Price'!$D:$D,92)),"")</f>
        <v>SAMSUNG Galaxy S24 8/512 GB</v>
      </c>
      <c r="B94" s="2">
        <f t="array" ref="B94">IFERROR(INDEX('Product Price'!B:B,SMALL('Product Price'!$D:$D,92)),"")</f>
        <v>32900</v>
      </c>
      <c r="C94" s="2">
        <f t="array" ref="C94">IFERROR(INDEX('Product Price'!C:C,SMALL('Product Price'!$D:$D,92)),"")</f>
        <v>82</v>
      </c>
      <c r="D94" s="2">
        <f t="shared" si="1"/>
        <v>1900</v>
      </c>
      <c r="E94" s="2">
        <f t="shared" si="2"/>
        <v>34800</v>
      </c>
      <c r="F94" s="2">
        <f t="shared" si="3"/>
        <v>6580</v>
      </c>
      <c r="G94" s="2">
        <f t="shared" si="4"/>
        <v>26320</v>
      </c>
      <c r="H94" s="2">
        <f t="shared" si="5"/>
        <v>28220</v>
      </c>
      <c r="I94" s="2">
        <f t="shared" si="6"/>
        <v>5052</v>
      </c>
      <c r="J94" s="2">
        <f t="shared" si="7"/>
        <v>3477</v>
      </c>
      <c r="K94" s="2">
        <f t="shared" si="8"/>
        <v>2689</v>
      </c>
      <c r="L94" s="2">
        <f t="shared" si="9"/>
        <v>2217</v>
      </c>
      <c r="M94" s="2">
        <f t="shared" si="10"/>
        <v>1902</v>
      </c>
      <c r="N94" s="2">
        <f t="shared" si="11"/>
        <v>1508</v>
      </c>
      <c r="O94" s="2">
        <f t="shared" si="12"/>
        <v>8225</v>
      </c>
      <c r="P94" s="2">
        <f t="shared" si="13"/>
        <v>24675</v>
      </c>
      <c r="Q94" s="2">
        <f t="shared" si="14"/>
        <v>26575</v>
      </c>
      <c r="R94" s="2">
        <f t="shared" si="15"/>
        <v>4759</v>
      </c>
      <c r="S94" s="2">
        <f t="shared" si="16"/>
        <v>3275</v>
      </c>
      <c r="T94" s="2">
        <f t="shared" si="17"/>
        <v>2533</v>
      </c>
      <c r="U94" s="2">
        <f t="shared" si="18"/>
        <v>2088</v>
      </c>
      <c r="V94" s="2">
        <f t="shared" si="19"/>
        <v>1791</v>
      </c>
      <c r="W94" s="2">
        <f t="shared" si="20"/>
        <v>1420</v>
      </c>
      <c r="X94" s="2">
        <f t="shared" si="21"/>
        <v>9870</v>
      </c>
      <c r="Y94" s="2">
        <f t="shared" si="22"/>
        <v>23030</v>
      </c>
      <c r="Z94" s="2">
        <f t="shared" si="23"/>
        <v>24930</v>
      </c>
      <c r="AA94" s="2">
        <f t="shared" si="24"/>
        <v>4466</v>
      </c>
      <c r="AB94" s="2">
        <f t="shared" si="25"/>
        <v>3074</v>
      </c>
      <c r="AC94" s="2">
        <f t="shared" si="26"/>
        <v>2377</v>
      </c>
      <c r="AD94" s="2">
        <f t="shared" si="27"/>
        <v>1960</v>
      </c>
      <c r="AE94" s="2">
        <f t="shared" si="28"/>
        <v>1681</v>
      </c>
      <c r="AF94" s="2">
        <f t="shared" si="29"/>
        <v>1333</v>
      </c>
      <c r="AG94" s="2">
        <f t="shared" si="30"/>
        <v>11515</v>
      </c>
      <c r="AH94" s="2">
        <f t="shared" si="31"/>
        <v>21385</v>
      </c>
      <c r="AI94" s="2">
        <f t="shared" si="32"/>
        <v>23285</v>
      </c>
      <c r="AJ94" s="2">
        <f t="shared" si="33"/>
        <v>4173</v>
      </c>
      <c r="AK94" s="2">
        <f t="shared" si="34"/>
        <v>2872</v>
      </c>
      <c r="AL94" s="2">
        <f t="shared" si="35"/>
        <v>2221</v>
      </c>
      <c r="AM94" s="2">
        <f t="shared" si="36"/>
        <v>1831</v>
      </c>
      <c r="AN94" s="2">
        <f t="shared" si="37"/>
        <v>1571</v>
      </c>
      <c r="AO94" s="2">
        <f t="shared" si="38"/>
        <v>1246</v>
      </c>
      <c r="AP94" s="2">
        <f t="shared" si="39"/>
        <v>13160</v>
      </c>
      <c r="AQ94" s="2">
        <f t="shared" si="40"/>
        <v>19740</v>
      </c>
      <c r="AR94" s="2">
        <f t="shared" si="41"/>
        <v>21640</v>
      </c>
      <c r="AS94" s="2">
        <f t="shared" si="42"/>
        <v>3880</v>
      </c>
      <c r="AT94" s="2">
        <f t="shared" si="43"/>
        <v>2670</v>
      </c>
      <c r="AU94" s="2">
        <f t="shared" si="44"/>
        <v>2065</v>
      </c>
      <c r="AV94" s="2">
        <f t="shared" si="45"/>
        <v>1702</v>
      </c>
      <c r="AW94" s="2">
        <f t="shared" si="46"/>
        <v>1461</v>
      </c>
      <c r="AX94" s="2">
        <f t="shared" si="47"/>
        <v>1158</v>
      </c>
    </row>
    <row r="95" ht="14.25" customHeight="1">
      <c r="A95" s="2" t="str">
        <f t="array" ref="A95">IFERROR(INDEX('Product Price'!A:A,SMALL('Product Price'!$D:$D,93)),"")</f>
        <v>SAMSUNG Galaxy S24+ 12/256 GB</v>
      </c>
      <c r="B95" s="2">
        <f t="array" ref="B95">IFERROR(INDEX('Product Price'!B:B,SMALL('Product Price'!$D:$D,93)),"")</f>
        <v>33900</v>
      </c>
      <c r="C95" s="2">
        <f t="array" ref="C95">IFERROR(INDEX('Product Price'!C:C,SMALL('Product Price'!$D:$D,93)),"")</f>
        <v>83</v>
      </c>
      <c r="D95" s="2">
        <f t="shared" si="1"/>
        <v>1900</v>
      </c>
      <c r="E95" s="2">
        <f t="shared" si="2"/>
        <v>35800</v>
      </c>
      <c r="F95" s="2">
        <f t="shared" si="3"/>
        <v>6780</v>
      </c>
      <c r="G95" s="2">
        <f t="shared" si="4"/>
        <v>27120</v>
      </c>
      <c r="H95" s="2">
        <f t="shared" si="5"/>
        <v>29020</v>
      </c>
      <c r="I95" s="2">
        <f t="shared" si="6"/>
        <v>5195</v>
      </c>
      <c r="J95" s="2">
        <f t="shared" si="7"/>
        <v>3575</v>
      </c>
      <c r="K95" s="2">
        <f t="shared" si="8"/>
        <v>2765</v>
      </c>
      <c r="L95" s="2">
        <f t="shared" si="9"/>
        <v>2279</v>
      </c>
      <c r="M95" s="2">
        <f t="shared" si="10"/>
        <v>1955</v>
      </c>
      <c r="N95" s="2">
        <f t="shared" si="11"/>
        <v>1550</v>
      </c>
      <c r="O95" s="2">
        <f t="shared" si="12"/>
        <v>8475</v>
      </c>
      <c r="P95" s="2">
        <f t="shared" si="13"/>
        <v>25425</v>
      </c>
      <c r="Q95" s="2">
        <f t="shared" si="14"/>
        <v>27325</v>
      </c>
      <c r="R95" s="2">
        <f t="shared" si="15"/>
        <v>4893</v>
      </c>
      <c r="S95" s="2">
        <f t="shared" si="16"/>
        <v>3367</v>
      </c>
      <c r="T95" s="2">
        <f t="shared" si="17"/>
        <v>2604</v>
      </c>
      <c r="U95" s="2">
        <f t="shared" si="18"/>
        <v>2147</v>
      </c>
      <c r="V95" s="2">
        <f t="shared" si="19"/>
        <v>1842</v>
      </c>
      <c r="W95" s="2">
        <f t="shared" si="20"/>
        <v>1460</v>
      </c>
      <c r="X95" s="2">
        <f t="shared" si="21"/>
        <v>10170</v>
      </c>
      <c r="Y95" s="2">
        <f t="shared" si="22"/>
        <v>23730</v>
      </c>
      <c r="Z95" s="2">
        <f t="shared" si="23"/>
        <v>25630</v>
      </c>
      <c r="AA95" s="2">
        <f t="shared" si="24"/>
        <v>4591</v>
      </c>
      <c r="AB95" s="2">
        <f t="shared" si="25"/>
        <v>3159</v>
      </c>
      <c r="AC95" s="2">
        <f t="shared" si="26"/>
        <v>2444</v>
      </c>
      <c r="AD95" s="2">
        <f t="shared" si="27"/>
        <v>2014</v>
      </c>
      <c r="AE95" s="2">
        <f t="shared" si="28"/>
        <v>1728</v>
      </c>
      <c r="AF95" s="2">
        <f t="shared" si="29"/>
        <v>1370</v>
      </c>
      <c r="AG95" s="2">
        <f t="shared" si="30"/>
        <v>11865</v>
      </c>
      <c r="AH95" s="2">
        <f t="shared" si="31"/>
        <v>22035</v>
      </c>
      <c r="AI95" s="2">
        <f t="shared" si="32"/>
        <v>23935</v>
      </c>
      <c r="AJ95" s="2">
        <f t="shared" si="33"/>
        <v>4289</v>
      </c>
      <c r="AK95" s="2">
        <f t="shared" si="34"/>
        <v>2952</v>
      </c>
      <c r="AL95" s="2">
        <f t="shared" si="35"/>
        <v>2283</v>
      </c>
      <c r="AM95" s="2">
        <f t="shared" si="36"/>
        <v>1882</v>
      </c>
      <c r="AN95" s="2">
        <f t="shared" si="37"/>
        <v>1614</v>
      </c>
      <c r="AO95" s="2">
        <f t="shared" si="38"/>
        <v>1280</v>
      </c>
      <c r="AP95" s="2">
        <f t="shared" si="39"/>
        <v>13560</v>
      </c>
      <c r="AQ95" s="2">
        <f t="shared" si="40"/>
        <v>20340</v>
      </c>
      <c r="AR95" s="2">
        <f t="shared" si="41"/>
        <v>22240</v>
      </c>
      <c r="AS95" s="2">
        <f t="shared" si="42"/>
        <v>3987</v>
      </c>
      <c r="AT95" s="2">
        <f t="shared" si="43"/>
        <v>2744</v>
      </c>
      <c r="AU95" s="2">
        <f t="shared" si="44"/>
        <v>2122</v>
      </c>
      <c r="AV95" s="2">
        <f t="shared" si="45"/>
        <v>1749</v>
      </c>
      <c r="AW95" s="2">
        <f t="shared" si="46"/>
        <v>1501</v>
      </c>
      <c r="AX95" s="2">
        <f t="shared" si="47"/>
        <v>1190</v>
      </c>
    </row>
    <row r="96" ht="14.25" customHeight="1">
      <c r="A96" s="2" t="str">
        <f t="array" ref="A96">IFERROR(INDEX('Product Price'!A:A,SMALL('Product Price'!$D:$D,94)),"")</f>
        <v>SAMSUNG Galaxy S24+ 12/512 GB</v>
      </c>
      <c r="B96" s="2">
        <f t="array" ref="B96">IFERROR(INDEX('Product Price'!B:B,SMALL('Product Price'!$D:$D,94)),"")</f>
        <v>38900</v>
      </c>
      <c r="C96" s="2">
        <f t="array" ref="C96">IFERROR(INDEX('Product Price'!C:C,SMALL('Product Price'!$D:$D,94)),"")</f>
        <v>84</v>
      </c>
      <c r="D96" s="2">
        <f t="shared" si="1"/>
        <v>1900</v>
      </c>
      <c r="E96" s="2">
        <f t="shared" si="2"/>
        <v>40800</v>
      </c>
      <c r="F96" s="2">
        <f t="shared" si="3"/>
        <v>7780</v>
      </c>
      <c r="G96" s="2">
        <f t="shared" si="4"/>
        <v>31120</v>
      </c>
      <c r="H96" s="2">
        <f t="shared" si="5"/>
        <v>33020</v>
      </c>
      <c r="I96" s="2">
        <f t="shared" si="6"/>
        <v>5907</v>
      </c>
      <c r="J96" s="2">
        <f t="shared" si="7"/>
        <v>4065</v>
      </c>
      <c r="K96" s="2">
        <f t="shared" si="8"/>
        <v>3145</v>
      </c>
      <c r="L96" s="2">
        <f t="shared" si="9"/>
        <v>2592</v>
      </c>
      <c r="M96" s="2">
        <f t="shared" si="10"/>
        <v>2224</v>
      </c>
      <c r="N96" s="2">
        <f t="shared" si="11"/>
        <v>1763</v>
      </c>
      <c r="O96" s="2">
        <f t="shared" si="12"/>
        <v>9725</v>
      </c>
      <c r="P96" s="2">
        <f t="shared" si="13"/>
        <v>29175</v>
      </c>
      <c r="Q96" s="2">
        <f t="shared" si="14"/>
        <v>31075</v>
      </c>
      <c r="R96" s="2">
        <f t="shared" si="15"/>
        <v>5561</v>
      </c>
      <c r="S96" s="2">
        <f t="shared" si="16"/>
        <v>3827</v>
      </c>
      <c r="T96" s="2">
        <f t="shared" si="17"/>
        <v>2960</v>
      </c>
      <c r="U96" s="2">
        <f t="shared" si="18"/>
        <v>2440</v>
      </c>
      <c r="V96" s="2">
        <f t="shared" si="19"/>
        <v>2093</v>
      </c>
      <c r="W96" s="2">
        <f t="shared" si="20"/>
        <v>1660</v>
      </c>
      <c r="X96" s="2">
        <f t="shared" si="21"/>
        <v>11670</v>
      </c>
      <c r="Y96" s="2">
        <f t="shared" si="22"/>
        <v>27230</v>
      </c>
      <c r="Z96" s="2">
        <f t="shared" si="23"/>
        <v>29130</v>
      </c>
      <c r="AA96" s="2">
        <f t="shared" si="24"/>
        <v>5214</v>
      </c>
      <c r="AB96" s="2">
        <f t="shared" si="25"/>
        <v>3588</v>
      </c>
      <c r="AC96" s="2">
        <f t="shared" si="26"/>
        <v>2776</v>
      </c>
      <c r="AD96" s="2">
        <f t="shared" si="27"/>
        <v>2288</v>
      </c>
      <c r="AE96" s="2">
        <f t="shared" si="28"/>
        <v>1963</v>
      </c>
      <c r="AF96" s="2">
        <f t="shared" si="29"/>
        <v>1556</v>
      </c>
      <c r="AG96" s="2">
        <f t="shared" si="30"/>
        <v>13615</v>
      </c>
      <c r="AH96" s="2">
        <f t="shared" si="31"/>
        <v>25285</v>
      </c>
      <c r="AI96" s="2">
        <f t="shared" si="32"/>
        <v>27185</v>
      </c>
      <c r="AJ96" s="2">
        <f t="shared" si="33"/>
        <v>4868</v>
      </c>
      <c r="AK96" s="2">
        <f t="shared" si="34"/>
        <v>3350</v>
      </c>
      <c r="AL96" s="2">
        <f t="shared" si="35"/>
        <v>2591</v>
      </c>
      <c r="AM96" s="2">
        <f t="shared" si="36"/>
        <v>2136</v>
      </c>
      <c r="AN96" s="2">
        <f t="shared" si="37"/>
        <v>1832</v>
      </c>
      <c r="AO96" s="2">
        <f t="shared" si="38"/>
        <v>1453</v>
      </c>
      <c r="AP96" s="2">
        <f t="shared" si="39"/>
        <v>15560</v>
      </c>
      <c r="AQ96" s="2">
        <f t="shared" si="40"/>
        <v>23340</v>
      </c>
      <c r="AR96" s="2">
        <f t="shared" si="41"/>
        <v>25240</v>
      </c>
      <c r="AS96" s="2">
        <f t="shared" si="42"/>
        <v>4521</v>
      </c>
      <c r="AT96" s="2">
        <f t="shared" si="43"/>
        <v>3112</v>
      </c>
      <c r="AU96" s="2">
        <f t="shared" si="44"/>
        <v>2407</v>
      </c>
      <c r="AV96" s="2">
        <f t="shared" si="45"/>
        <v>1984</v>
      </c>
      <c r="AW96" s="2">
        <f t="shared" si="46"/>
        <v>1702</v>
      </c>
      <c r="AX96" s="2">
        <f t="shared" si="47"/>
        <v>1349</v>
      </c>
    </row>
    <row r="97" ht="14.25" customHeight="1">
      <c r="A97" s="2" t="str">
        <f t="array" ref="A97">IFERROR(INDEX('Product Price'!A:A,SMALL('Product Price'!$D:$D,95)),"")</f>
        <v>SAMSUNG Galaxy S24 Ultra 12/512 GB</v>
      </c>
      <c r="B97" s="2">
        <f t="array" ref="B97">IFERROR(INDEX('Product Price'!B:B,SMALL('Product Price'!$D:$D,95)),"")</f>
        <v>48900</v>
      </c>
      <c r="C97" s="2">
        <f t="array" ref="C97">IFERROR(INDEX('Product Price'!C:C,SMALL('Product Price'!$D:$D,95)),"")</f>
        <v>85</v>
      </c>
      <c r="D97" s="2">
        <f t="shared" si="1"/>
        <v>2475</v>
      </c>
      <c r="E97" s="2">
        <f t="shared" si="2"/>
        <v>51375</v>
      </c>
      <c r="F97" s="2">
        <f t="shared" si="3"/>
        <v>9780</v>
      </c>
      <c r="G97" s="2">
        <f t="shared" si="4"/>
        <v>39120</v>
      </c>
      <c r="H97" s="2">
        <f t="shared" si="5"/>
        <v>41595</v>
      </c>
      <c r="I97" s="2">
        <f t="shared" si="6"/>
        <v>7442</v>
      </c>
      <c r="J97" s="2">
        <f t="shared" si="7"/>
        <v>5122</v>
      </c>
      <c r="K97" s="2">
        <f t="shared" si="8"/>
        <v>3962</v>
      </c>
      <c r="L97" s="2">
        <f t="shared" si="9"/>
        <v>3265</v>
      </c>
      <c r="M97" s="2">
        <f t="shared" si="10"/>
        <v>2801</v>
      </c>
      <c r="N97" s="2">
        <f t="shared" si="11"/>
        <v>2221</v>
      </c>
      <c r="O97" s="2">
        <f t="shared" si="12"/>
        <v>12225</v>
      </c>
      <c r="P97" s="2">
        <f t="shared" si="13"/>
        <v>36675</v>
      </c>
      <c r="Q97" s="2">
        <f t="shared" si="14"/>
        <v>39150</v>
      </c>
      <c r="R97" s="2">
        <f t="shared" si="15"/>
        <v>7007</v>
      </c>
      <c r="S97" s="2">
        <f t="shared" si="16"/>
        <v>4822</v>
      </c>
      <c r="T97" s="2">
        <f t="shared" si="17"/>
        <v>3730</v>
      </c>
      <c r="U97" s="2">
        <f t="shared" si="18"/>
        <v>3074</v>
      </c>
      <c r="V97" s="2">
        <f t="shared" si="19"/>
        <v>2637</v>
      </c>
      <c r="W97" s="2">
        <f t="shared" si="20"/>
        <v>2091</v>
      </c>
      <c r="X97" s="2">
        <f t="shared" si="21"/>
        <v>14670</v>
      </c>
      <c r="Y97" s="2">
        <f t="shared" si="22"/>
        <v>34230</v>
      </c>
      <c r="Z97" s="2">
        <f t="shared" si="23"/>
        <v>36705</v>
      </c>
      <c r="AA97" s="2">
        <f t="shared" si="24"/>
        <v>6571</v>
      </c>
      <c r="AB97" s="2">
        <f t="shared" si="25"/>
        <v>4522</v>
      </c>
      <c r="AC97" s="2">
        <f t="shared" si="26"/>
        <v>3498</v>
      </c>
      <c r="AD97" s="2">
        <f t="shared" si="27"/>
        <v>2883</v>
      </c>
      <c r="AE97" s="2">
        <f t="shared" si="28"/>
        <v>2473</v>
      </c>
      <c r="AF97" s="2">
        <f t="shared" si="29"/>
        <v>1961</v>
      </c>
      <c r="AG97" s="2">
        <f t="shared" si="30"/>
        <v>17115</v>
      </c>
      <c r="AH97" s="2">
        <f t="shared" si="31"/>
        <v>31785</v>
      </c>
      <c r="AI97" s="2">
        <f t="shared" si="32"/>
        <v>34260</v>
      </c>
      <c r="AJ97" s="2">
        <f t="shared" si="33"/>
        <v>6135</v>
      </c>
      <c r="AK97" s="2">
        <f t="shared" si="34"/>
        <v>4222</v>
      </c>
      <c r="AL97" s="2">
        <f t="shared" si="35"/>
        <v>3266</v>
      </c>
      <c r="AM97" s="2">
        <f t="shared" si="36"/>
        <v>2692</v>
      </c>
      <c r="AN97" s="2">
        <f t="shared" si="37"/>
        <v>2309</v>
      </c>
      <c r="AO97" s="2">
        <f t="shared" si="38"/>
        <v>1831</v>
      </c>
      <c r="AP97" s="2">
        <f t="shared" si="39"/>
        <v>19560</v>
      </c>
      <c r="AQ97" s="2">
        <f t="shared" si="40"/>
        <v>29340</v>
      </c>
      <c r="AR97" s="2">
        <f t="shared" si="41"/>
        <v>31815</v>
      </c>
      <c r="AS97" s="2">
        <f t="shared" si="42"/>
        <v>5700</v>
      </c>
      <c r="AT97" s="2">
        <f t="shared" si="43"/>
        <v>3923</v>
      </c>
      <c r="AU97" s="2">
        <f t="shared" si="44"/>
        <v>3034</v>
      </c>
      <c r="AV97" s="2">
        <f t="shared" si="45"/>
        <v>2501</v>
      </c>
      <c r="AW97" s="2">
        <f t="shared" si="46"/>
        <v>2145</v>
      </c>
      <c r="AX97" s="2">
        <f t="shared" si="47"/>
        <v>1701</v>
      </c>
    </row>
    <row r="98" ht="14.25" customHeight="1">
      <c r="A98" s="2" t="str">
        <f t="array" ref="A98">IFERROR(INDEX('Product Price'!A:A,SMALL('Product Price'!$D:$D,96)),"")</f>
        <v>SAMSUNG Galaxy S24 Ultra 12/1TB</v>
      </c>
      <c r="B98" s="2">
        <f t="array" ref="B98">IFERROR(INDEX('Product Price'!B:B,SMALL('Product Price'!$D:$D,96)),"")</f>
        <v>58900</v>
      </c>
      <c r="C98" s="2">
        <f t="array" ref="C98">IFERROR(INDEX('Product Price'!C:C,SMALL('Product Price'!$D:$D,96)),"")</f>
        <v>86</v>
      </c>
      <c r="D98" s="2">
        <f t="shared" si="1"/>
        <v>2475</v>
      </c>
      <c r="E98" s="2">
        <f t="shared" si="2"/>
        <v>61375</v>
      </c>
      <c r="F98" s="2">
        <f t="shared" si="3"/>
        <v>11780</v>
      </c>
      <c r="G98" s="2">
        <f t="shared" si="4"/>
        <v>47120</v>
      </c>
      <c r="H98" s="2">
        <f t="shared" si="5"/>
        <v>49595</v>
      </c>
      <c r="I98" s="2">
        <f t="shared" si="6"/>
        <v>8868</v>
      </c>
      <c r="J98" s="2">
        <f t="shared" si="7"/>
        <v>6103</v>
      </c>
      <c r="K98" s="2">
        <f t="shared" si="8"/>
        <v>4720</v>
      </c>
      <c r="L98" s="2">
        <f t="shared" si="9"/>
        <v>3891</v>
      </c>
      <c r="M98" s="2">
        <f t="shared" si="10"/>
        <v>3338</v>
      </c>
      <c r="N98" s="2">
        <f t="shared" si="11"/>
        <v>2647</v>
      </c>
      <c r="O98" s="2">
        <f t="shared" si="12"/>
        <v>14725</v>
      </c>
      <c r="P98" s="2">
        <f t="shared" si="13"/>
        <v>44175</v>
      </c>
      <c r="Q98" s="2">
        <f t="shared" si="14"/>
        <v>46650</v>
      </c>
      <c r="R98" s="2">
        <f t="shared" si="15"/>
        <v>8343</v>
      </c>
      <c r="S98" s="2">
        <f t="shared" si="16"/>
        <v>5742</v>
      </c>
      <c r="T98" s="2">
        <f t="shared" si="17"/>
        <v>4441</v>
      </c>
      <c r="U98" s="2">
        <f t="shared" si="18"/>
        <v>3661</v>
      </c>
      <c r="V98" s="2">
        <f t="shared" si="19"/>
        <v>3140</v>
      </c>
      <c r="W98" s="2">
        <f t="shared" si="20"/>
        <v>2490</v>
      </c>
      <c r="X98" s="2">
        <f t="shared" si="21"/>
        <v>17670</v>
      </c>
      <c r="Y98" s="2">
        <f t="shared" si="22"/>
        <v>41230</v>
      </c>
      <c r="Z98" s="2">
        <f t="shared" si="23"/>
        <v>43705</v>
      </c>
      <c r="AA98" s="2">
        <f t="shared" si="24"/>
        <v>7818</v>
      </c>
      <c r="AB98" s="2">
        <f t="shared" si="25"/>
        <v>5380</v>
      </c>
      <c r="AC98" s="2">
        <f t="shared" si="26"/>
        <v>4162</v>
      </c>
      <c r="AD98" s="2">
        <f t="shared" si="27"/>
        <v>3430</v>
      </c>
      <c r="AE98" s="2">
        <f t="shared" si="28"/>
        <v>2943</v>
      </c>
      <c r="AF98" s="2">
        <f t="shared" si="29"/>
        <v>2333</v>
      </c>
      <c r="AG98" s="2">
        <f t="shared" si="30"/>
        <v>20615</v>
      </c>
      <c r="AH98" s="2">
        <f t="shared" si="31"/>
        <v>38285</v>
      </c>
      <c r="AI98" s="2">
        <f t="shared" si="32"/>
        <v>40760</v>
      </c>
      <c r="AJ98" s="2">
        <f t="shared" si="33"/>
        <v>7293</v>
      </c>
      <c r="AK98" s="2">
        <f t="shared" si="34"/>
        <v>5019</v>
      </c>
      <c r="AL98" s="2">
        <f t="shared" si="35"/>
        <v>3882</v>
      </c>
      <c r="AM98" s="2">
        <f t="shared" si="36"/>
        <v>3200</v>
      </c>
      <c r="AN98" s="2">
        <f t="shared" si="37"/>
        <v>2745</v>
      </c>
      <c r="AO98" s="2">
        <f t="shared" si="38"/>
        <v>2177</v>
      </c>
      <c r="AP98" s="2">
        <f t="shared" si="39"/>
        <v>23560</v>
      </c>
      <c r="AQ98" s="2">
        <f t="shared" si="40"/>
        <v>35340</v>
      </c>
      <c r="AR98" s="2">
        <f t="shared" si="41"/>
        <v>37815</v>
      </c>
      <c r="AS98" s="2">
        <f t="shared" si="42"/>
        <v>6769</v>
      </c>
      <c r="AT98" s="2">
        <f t="shared" si="43"/>
        <v>4658</v>
      </c>
      <c r="AU98" s="2">
        <f t="shared" si="44"/>
        <v>3603</v>
      </c>
      <c r="AV98" s="2">
        <f t="shared" si="45"/>
        <v>2970</v>
      </c>
      <c r="AW98" s="2">
        <f t="shared" si="46"/>
        <v>2548</v>
      </c>
      <c r="AX98" s="2">
        <f t="shared" si="47"/>
        <v>2020</v>
      </c>
    </row>
    <row r="99" ht="14.25" customHeight="1">
      <c r="A99" s="2" t="str">
        <f t="array" ref="A99">IFERROR(INDEX('Product Price'!A:A,SMALL('Product Price'!$D:$D,97)),"")</f>
        <v>SAMSUNG Galaxy S24 FE 8/128 GB</v>
      </c>
      <c r="B99" s="2">
        <f t="array" ref="B99">IFERROR(INDEX('Product Price'!B:B,SMALL('Product Price'!$D:$D,97)),"")</f>
        <v>22900</v>
      </c>
      <c r="C99" s="2">
        <f t="array" ref="C99">IFERROR(INDEX('Product Price'!C:C,SMALL('Product Price'!$D:$D,97)),"")</f>
        <v>87</v>
      </c>
      <c r="D99" s="2">
        <f t="shared" si="1"/>
        <v>1900</v>
      </c>
      <c r="E99" s="2">
        <f t="shared" si="2"/>
        <v>24800</v>
      </c>
      <c r="F99" s="2">
        <f t="shared" si="3"/>
        <v>4580</v>
      </c>
      <c r="G99" s="2">
        <f t="shared" si="4"/>
        <v>18320</v>
      </c>
      <c r="H99" s="2">
        <f t="shared" si="5"/>
        <v>20220</v>
      </c>
      <c r="I99" s="2">
        <f t="shared" si="6"/>
        <v>3627</v>
      </c>
      <c r="J99" s="2">
        <f t="shared" si="7"/>
        <v>2496</v>
      </c>
      <c r="K99" s="2">
        <f t="shared" si="8"/>
        <v>1931</v>
      </c>
      <c r="L99" s="2">
        <f t="shared" si="9"/>
        <v>1591</v>
      </c>
      <c r="M99" s="2">
        <f t="shared" si="10"/>
        <v>1365</v>
      </c>
      <c r="N99" s="2">
        <f t="shared" si="11"/>
        <v>1083</v>
      </c>
      <c r="O99" s="2">
        <f t="shared" si="12"/>
        <v>5725</v>
      </c>
      <c r="P99" s="2">
        <f t="shared" si="13"/>
        <v>17175</v>
      </c>
      <c r="Q99" s="2">
        <f t="shared" si="14"/>
        <v>19075</v>
      </c>
      <c r="R99" s="2">
        <f t="shared" si="15"/>
        <v>3423</v>
      </c>
      <c r="S99" s="2">
        <f t="shared" si="16"/>
        <v>2356</v>
      </c>
      <c r="T99" s="2">
        <f t="shared" si="17"/>
        <v>1822</v>
      </c>
      <c r="U99" s="2">
        <f t="shared" si="18"/>
        <v>1502</v>
      </c>
      <c r="V99" s="2">
        <f t="shared" si="19"/>
        <v>1289</v>
      </c>
      <c r="W99" s="2">
        <f t="shared" si="20"/>
        <v>1022</v>
      </c>
      <c r="X99" s="2">
        <f t="shared" si="21"/>
        <v>6870</v>
      </c>
      <c r="Y99" s="2">
        <f t="shared" si="22"/>
        <v>16030</v>
      </c>
      <c r="Z99" s="2">
        <f t="shared" si="23"/>
        <v>17930</v>
      </c>
      <c r="AA99" s="2">
        <f t="shared" si="24"/>
        <v>3219</v>
      </c>
      <c r="AB99" s="2">
        <f t="shared" si="25"/>
        <v>2215</v>
      </c>
      <c r="AC99" s="2">
        <f t="shared" si="26"/>
        <v>1713</v>
      </c>
      <c r="AD99" s="2">
        <f t="shared" si="27"/>
        <v>1412</v>
      </c>
      <c r="AE99" s="2">
        <f t="shared" si="28"/>
        <v>1212</v>
      </c>
      <c r="AF99" s="2">
        <f t="shared" si="29"/>
        <v>961</v>
      </c>
      <c r="AG99" s="2">
        <f t="shared" si="30"/>
        <v>8015</v>
      </c>
      <c r="AH99" s="2">
        <f t="shared" si="31"/>
        <v>14885</v>
      </c>
      <c r="AI99" s="2">
        <f t="shared" si="32"/>
        <v>16785</v>
      </c>
      <c r="AJ99" s="2">
        <f t="shared" si="33"/>
        <v>3015</v>
      </c>
      <c r="AK99" s="2">
        <f t="shared" si="34"/>
        <v>2075</v>
      </c>
      <c r="AL99" s="2">
        <f t="shared" si="35"/>
        <v>1605</v>
      </c>
      <c r="AM99" s="2">
        <f t="shared" si="36"/>
        <v>1323</v>
      </c>
      <c r="AN99" s="2">
        <f t="shared" si="37"/>
        <v>1135</v>
      </c>
      <c r="AO99" s="2">
        <f t="shared" si="38"/>
        <v>900</v>
      </c>
      <c r="AP99" s="2">
        <f t="shared" si="39"/>
        <v>9160</v>
      </c>
      <c r="AQ99" s="2">
        <f t="shared" si="40"/>
        <v>13740</v>
      </c>
      <c r="AR99" s="2">
        <f t="shared" si="41"/>
        <v>15640</v>
      </c>
      <c r="AS99" s="2">
        <f t="shared" si="42"/>
        <v>2811</v>
      </c>
      <c r="AT99" s="2">
        <f t="shared" si="43"/>
        <v>1934</v>
      </c>
      <c r="AU99" s="2">
        <f t="shared" si="44"/>
        <v>1496</v>
      </c>
      <c r="AV99" s="2">
        <f t="shared" si="45"/>
        <v>1233</v>
      </c>
      <c r="AW99" s="2">
        <f t="shared" si="46"/>
        <v>1058</v>
      </c>
      <c r="AX99" s="2">
        <f t="shared" si="47"/>
        <v>839</v>
      </c>
    </row>
    <row r="100" ht="14.25" customHeight="1">
      <c r="A100" s="2" t="str">
        <f t="array" ref="A100">IFERROR(INDEX('Product Price'!A:A,SMALL('Product Price'!$D:$D,98)),"")</f>
        <v>SAMSUNG Galaxy S24 FE 8/256 GB</v>
      </c>
      <c r="B100" s="2">
        <f t="array" ref="B100">IFERROR(INDEX('Product Price'!B:B,SMALL('Product Price'!$D:$D,98)),"")</f>
        <v>25900</v>
      </c>
      <c r="C100" s="2">
        <f t="array" ref="C100">IFERROR(INDEX('Product Price'!C:C,SMALL('Product Price'!$D:$D,98)),"")</f>
        <v>88</v>
      </c>
      <c r="D100" s="2">
        <f t="shared" si="1"/>
        <v>1900</v>
      </c>
      <c r="E100" s="2">
        <f t="shared" si="2"/>
        <v>27800</v>
      </c>
      <c r="F100" s="2">
        <f t="shared" si="3"/>
        <v>5180</v>
      </c>
      <c r="G100" s="2">
        <f t="shared" si="4"/>
        <v>20720</v>
      </c>
      <c r="H100" s="2">
        <f t="shared" si="5"/>
        <v>22620</v>
      </c>
      <c r="I100" s="2">
        <f t="shared" si="6"/>
        <v>4054</v>
      </c>
      <c r="J100" s="2">
        <f t="shared" si="7"/>
        <v>2790</v>
      </c>
      <c r="K100" s="2">
        <f t="shared" si="8"/>
        <v>2158</v>
      </c>
      <c r="L100" s="2">
        <f t="shared" si="9"/>
        <v>1779</v>
      </c>
      <c r="M100" s="2">
        <f t="shared" si="10"/>
        <v>1526</v>
      </c>
      <c r="N100" s="2">
        <f t="shared" si="11"/>
        <v>1210</v>
      </c>
      <c r="O100" s="2">
        <f t="shared" si="12"/>
        <v>6475</v>
      </c>
      <c r="P100" s="2">
        <f t="shared" si="13"/>
        <v>19425</v>
      </c>
      <c r="Q100" s="2">
        <f t="shared" si="14"/>
        <v>21325</v>
      </c>
      <c r="R100" s="2">
        <f t="shared" si="15"/>
        <v>3824</v>
      </c>
      <c r="S100" s="2">
        <f t="shared" si="16"/>
        <v>2631</v>
      </c>
      <c r="T100" s="2">
        <f t="shared" si="17"/>
        <v>2035</v>
      </c>
      <c r="U100" s="2">
        <f t="shared" si="18"/>
        <v>1678</v>
      </c>
      <c r="V100" s="2">
        <f t="shared" si="19"/>
        <v>1439</v>
      </c>
      <c r="W100" s="2">
        <f t="shared" si="20"/>
        <v>1141</v>
      </c>
      <c r="X100" s="2">
        <f t="shared" si="21"/>
        <v>7770</v>
      </c>
      <c r="Y100" s="2">
        <f t="shared" si="22"/>
        <v>18130</v>
      </c>
      <c r="Z100" s="2">
        <f t="shared" si="23"/>
        <v>20030</v>
      </c>
      <c r="AA100" s="2">
        <f t="shared" si="24"/>
        <v>3593</v>
      </c>
      <c r="AB100" s="2">
        <f t="shared" si="25"/>
        <v>2473</v>
      </c>
      <c r="AC100" s="2">
        <f t="shared" si="26"/>
        <v>1913</v>
      </c>
      <c r="AD100" s="2">
        <f t="shared" si="27"/>
        <v>1577</v>
      </c>
      <c r="AE100" s="2">
        <f t="shared" si="28"/>
        <v>1353</v>
      </c>
      <c r="AF100" s="2">
        <f t="shared" si="29"/>
        <v>1072</v>
      </c>
      <c r="AG100" s="2">
        <f t="shared" si="30"/>
        <v>9065</v>
      </c>
      <c r="AH100" s="2">
        <f t="shared" si="31"/>
        <v>16835</v>
      </c>
      <c r="AI100" s="2">
        <f t="shared" si="32"/>
        <v>18735</v>
      </c>
      <c r="AJ100" s="2">
        <f t="shared" si="33"/>
        <v>3362</v>
      </c>
      <c r="AK100" s="2">
        <f t="shared" si="34"/>
        <v>2314</v>
      </c>
      <c r="AL100" s="2">
        <f t="shared" si="35"/>
        <v>1790</v>
      </c>
      <c r="AM100" s="2">
        <f t="shared" si="36"/>
        <v>1475</v>
      </c>
      <c r="AN100" s="2">
        <f t="shared" si="37"/>
        <v>1266</v>
      </c>
      <c r="AO100" s="2">
        <f t="shared" si="38"/>
        <v>1004</v>
      </c>
      <c r="AP100" s="2">
        <f t="shared" si="39"/>
        <v>10360</v>
      </c>
      <c r="AQ100" s="2">
        <f t="shared" si="40"/>
        <v>15540</v>
      </c>
      <c r="AR100" s="2">
        <f t="shared" si="41"/>
        <v>17440</v>
      </c>
      <c r="AS100" s="2">
        <f t="shared" si="42"/>
        <v>3131</v>
      </c>
      <c r="AT100" s="2">
        <f t="shared" si="43"/>
        <v>2155</v>
      </c>
      <c r="AU100" s="2">
        <f t="shared" si="44"/>
        <v>1667</v>
      </c>
      <c r="AV100" s="2">
        <f t="shared" si="45"/>
        <v>1374</v>
      </c>
      <c r="AW100" s="2">
        <f t="shared" si="46"/>
        <v>1179</v>
      </c>
      <c r="AX100" s="2">
        <f t="shared" si="47"/>
        <v>935</v>
      </c>
    </row>
    <row r="101" ht="14.25" customHeight="1">
      <c r="A101" s="2" t="str">
        <f t="array" ref="A101">IFERROR(INDEX('Product Price'!A:A,SMALL('Product Price'!$D:$D,99)),"")</f>
        <v>SAMSUNG Galaxy S25 12/256 GB</v>
      </c>
      <c r="B101" s="2">
        <f t="array" ref="B101">IFERROR(INDEX('Product Price'!B:B,SMALL('Product Price'!$D:$D,99)),"")</f>
        <v>29900</v>
      </c>
      <c r="C101" s="2">
        <f t="array" ref="C101">IFERROR(INDEX('Product Price'!C:C,SMALL('Product Price'!$D:$D,99)),"")</f>
        <v>89</v>
      </c>
      <c r="D101" s="2">
        <f t="shared" si="1"/>
        <v>1900</v>
      </c>
      <c r="E101" s="2">
        <f t="shared" si="2"/>
        <v>31800</v>
      </c>
      <c r="F101" s="2">
        <f t="shared" si="3"/>
        <v>5980</v>
      </c>
      <c r="G101" s="2">
        <f t="shared" si="4"/>
        <v>23920</v>
      </c>
      <c r="H101" s="2">
        <f t="shared" si="5"/>
        <v>25820</v>
      </c>
      <c r="I101" s="2">
        <f t="shared" si="6"/>
        <v>4624</v>
      </c>
      <c r="J101" s="2">
        <f t="shared" si="7"/>
        <v>3183</v>
      </c>
      <c r="K101" s="2">
        <f t="shared" si="8"/>
        <v>2462</v>
      </c>
      <c r="L101" s="2">
        <f t="shared" si="9"/>
        <v>2029</v>
      </c>
      <c r="M101" s="2">
        <f t="shared" si="10"/>
        <v>1741</v>
      </c>
      <c r="N101" s="2">
        <f t="shared" si="11"/>
        <v>1380</v>
      </c>
      <c r="O101" s="2">
        <f t="shared" si="12"/>
        <v>7475</v>
      </c>
      <c r="P101" s="2">
        <f t="shared" si="13"/>
        <v>22425</v>
      </c>
      <c r="Q101" s="2">
        <f t="shared" si="14"/>
        <v>24325</v>
      </c>
      <c r="R101" s="2">
        <f t="shared" si="15"/>
        <v>4358</v>
      </c>
      <c r="S101" s="2">
        <f t="shared" si="16"/>
        <v>2999</v>
      </c>
      <c r="T101" s="2">
        <f t="shared" si="17"/>
        <v>2320</v>
      </c>
      <c r="U101" s="2">
        <f t="shared" si="18"/>
        <v>1912</v>
      </c>
      <c r="V101" s="2">
        <f t="shared" si="19"/>
        <v>1641</v>
      </c>
      <c r="W101" s="2">
        <f t="shared" si="20"/>
        <v>1301</v>
      </c>
      <c r="X101" s="2">
        <f t="shared" si="21"/>
        <v>8970</v>
      </c>
      <c r="Y101" s="2">
        <f t="shared" si="22"/>
        <v>20930</v>
      </c>
      <c r="Z101" s="2">
        <f t="shared" si="23"/>
        <v>22830</v>
      </c>
      <c r="AA101" s="2">
        <f t="shared" si="24"/>
        <v>4092</v>
      </c>
      <c r="AB101" s="2">
        <f t="shared" si="25"/>
        <v>2816</v>
      </c>
      <c r="AC101" s="2">
        <f t="shared" si="26"/>
        <v>2178</v>
      </c>
      <c r="AD101" s="2">
        <f t="shared" si="27"/>
        <v>1795</v>
      </c>
      <c r="AE101" s="2">
        <f t="shared" si="28"/>
        <v>1540</v>
      </c>
      <c r="AF101" s="2">
        <f t="shared" si="29"/>
        <v>1221</v>
      </c>
      <c r="AG101" s="2">
        <f t="shared" si="30"/>
        <v>10465</v>
      </c>
      <c r="AH101" s="2">
        <f t="shared" si="31"/>
        <v>19435</v>
      </c>
      <c r="AI101" s="2">
        <f t="shared" si="32"/>
        <v>21335</v>
      </c>
      <c r="AJ101" s="2">
        <f t="shared" si="33"/>
        <v>3825</v>
      </c>
      <c r="AK101" s="2">
        <f t="shared" si="34"/>
        <v>2633</v>
      </c>
      <c r="AL101" s="2">
        <f t="shared" si="35"/>
        <v>2036</v>
      </c>
      <c r="AM101" s="2">
        <f t="shared" si="36"/>
        <v>1679</v>
      </c>
      <c r="AN101" s="2">
        <f t="shared" si="37"/>
        <v>1440</v>
      </c>
      <c r="AO101" s="2">
        <f t="shared" si="38"/>
        <v>1142</v>
      </c>
      <c r="AP101" s="2">
        <f t="shared" si="39"/>
        <v>11960</v>
      </c>
      <c r="AQ101" s="2">
        <f t="shared" si="40"/>
        <v>17940</v>
      </c>
      <c r="AR101" s="2">
        <f t="shared" si="41"/>
        <v>19840</v>
      </c>
      <c r="AS101" s="2">
        <f t="shared" si="42"/>
        <v>3559</v>
      </c>
      <c r="AT101" s="2">
        <f t="shared" si="43"/>
        <v>2449</v>
      </c>
      <c r="AU101" s="2">
        <f t="shared" si="44"/>
        <v>1895</v>
      </c>
      <c r="AV101" s="2">
        <f t="shared" si="45"/>
        <v>1562</v>
      </c>
      <c r="AW101" s="2">
        <f t="shared" si="46"/>
        <v>1340</v>
      </c>
      <c r="AX101" s="2">
        <f t="shared" si="47"/>
        <v>1062</v>
      </c>
    </row>
    <row r="102" ht="14.25" customHeight="1">
      <c r="A102" s="2" t="str">
        <f t="array" ref="A102">IFERROR(INDEX('Product Price'!A:A,SMALL('Product Price'!$D:$D,100)),"")</f>
        <v>SAMSUNG Galaxy S25 12/512 GB</v>
      </c>
      <c r="B102" s="2">
        <f t="array" ref="B102">IFERROR(INDEX('Product Price'!B:B,SMALL('Product Price'!$D:$D,100)),"")</f>
        <v>34900</v>
      </c>
      <c r="C102" s="2">
        <f t="array" ref="C102">IFERROR(INDEX('Product Price'!C:C,SMALL('Product Price'!$D:$D,100)),"")</f>
        <v>90</v>
      </c>
      <c r="D102" s="2">
        <f t="shared" si="1"/>
        <v>1900</v>
      </c>
      <c r="E102" s="2">
        <f t="shared" si="2"/>
        <v>36800</v>
      </c>
      <c r="F102" s="2">
        <f t="shared" si="3"/>
        <v>6980</v>
      </c>
      <c r="G102" s="2">
        <f t="shared" si="4"/>
        <v>27920</v>
      </c>
      <c r="H102" s="2">
        <f t="shared" si="5"/>
        <v>29820</v>
      </c>
      <c r="I102" s="2">
        <f t="shared" si="6"/>
        <v>5337</v>
      </c>
      <c r="J102" s="2">
        <f t="shared" si="7"/>
        <v>3673</v>
      </c>
      <c r="K102" s="2">
        <f t="shared" si="8"/>
        <v>2841</v>
      </c>
      <c r="L102" s="2">
        <f t="shared" si="9"/>
        <v>2342</v>
      </c>
      <c r="M102" s="2">
        <f t="shared" si="10"/>
        <v>2009</v>
      </c>
      <c r="N102" s="2">
        <f t="shared" si="11"/>
        <v>1593</v>
      </c>
      <c r="O102" s="2">
        <f t="shared" si="12"/>
        <v>8725</v>
      </c>
      <c r="P102" s="2">
        <f t="shared" si="13"/>
        <v>26175</v>
      </c>
      <c r="Q102" s="2">
        <f t="shared" si="14"/>
        <v>28075</v>
      </c>
      <c r="R102" s="2">
        <f t="shared" si="15"/>
        <v>5026</v>
      </c>
      <c r="S102" s="2">
        <f t="shared" si="16"/>
        <v>3459</v>
      </c>
      <c r="T102" s="2">
        <f t="shared" si="17"/>
        <v>2676</v>
      </c>
      <c r="U102" s="2">
        <f t="shared" si="18"/>
        <v>2205</v>
      </c>
      <c r="V102" s="2">
        <f t="shared" si="19"/>
        <v>1892</v>
      </c>
      <c r="W102" s="2">
        <f t="shared" si="20"/>
        <v>1500</v>
      </c>
      <c r="X102" s="2">
        <f t="shared" si="21"/>
        <v>10470</v>
      </c>
      <c r="Y102" s="2">
        <f t="shared" si="22"/>
        <v>24430</v>
      </c>
      <c r="Z102" s="2">
        <f t="shared" si="23"/>
        <v>26330</v>
      </c>
      <c r="AA102" s="2">
        <f t="shared" si="24"/>
        <v>4715</v>
      </c>
      <c r="AB102" s="2">
        <f t="shared" si="25"/>
        <v>3245</v>
      </c>
      <c r="AC102" s="2">
        <f t="shared" si="26"/>
        <v>2510</v>
      </c>
      <c r="AD102" s="2">
        <f t="shared" si="27"/>
        <v>2069</v>
      </c>
      <c r="AE102" s="2">
        <f t="shared" si="28"/>
        <v>1775</v>
      </c>
      <c r="AF102" s="2">
        <f t="shared" si="29"/>
        <v>1407</v>
      </c>
      <c r="AG102" s="2">
        <f t="shared" si="30"/>
        <v>12215</v>
      </c>
      <c r="AH102" s="2">
        <f t="shared" si="31"/>
        <v>22685</v>
      </c>
      <c r="AI102" s="2">
        <f t="shared" si="32"/>
        <v>24585</v>
      </c>
      <c r="AJ102" s="2">
        <f t="shared" si="33"/>
        <v>4404</v>
      </c>
      <c r="AK102" s="2">
        <f t="shared" si="34"/>
        <v>3031</v>
      </c>
      <c r="AL102" s="2">
        <f t="shared" si="35"/>
        <v>2345</v>
      </c>
      <c r="AM102" s="2">
        <f t="shared" si="36"/>
        <v>1933</v>
      </c>
      <c r="AN102" s="2">
        <f t="shared" si="37"/>
        <v>1658</v>
      </c>
      <c r="AO102" s="2">
        <f t="shared" si="38"/>
        <v>1315</v>
      </c>
      <c r="AP102" s="2">
        <f t="shared" si="39"/>
        <v>13960</v>
      </c>
      <c r="AQ102" s="2">
        <f t="shared" si="40"/>
        <v>20940</v>
      </c>
      <c r="AR102" s="2">
        <f t="shared" si="41"/>
        <v>22840</v>
      </c>
      <c r="AS102" s="2">
        <f t="shared" si="42"/>
        <v>4094</v>
      </c>
      <c r="AT102" s="2">
        <f t="shared" si="43"/>
        <v>2817</v>
      </c>
      <c r="AU102" s="2">
        <f t="shared" si="44"/>
        <v>2179</v>
      </c>
      <c r="AV102" s="2">
        <f t="shared" si="45"/>
        <v>1796</v>
      </c>
      <c r="AW102" s="2">
        <f t="shared" si="46"/>
        <v>1541</v>
      </c>
      <c r="AX102" s="2">
        <f t="shared" si="47"/>
        <v>1222</v>
      </c>
    </row>
    <row r="103" ht="14.25" customHeight="1">
      <c r="A103" s="2" t="str">
        <f t="array" ref="A103">IFERROR(INDEX('Product Price'!A:A,SMALL('Product Price'!$D:$D,101)),"")</f>
        <v>SAMSUNG Galaxy S25+ 12/256 GB</v>
      </c>
      <c r="B103" s="2">
        <f t="array" ref="B103">IFERROR(INDEX('Product Price'!B:B,SMALL('Product Price'!$D:$D,101)),"")</f>
        <v>36900</v>
      </c>
      <c r="C103" s="2">
        <f t="array" ref="C103">IFERROR(INDEX('Product Price'!C:C,SMALL('Product Price'!$D:$D,101)),"")</f>
        <v>91</v>
      </c>
      <c r="D103" s="2">
        <f t="shared" si="1"/>
        <v>1900</v>
      </c>
      <c r="E103" s="2">
        <f t="shared" si="2"/>
        <v>38800</v>
      </c>
      <c r="F103" s="2">
        <f t="shared" si="3"/>
        <v>7380</v>
      </c>
      <c r="G103" s="2">
        <f t="shared" si="4"/>
        <v>29520</v>
      </c>
      <c r="H103" s="2">
        <f t="shared" si="5"/>
        <v>31420</v>
      </c>
      <c r="I103" s="2">
        <f t="shared" si="6"/>
        <v>5622</v>
      </c>
      <c r="J103" s="2">
        <f t="shared" si="7"/>
        <v>3869</v>
      </c>
      <c r="K103" s="2">
        <f t="shared" si="8"/>
        <v>2993</v>
      </c>
      <c r="L103" s="2">
        <f t="shared" si="9"/>
        <v>2467</v>
      </c>
      <c r="M103" s="2">
        <f t="shared" si="10"/>
        <v>2116</v>
      </c>
      <c r="N103" s="2">
        <f t="shared" si="11"/>
        <v>1678</v>
      </c>
      <c r="O103" s="2">
        <f t="shared" si="12"/>
        <v>9225</v>
      </c>
      <c r="P103" s="2">
        <f t="shared" si="13"/>
        <v>27675</v>
      </c>
      <c r="Q103" s="2">
        <f t="shared" si="14"/>
        <v>29575</v>
      </c>
      <c r="R103" s="2">
        <f t="shared" si="15"/>
        <v>5293</v>
      </c>
      <c r="S103" s="2">
        <f t="shared" si="16"/>
        <v>3643</v>
      </c>
      <c r="T103" s="2">
        <f t="shared" si="17"/>
        <v>2818</v>
      </c>
      <c r="U103" s="2">
        <f t="shared" si="18"/>
        <v>2323</v>
      </c>
      <c r="V103" s="2">
        <f t="shared" si="19"/>
        <v>1993</v>
      </c>
      <c r="W103" s="2">
        <f t="shared" si="20"/>
        <v>1580</v>
      </c>
      <c r="X103" s="2">
        <f t="shared" si="21"/>
        <v>11070</v>
      </c>
      <c r="Y103" s="2">
        <f t="shared" si="22"/>
        <v>25830</v>
      </c>
      <c r="Z103" s="2">
        <f t="shared" si="23"/>
        <v>27730</v>
      </c>
      <c r="AA103" s="2">
        <f t="shared" si="24"/>
        <v>4965</v>
      </c>
      <c r="AB103" s="2">
        <f t="shared" si="25"/>
        <v>3417</v>
      </c>
      <c r="AC103" s="2">
        <f t="shared" si="26"/>
        <v>2643</v>
      </c>
      <c r="AD103" s="2">
        <f t="shared" si="27"/>
        <v>2178</v>
      </c>
      <c r="AE103" s="2">
        <f t="shared" si="28"/>
        <v>1869</v>
      </c>
      <c r="AF103" s="2">
        <f t="shared" si="29"/>
        <v>1482</v>
      </c>
      <c r="AG103" s="2">
        <f t="shared" si="30"/>
        <v>12915</v>
      </c>
      <c r="AH103" s="2">
        <f t="shared" si="31"/>
        <v>23985</v>
      </c>
      <c r="AI103" s="2">
        <f t="shared" si="32"/>
        <v>25885</v>
      </c>
      <c r="AJ103" s="2">
        <f t="shared" si="33"/>
        <v>4636</v>
      </c>
      <c r="AK103" s="2">
        <f t="shared" si="34"/>
        <v>3191</v>
      </c>
      <c r="AL103" s="2">
        <f t="shared" si="35"/>
        <v>2468</v>
      </c>
      <c r="AM103" s="2">
        <f t="shared" si="36"/>
        <v>2034</v>
      </c>
      <c r="AN103" s="2">
        <f t="shared" si="37"/>
        <v>1745</v>
      </c>
      <c r="AO103" s="2">
        <f t="shared" si="38"/>
        <v>1384</v>
      </c>
      <c r="AP103" s="2">
        <f t="shared" si="39"/>
        <v>14760</v>
      </c>
      <c r="AQ103" s="2">
        <f t="shared" si="40"/>
        <v>22140</v>
      </c>
      <c r="AR103" s="2">
        <f t="shared" si="41"/>
        <v>24040</v>
      </c>
      <c r="AS103" s="2">
        <f t="shared" si="42"/>
        <v>4307</v>
      </c>
      <c r="AT103" s="2">
        <f t="shared" si="43"/>
        <v>2964</v>
      </c>
      <c r="AU103" s="2">
        <f t="shared" si="44"/>
        <v>2293</v>
      </c>
      <c r="AV103" s="2">
        <f t="shared" si="45"/>
        <v>1890</v>
      </c>
      <c r="AW103" s="2">
        <f t="shared" si="46"/>
        <v>1621</v>
      </c>
      <c r="AX103" s="2">
        <f t="shared" si="47"/>
        <v>1286</v>
      </c>
    </row>
    <row r="104" ht="14.25" customHeight="1">
      <c r="A104" s="2" t="str">
        <f t="array" ref="A104">IFERROR(INDEX('Product Price'!A:A,SMALL('Product Price'!$D:$D,102)),"")</f>
        <v>SAMSUNG Galaxy S25+ 12/512 GB</v>
      </c>
      <c r="B104" s="2">
        <f t="array" ref="B104">IFERROR(INDEX('Product Price'!B:B,SMALL('Product Price'!$D:$D,102)),"")</f>
        <v>41900</v>
      </c>
      <c r="C104" s="2">
        <f t="array" ref="C104">IFERROR(INDEX('Product Price'!C:C,SMALL('Product Price'!$D:$D,102)),"")</f>
        <v>92</v>
      </c>
      <c r="D104" s="2">
        <f t="shared" si="1"/>
        <v>2475</v>
      </c>
      <c r="E104" s="2">
        <f t="shared" si="2"/>
        <v>44375</v>
      </c>
      <c r="F104" s="2">
        <f t="shared" si="3"/>
        <v>8380</v>
      </c>
      <c r="G104" s="2">
        <f t="shared" si="4"/>
        <v>33520</v>
      </c>
      <c r="H104" s="2">
        <f t="shared" si="5"/>
        <v>35995</v>
      </c>
      <c r="I104" s="2">
        <f t="shared" si="6"/>
        <v>6444</v>
      </c>
      <c r="J104" s="2">
        <f t="shared" si="7"/>
        <v>4435</v>
      </c>
      <c r="K104" s="2">
        <f t="shared" si="8"/>
        <v>3430</v>
      </c>
      <c r="L104" s="2">
        <f t="shared" si="9"/>
        <v>2828</v>
      </c>
      <c r="M104" s="2">
        <f t="shared" si="10"/>
        <v>2426</v>
      </c>
      <c r="N104" s="2">
        <f t="shared" si="11"/>
        <v>1923</v>
      </c>
      <c r="O104" s="2">
        <f t="shared" si="12"/>
        <v>10475</v>
      </c>
      <c r="P104" s="2">
        <f t="shared" si="13"/>
        <v>31425</v>
      </c>
      <c r="Q104" s="2">
        <f t="shared" si="14"/>
        <v>33900</v>
      </c>
      <c r="R104" s="2">
        <f t="shared" si="15"/>
        <v>6071</v>
      </c>
      <c r="S104" s="2">
        <f t="shared" si="16"/>
        <v>4178</v>
      </c>
      <c r="T104" s="2">
        <f t="shared" si="17"/>
        <v>3232</v>
      </c>
      <c r="U104" s="2">
        <f t="shared" si="18"/>
        <v>2664</v>
      </c>
      <c r="V104" s="2">
        <f t="shared" si="19"/>
        <v>2285</v>
      </c>
      <c r="W104" s="2">
        <f t="shared" si="20"/>
        <v>1812</v>
      </c>
      <c r="X104" s="2">
        <f t="shared" si="21"/>
        <v>12570</v>
      </c>
      <c r="Y104" s="2">
        <f t="shared" si="22"/>
        <v>29330</v>
      </c>
      <c r="Z104" s="2">
        <f t="shared" si="23"/>
        <v>31805</v>
      </c>
      <c r="AA104" s="2">
        <f t="shared" si="24"/>
        <v>5698</v>
      </c>
      <c r="AB104" s="2">
        <f t="shared" si="25"/>
        <v>3921</v>
      </c>
      <c r="AC104" s="2">
        <f t="shared" si="26"/>
        <v>3033</v>
      </c>
      <c r="AD104" s="2">
        <f t="shared" si="27"/>
        <v>2500</v>
      </c>
      <c r="AE104" s="2">
        <f t="shared" si="28"/>
        <v>2145</v>
      </c>
      <c r="AF104" s="2">
        <f t="shared" si="29"/>
        <v>1701</v>
      </c>
      <c r="AG104" s="2">
        <f t="shared" si="30"/>
        <v>14665</v>
      </c>
      <c r="AH104" s="2">
        <f t="shared" si="31"/>
        <v>27235</v>
      </c>
      <c r="AI104" s="2">
        <f t="shared" si="32"/>
        <v>29710</v>
      </c>
      <c r="AJ104" s="2">
        <f t="shared" si="33"/>
        <v>5325</v>
      </c>
      <c r="AK104" s="2">
        <f t="shared" si="34"/>
        <v>3665</v>
      </c>
      <c r="AL104" s="2">
        <f t="shared" si="35"/>
        <v>2834</v>
      </c>
      <c r="AM104" s="2">
        <f t="shared" si="36"/>
        <v>2336</v>
      </c>
      <c r="AN104" s="2">
        <f t="shared" si="37"/>
        <v>2004</v>
      </c>
      <c r="AO104" s="2">
        <f t="shared" si="38"/>
        <v>1589</v>
      </c>
      <c r="AP104" s="2">
        <f t="shared" si="39"/>
        <v>16760</v>
      </c>
      <c r="AQ104" s="2">
        <f t="shared" si="40"/>
        <v>25140</v>
      </c>
      <c r="AR104" s="2">
        <f t="shared" si="41"/>
        <v>27615</v>
      </c>
      <c r="AS104" s="2">
        <f t="shared" si="42"/>
        <v>4951</v>
      </c>
      <c r="AT104" s="2">
        <f t="shared" si="43"/>
        <v>3408</v>
      </c>
      <c r="AU104" s="2">
        <f t="shared" si="44"/>
        <v>2636</v>
      </c>
      <c r="AV104" s="2">
        <f t="shared" si="45"/>
        <v>2173</v>
      </c>
      <c r="AW104" s="2">
        <f t="shared" si="46"/>
        <v>1864</v>
      </c>
      <c r="AX104" s="2">
        <f t="shared" si="47"/>
        <v>1478</v>
      </c>
    </row>
    <row r="105" ht="14.25" customHeight="1">
      <c r="A105" s="2" t="str">
        <f t="array" ref="A105">IFERROR(INDEX('Product Price'!A:A,SMALL('Product Price'!$D:$D,103)),"")</f>
        <v>SAMSUNG Galaxy S25 Ultra 12/256 GB</v>
      </c>
      <c r="B105" s="2">
        <f t="array" ref="B105">IFERROR(INDEX('Product Price'!B:B,SMALL('Product Price'!$D:$D,103)),"")</f>
        <v>42900</v>
      </c>
      <c r="C105" s="2">
        <f t="array" ref="C105">IFERROR(INDEX('Product Price'!C:C,SMALL('Product Price'!$D:$D,103)),"")</f>
        <v>93</v>
      </c>
      <c r="D105" s="2">
        <f t="shared" si="1"/>
        <v>2475</v>
      </c>
      <c r="E105" s="2">
        <f t="shared" si="2"/>
        <v>45375</v>
      </c>
      <c r="F105" s="2">
        <f t="shared" si="3"/>
        <v>8580</v>
      </c>
      <c r="G105" s="2">
        <f t="shared" si="4"/>
        <v>34320</v>
      </c>
      <c r="H105" s="2">
        <f t="shared" si="5"/>
        <v>36795</v>
      </c>
      <c r="I105" s="2">
        <f t="shared" si="6"/>
        <v>6587</v>
      </c>
      <c r="J105" s="2">
        <f t="shared" si="7"/>
        <v>4533</v>
      </c>
      <c r="K105" s="2">
        <f t="shared" si="8"/>
        <v>3506</v>
      </c>
      <c r="L105" s="2">
        <f t="shared" si="9"/>
        <v>2890</v>
      </c>
      <c r="M105" s="2">
        <f t="shared" si="10"/>
        <v>2479</v>
      </c>
      <c r="N105" s="2">
        <f t="shared" si="11"/>
        <v>1966</v>
      </c>
      <c r="O105" s="2">
        <f t="shared" si="12"/>
        <v>10725</v>
      </c>
      <c r="P105" s="2">
        <f t="shared" si="13"/>
        <v>32175</v>
      </c>
      <c r="Q105" s="2">
        <f t="shared" si="14"/>
        <v>34650</v>
      </c>
      <c r="R105" s="2">
        <f t="shared" si="15"/>
        <v>6205</v>
      </c>
      <c r="S105" s="2">
        <f t="shared" si="16"/>
        <v>4270</v>
      </c>
      <c r="T105" s="2">
        <f t="shared" si="17"/>
        <v>3303</v>
      </c>
      <c r="U105" s="2">
        <f t="shared" si="18"/>
        <v>2723</v>
      </c>
      <c r="V105" s="2">
        <f t="shared" si="19"/>
        <v>2336</v>
      </c>
      <c r="W105" s="2">
        <f t="shared" si="20"/>
        <v>1852</v>
      </c>
      <c r="X105" s="2">
        <f t="shared" si="21"/>
        <v>12870</v>
      </c>
      <c r="Y105" s="2">
        <f t="shared" si="22"/>
        <v>30030</v>
      </c>
      <c r="Z105" s="2">
        <f t="shared" si="23"/>
        <v>32505</v>
      </c>
      <c r="AA105" s="2">
        <f t="shared" si="24"/>
        <v>5823</v>
      </c>
      <c r="AB105" s="2">
        <f t="shared" si="25"/>
        <v>4007</v>
      </c>
      <c r="AC105" s="2">
        <f t="shared" si="26"/>
        <v>3099</v>
      </c>
      <c r="AD105" s="2">
        <f t="shared" si="27"/>
        <v>2555</v>
      </c>
      <c r="AE105" s="2">
        <f t="shared" si="28"/>
        <v>2192</v>
      </c>
      <c r="AF105" s="2">
        <f t="shared" si="29"/>
        <v>1738</v>
      </c>
      <c r="AG105" s="2">
        <f t="shared" si="30"/>
        <v>15015</v>
      </c>
      <c r="AH105" s="2">
        <f t="shared" si="31"/>
        <v>27885</v>
      </c>
      <c r="AI105" s="2">
        <f t="shared" si="32"/>
        <v>30360</v>
      </c>
      <c r="AJ105" s="2">
        <f t="shared" si="33"/>
        <v>5441</v>
      </c>
      <c r="AK105" s="2">
        <f t="shared" si="34"/>
        <v>3744</v>
      </c>
      <c r="AL105" s="2">
        <f t="shared" si="35"/>
        <v>2896</v>
      </c>
      <c r="AM105" s="2">
        <f t="shared" si="36"/>
        <v>2387</v>
      </c>
      <c r="AN105" s="2">
        <f t="shared" si="37"/>
        <v>2048</v>
      </c>
      <c r="AO105" s="2">
        <f t="shared" si="38"/>
        <v>1624</v>
      </c>
      <c r="AP105" s="2">
        <f t="shared" si="39"/>
        <v>17160</v>
      </c>
      <c r="AQ105" s="2">
        <f t="shared" si="40"/>
        <v>25740</v>
      </c>
      <c r="AR105" s="2">
        <f t="shared" si="41"/>
        <v>28215</v>
      </c>
      <c r="AS105" s="2">
        <f t="shared" si="42"/>
        <v>5058</v>
      </c>
      <c r="AT105" s="2">
        <f t="shared" si="43"/>
        <v>3481</v>
      </c>
      <c r="AU105" s="2">
        <f t="shared" si="44"/>
        <v>2693</v>
      </c>
      <c r="AV105" s="2">
        <f t="shared" si="45"/>
        <v>2220</v>
      </c>
      <c r="AW105" s="2">
        <f t="shared" si="46"/>
        <v>1904</v>
      </c>
      <c r="AX105" s="2">
        <f t="shared" si="47"/>
        <v>1510</v>
      </c>
    </row>
    <row r="106" ht="14.25" customHeight="1">
      <c r="A106" s="2" t="str">
        <f t="array" ref="A106">IFERROR(INDEX('Product Price'!A:A,SMALL('Product Price'!$D:$D,104)),"")</f>
        <v>SAMSUNG Galaxy S26 12/256 GB</v>
      </c>
      <c r="B106" s="2">
        <f t="array" ref="B106">IFERROR(INDEX('Product Price'!B:B,SMALL('Product Price'!$D:$D,104)),"")</f>
        <v>33900</v>
      </c>
      <c r="C106" s="2">
        <f t="array" ref="C106">IFERROR(INDEX('Product Price'!C:C,SMALL('Product Price'!$D:$D,104)),"")</f>
        <v>94</v>
      </c>
      <c r="D106" s="2">
        <f t="shared" si="1"/>
        <v>1900</v>
      </c>
      <c r="E106" s="2">
        <f t="shared" si="2"/>
        <v>35800</v>
      </c>
      <c r="F106" s="2">
        <f t="shared" si="3"/>
        <v>6780</v>
      </c>
      <c r="G106" s="2">
        <f t="shared" si="4"/>
        <v>27120</v>
      </c>
      <c r="H106" s="2">
        <f t="shared" si="5"/>
        <v>29020</v>
      </c>
      <c r="I106" s="2">
        <f t="shared" si="6"/>
        <v>5195</v>
      </c>
      <c r="J106" s="2">
        <f t="shared" si="7"/>
        <v>3575</v>
      </c>
      <c r="K106" s="2">
        <f t="shared" si="8"/>
        <v>2765</v>
      </c>
      <c r="L106" s="2">
        <f t="shared" si="9"/>
        <v>2279</v>
      </c>
      <c r="M106" s="2">
        <f t="shared" si="10"/>
        <v>1955</v>
      </c>
      <c r="N106" s="2">
        <f t="shared" si="11"/>
        <v>1550</v>
      </c>
      <c r="O106" s="2">
        <f t="shared" si="12"/>
        <v>8475</v>
      </c>
      <c r="P106" s="2">
        <f t="shared" si="13"/>
        <v>25425</v>
      </c>
      <c r="Q106" s="2">
        <f t="shared" si="14"/>
        <v>27325</v>
      </c>
      <c r="R106" s="2">
        <f t="shared" si="15"/>
        <v>4893</v>
      </c>
      <c r="S106" s="2">
        <f t="shared" si="16"/>
        <v>3367</v>
      </c>
      <c r="T106" s="2">
        <f t="shared" si="17"/>
        <v>2604</v>
      </c>
      <c r="U106" s="2">
        <f t="shared" si="18"/>
        <v>2147</v>
      </c>
      <c r="V106" s="2">
        <f t="shared" si="19"/>
        <v>1842</v>
      </c>
      <c r="W106" s="2">
        <f t="shared" si="20"/>
        <v>1460</v>
      </c>
      <c r="X106" s="2">
        <f t="shared" si="21"/>
        <v>10170</v>
      </c>
      <c r="Y106" s="2">
        <f t="shared" si="22"/>
        <v>23730</v>
      </c>
      <c r="Z106" s="2">
        <f t="shared" si="23"/>
        <v>25630</v>
      </c>
      <c r="AA106" s="2">
        <f t="shared" si="24"/>
        <v>4591</v>
      </c>
      <c r="AB106" s="2">
        <f t="shared" si="25"/>
        <v>3159</v>
      </c>
      <c r="AC106" s="2">
        <f t="shared" si="26"/>
        <v>2444</v>
      </c>
      <c r="AD106" s="2">
        <f t="shared" si="27"/>
        <v>2014</v>
      </c>
      <c r="AE106" s="2">
        <f t="shared" si="28"/>
        <v>1728</v>
      </c>
      <c r="AF106" s="2">
        <f t="shared" si="29"/>
        <v>1370</v>
      </c>
      <c r="AG106" s="2">
        <f t="shared" si="30"/>
        <v>11865</v>
      </c>
      <c r="AH106" s="2">
        <f t="shared" si="31"/>
        <v>22035</v>
      </c>
      <c r="AI106" s="2">
        <f t="shared" si="32"/>
        <v>23935</v>
      </c>
      <c r="AJ106" s="2">
        <f t="shared" si="33"/>
        <v>4289</v>
      </c>
      <c r="AK106" s="2">
        <f t="shared" si="34"/>
        <v>2952</v>
      </c>
      <c r="AL106" s="2">
        <f t="shared" si="35"/>
        <v>2283</v>
      </c>
      <c r="AM106" s="2">
        <f t="shared" si="36"/>
        <v>1882</v>
      </c>
      <c r="AN106" s="2">
        <f t="shared" si="37"/>
        <v>1614</v>
      </c>
      <c r="AO106" s="2">
        <f t="shared" si="38"/>
        <v>1280</v>
      </c>
      <c r="AP106" s="2">
        <f t="shared" si="39"/>
        <v>13560</v>
      </c>
      <c r="AQ106" s="2">
        <f t="shared" si="40"/>
        <v>20340</v>
      </c>
      <c r="AR106" s="2">
        <f t="shared" si="41"/>
        <v>22240</v>
      </c>
      <c r="AS106" s="2">
        <f t="shared" si="42"/>
        <v>3987</v>
      </c>
      <c r="AT106" s="2">
        <f t="shared" si="43"/>
        <v>2744</v>
      </c>
      <c r="AU106" s="2">
        <f t="shared" si="44"/>
        <v>2122</v>
      </c>
      <c r="AV106" s="2">
        <f t="shared" si="45"/>
        <v>1749</v>
      </c>
      <c r="AW106" s="2">
        <f t="shared" si="46"/>
        <v>1501</v>
      </c>
      <c r="AX106" s="2">
        <f t="shared" si="47"/>
        <v>1190</v>
      </c>
    </row>
    <row r="107" ht="14.25" customHeight="1">
      <c r="A107" s="2" t="str">
        <f t="array" ref="A107">IFERROR(INDEX('Product Price'!A:A,SMALL('Product Price'!$D:$D,105)),"")</f>
        <v>SAMSUNG Galaxy S26 12/512 GB</v>
      </c>
      <c r="B107" s="2">
        <f t="array" ref="B107">IFERROR(INDEX('Product Price'!B:B,SMALL('Product Price'!$D:$D,105)),"")</f>
        <v>41900</v>
      </c>
      <c r="C107" s="2">
        <f t="array" ref="C107">IFERROR(INDEX('Product Price'!C:C,SMALL('Product Price'!$D:$D,105)),"")</f>
        <v>95</v>
      </c>
      <c r="D107" s="2">
        <f t="shared" si="1"/>
        <v>2475</v>
      </c>
      <c r="E107" s="2">
        <f t="shared" si="2"/>
        <v>44375</v>
      </c>
      <c r="F107" s="2">
        <f t="shared" si="3"/>
        <v>8380</v>
      </c>
      <c r="G107" s="2">
        <f t="shared" si="4"/>
        <v>33520</v>
      </c>
      <c r="H107" s="2">
        <f t="shared" si="5"/>
        <v>35995</v>
      </c>
      <c r="I107" s="2">
        <f t="shared" si="6"/>
        <v>6444</v>
      </c>
      <c r="J107" s="2">
        <f t="shared" si="7"/>
        <v>4435</v>
      </c>
      <c r="K107" s="2">
        <f t="shared" si="8"/>
        <v>3430</v>
      </c>
      <c r="L107" s="2">
        <f t="shared" si="9"/>
        <v>2828</v>
      </c>
      <c r="M107" s="2">
        <f t="shared" si="10"/>
        <v>2426</v>
      </c>
      <c r="N107" s="2">
        <f t="shared" si="11"/>
        <v>1923</v>
      </c>
      <c r="O107" s="2">
        <f t="shared" si="12"/>
        <v>10475</v>
      </c>
      <c r="P107" s="2">
        <f t="shared" si="13"/>
        <v>31425</v>
      </c>
      <c r="Q107" s="2">
        <f t="shared" si="14"/>
        <v>33900</v>
      </c>
      <c r="R107" s="2">
        <f t="shared" si="15"/>
        <v>6071</v>
      </c>
      <c r="S107" s="2">
        <f t="shared" si="16"/>
        <v>4178</v>
      </c>
      <c r="T107" s="2">
        <f t="shared" si="17"/>
        <v>3232</v>
      </c>
      <c r="U107" s="2">
        <f t="shared" si="18"/>
        <v>2664</v>
      </c>
      <c r="V107" s="2">
        <f t="shared" si="19"/>
        <v>2285</v>
      </c>
      <c r="W107" s="2">
        <f t="shared" si="20"/>
        <v>1812</v>
      </c>
      <c r="X107" s="2">
        <f t="shared" si="21"/>
        <v>12570</v>
      </c>
      <c r="Y107" s="2">
        <f t="shared" si="22"/>
        <v>29330</v>
      </c>
      <c r="Z107" s="2">
        <f t="shared" si="23"/>
        <v>31805</v>
      </c>
      <c r="AA107" s="2">
        <f t="shared" si="24"/>
        <v>5698</v>
      </c>
      <c r="AB107" s="2">
        <f t="shared" si="25"/>
        <v>3921</v>
      </c>
      <c r="AC107" s="2">
        <f t="shared" si="26"/>
        <v>3033</v>
      </c>
      <c r="AD107" s="2">
        <f t="shared" si="27"/>
        <v>2500</v>
      </c>
      <c r="AE107" s="2">
        <f t="shared" si="28"/>
        <v>2145</v>
      </c>
      <c r="AF107" s="2">
        <f t="shared" si="29"/>
        <v>1701</v>
      </c>
      <c r="AG107" s="2">
        <f t="shared" si="30"/>
        <v>14665</v>
      </c>
      <c r="AH107" s="2">
        <f t="shared" si="31"/>
        <v>27235</v>
      </c>
      <c r="AI107" s="2">
        <f t="shared" si="32"/>
        <v>29710</v>
      </c>
      <c r="AJ107" s="2">
        <f t="shared" si="33"/>
        <v>5325</v>
      </c>
      <c r="AK107" s="2">
        <f t="shared" si="34"/>
        <v>3665</v>
      </c>
      <c r="AL107" s="2">
        <f t="shared" si="35"/>
        <v>2834</v>
      </c>
      <c r="AM107" s="2">
        <f t="shared" si="36"/>
        <v>2336</v>
      </c>
      <c r="AN107" s="2">
        <f t="shared" si="37"/>
        <v>2004</v>
      </c>
      <c r="AO107" s="2">
        <f t="shared" si="38"/>
        <v>1589</v>
      </c>
      <c r="AP107" s="2">
        <f t="shared" si="39"/>
        <v>16760</v>
      </c>
      <c r="AQ107" s="2">
        <f t="shared" si="40"/>
        <v>25140</v>
      </c>
      <c r="AR107" s="2">
        <f t="shared" si="41"/>
        <v>27615</v>
      </c>
      <c r="AS107" s="2">
        <f t="shared" si="42"/>
        <v>4951</v>
      </c>
      <c r="AT107" s="2">
        <f t="shared" si="43"/>
        <v>3408</v>
      </c>
      <c r="AU107" s="2">
        <f t="shared" si="44"/>
        <v>2636</v>
      </c>
      <c r="AV107" s="2">
        <f t="shared" si="45"/>
        <v>2173</v>
      </c>
      <c r="AW107" s="2">
        <f t="shared" si="46"/>
        <v>1864</v>
      </c>
      <c r="AX107" s="2">
        <f t="shared" si="47"/>
        <v>1478</v>
      </c>
    </row>
    <row r="108" ht="14.25" customHeight="1">
      <c r="A108" s="2" t="str">
        <f t="array" ref="A108">IFERROR(INDEX('Product Price'!A:A,SMALL('Product Price'!$D:$D,106)),"")</f>
        <v>SAMSUNG Galaxy S26+ 12/256 GB</v>
      </c>
      <c r="B108" s="2">
        <f t="array" ref="B108">IFERROR(INDEX('Product Price'!B:B,SMALL('Product Price'!$D:$D,106)),"")</f>
        <v>40900</v>
      </c>
      <c r="C108" s="2">
        <f t="array" ref="C108">IFERROR(INDEX('Product Price'!C:C,SMALL('Product Price'!$D:$D,106)),"")</f>
        <v>96</v>
      </c>
      <c r="D108" s="2">
        <f t="shared" si="1"/>
        <v>2475</v>
      </c>
      <c r="E108" s="2">
        <f t="shared" si="2"/>
        <v>43375</v>
      </c>
      <c r="F108" s="2">
        <f t="shared" si="3"/>
        <v>8180</v>
      </c>
      <c r="G108" s="2">
        <f t="shared" si="4"/>
        <v>32720</v>
      </c>
      <c r="H108" s="2">
        <f t="shared" si="5"/>
        <v>35195</v>
      </c>
      <c r="I108" s="2">
        <f t="shared" si="6"/>
        <v>6302</v>
      </c>
      <c r="J108" s="2">
        <f t="shared" si="7"/>
        <v>4337</v>
      </c>
      <c r="K108" s="2">
        <f t="shared" si="8"/>
        <v>3355</v>
      </c>
      <c r="L108" s="2">
        <f t="shared" si="9"/>
        <v>2765</v>
      </c>
      <c r="M108" s="2">
        <f t="shared" si="10"/>
        <v>2372</v>
      </c>
      <c r="N108" s="2">
        <f t="shared" si="11"/>
        <v>1881</v>
      </c>
      <c r="O108" s="2">
        <f t="shared" si="12"/>
        <v>10225</v>
      </c>
      <c r="P108" s="2">
        <f t="shared" si="13"/>
        <v>30675</v>
      </c>
      <c r="Q108" s="2">
        <f t="shared" si="14"/>
        <v>33150</v>
      </c>
      <c r="R108" s="2">
        <f t="shared" si="15"/>
        <v>5938</v>
      </c>
      <c r="S108" s="2">
        <f t="shared" si="16"/>
        <v>4086</v>
      </c>
      <c r="T108" s="2">
        <f t="shared" si="17"/>
        <v>3161</v>
      </c>
      <c r="U108" s="2">
        <f t="shared" si="18"/>
        <v>2605</v>
      </c>
      <c r="V108" s="2">
        <f t="shared" si="19"/>
        <v>2235</v>
      </c>
      <c r="W108" s="2">
        <f t="shared" si="20"/>
        <v>1772</v>
      </c>
      <c r="X108" s="2">
        <f t="shared" si="21"/>
        <v>12270</v>
      </c>
      <c r="Y108" s="2">
        <f t="shared" si="22"/>
        <v>28630</v>
      </c>
      <c r="Z108" s="2">
        <f t="shared" si="23"/>
        <v>31105</v>
      </c>
      <c r="AA108" s="2">
        <f t="shared" si="24"/>
        <v>5573</v>
      </c>
      <c r="AB108" s="2">
        <f t="shared" si="25"/>
        <v>3836</v>
      </c>
      <c r="AC108" s="2">
        <f t="shared" si="26"/>
        <v>2967</v>
      </c>
      <c r="AD108" s="2">
        <f t="shared" si="27"/>
        <v>2445</v>
      </c>
      <c r="AE108" s="2">
        <f t="shared" si="28"/>
        <v>2098</v>
      </c>
      <c r="AF108" s="2">
        <f t="shared" si="29"/>
        <v>1663</v>
      </c>
      <c r="AG108" s="2">
        <f t="shared" si="30"/>
        <v>14315</v>
      </c>
      <c r="AH108" s="2">
        <f t="shared" si="31"/>
        <v>26585</v>
      </c>
      <c r="AI108" s="2">
        <f t="shared" si="32"/>
        <v>29060</v>
      </c>
      <c r="AJ108" s="2">
        <f t="shared" si="33"/>
        <v>5209</v>
      </c>
      <c r="AK108" s="2">
        <f t="shared" si="34"/>
        <v>3585</v>
      </c>
      <c r="AL108" s="2">
        <f t="shared" si="35"/>
        <v>2773</v>
      </c>
      <c r="AM108" s="2">
        <f t="shared" si="36"/>
        <v>2286</v>
      </c>
      <c r="AN108" s="2">
        <f t="shared" si="37"/>
        <v>1961</v>
      </c>
      <c r="AO108" s="2">
        <f t="shared" si="38"/>
        <v>1555</v>
      </c>
      <c r="AP108" s="2">
        <f t="shared" si="39"/>
        <v>16360</v>
      </c>
      <c r="AQ108" s="2">
        <f t="shared" si="40"/>
        <v>24540</v>
      </c>
      <c r="AR108" s="2">
        <f t="shared" si="41"/>
        <v>27015</v>
      </c>
      <c r="AS108" s="2">
        <f t="shared" si="42"/>
        <v>4845</v>
      </c>
      <c r="AT108" s="2">
        <f t="shared" si="43"/>
        <v>3334</v>
      </c>
      <c r="AU108" s="2">
        <f t="shared" si="44"/>
        <v>2579</v>
      </c>
      <c r="AV108" s="2">
        <f t="shared" si="45"/>
        <v>2126</v>
      </c>
      <c r="AW108" s="2">
        <f t="shared" si="46"/>
        <v>1824</v>
      </c>
      <c r="AX108" s="2">
        <f t="shared" si="47"/>
        <v>1446</v>
      </c>
    </row>
    <row r="109" ht="14.25" customHeight="1">
      <c r="A109" s="2" t="str">
        <f t="array" ref="A109">IFERROR(INDEX('Product Price'!A:A,SMALL('Product Price'!$D:$D,107)),"")</f>
        <v>SAMSUNG Galaxy S26+ 12/512 GB</v>
      </c>
      <c r="B109" s="2">
        <f t="array" ref="B109">IFERROR(INDEX('Product Price'!B:B,SMALL('Product Price'!$D:$D,107)),"")</f>
        <v>48900</v>
      </c>
      <c r="C109" s="2">
        <f t="array" ref="C109">IFERROR(INDEX('Product Price'!C:C,SMALL('Product Price'!$D:$D,107)),"")</f>
        <v>97</v>
      </c>
      <c r="D109" s="2">
        <f t="shared" si="1"/>
        <v>2475</v>
      </c>
      <c r="E109" s="2">
        <f t="shared" si="2"/>
        <v>51375</v>
      </c>
      <c r="F109" s="2">
        <f t="shared" si="3"/>
        <v>9780</v>
      </c>
      <c r="G109" s="2">
        <f t="shared" si="4"/>
        <v>39120</v>
      </c>
      <c r="H109" s="2">
        <f t="shared" si="5"/>
        <v>41595</v>
      </c>
      <c r="I109" s="2">
        <f t="shared" si="6"/>
        <v>7442</v>
      </c>
      <c r="J109" s="2">
        <f t="shared" si="7"/>
        <v>5122</v>
      </c>
      <c r="K109" s="2">
        <f t="shared" si="8"/>
        <v>3962</v>
      </c>
      <c r="L109" s="2">
        <f t="shared" si="9"/>
        <v>3265</v>
      </c>
      <c r="M109" s="2">
        <f t="shared" si="10"/>
        <v>2801</v>
      </c>
      <c r="N109" s="2">
        <f t="shared" si="11"/>
        <v>2221</v>
      </c>
      <c r="O109" s="2">
        <f t="shared" si="12"/>
        <v>12225</v>
      </c>
      <c r="P109" s="2">
        <f t="shared" si="13"/>
        <v>36675</v>
      </c>
      <c r="Q109" s="2">
        <f t="shared" si="14"/>
        <v>39150</v>
      </c>
      <c r="R109" s="2">
        <f t="shared" si="15"/>
        <v>7007</v>
      </c>
      <c r="S109" s="2">
        <f t="shared" si="16"/>
        <v>4822</v>
      </c>
      <c r="T109" s="2">
        <f t="shared" si="17"/>
        <v>3730</v>
      </c>
      <c r="U109" s="2">
        <f t="shared" si="18"/>
        <v>3074</v>
      </c>
      <c r="V109" s="2">
        <f t="shared" si="19"/>
        <v>2637</v>
      </c>
      <c r="W109" s="2">
        <f t="shared" si="20"/>
        <v>2091</v>
      </c>
      <c r="X109" s="2">
        <f t="shared" si="21"/>
        <v>14670</v>
      </c>
      <c r="Y109" s="2">
        <f t="shared" si="22"/>
        <v>34230</v>
      </c>
      <c r="Z109" s="2">
        <f t="shared" si="23"/>
        <v>36705</v>
      </c>
      <c r="AA109" s="2">
        <f t="shared" si="24"/>
        <v>6571</v>
      </c>
      <c r="AB109" s="2">
        <f t="shared" si="25"/>
        <v>4522</v>
      </c>
      <c r="AC109" s="2">
        <f t="shared" si="26"/>
        <v>3498</v>
      </c>
      <c r="AD109" s="2">
        <f t="shared" si="27"/>
        <v>2883</v>
      </c>
      <c r="AE109" s="2">
        <f t="shared" si="28"/>
        <v>2473</v>
      </c>
      <c r="AF109" s="2">
        <f t="shared" si="29"/>
        <v>1961</v>
      </c>
      <c r="AG109" s="2">
        <f t="shared" si="30"/>
        <v>17115</v>
      </c>
      <c r="AH109" s="2">
        <f t="shared" si="31"/>
        <v>31785</v>
      </c>
      <c r="AI109" s="2">
        <f t="shared" si="32"/>
        <v>34260</v>
      </c>
      <c r="AJ109" s="2">
        <f t="shared" si="33"/>
        <v>6135</v>
      </c>
      <c r="AK109" s="2">
        <f t="shared" si="34"/>
        <v>4222</v>
      </c>
      <c r="AL109" s="2">
        <f t="shared" si="35"/>
        <v>3266</v>
      </c>
      <c r="AM109" s="2">
        <f t="shared" si="36"/>
        <v>2692</v>
      </c>
      <c r="AN109" s="2">
        <f t="shared" si="37"/>
        <v>2309</v>
      </c>
      <c r="AO109" s="2">
        <f t="shared" si="38"/>
        <v>1831</v>
      </c>
      <c r="AP109" s="2">
        <f t="shared" si="39"/>
        <v>19560</v>
      </c>
      <c r="AQ109" s="2">
        <f t="shared" si="40"/>
        <v>29340</v>
      </c>
      <c r="AR109" s="2">
        <f t="shared" si="41"/>
        <v>31815</v>
      </c>
      <c r="AS109" s="2">
        <f t="shared" si="42"/>
        <v>5700</v>
      </c>
      <c r="AT109" s="2">
        <f t="shared" si="43"/>
        <v>3923</v>
      </c>
      <c r="AU109" s="2">
        <f t="shared" si="44"/>
        <v>3034</v>
      </c>
      <c r="AV109" s="2">
        <f t="shared" si="45"/>
        <v>2501</v>
      </c>
      <c r="AW109" s="2">
        <f t="shared" si="46"/>
        <v>2145</v>
      </c>
      <c r="AX109" s="2">
        <f t="shared" si="47"/>
        <v>1701</v>
      </c>
    </row>
    <row r="110" ht="14.25" customHeight="1">
      <c r="A110" s="2" t="str">
        <f t="array" ref="A110">IFERROR(INDEX('Product Price'!A:A,SMALL('Product Price'!$D:$D,108)),"")</f>
        <v>SAMSUNG Galaxy S26 Ultra 12/256 GB</v>
      </c>
      <c r="B110" s="2">
        <f t="array" ref="B110">IFERROR(INDEX('Product Price'!B:B,SMALL('Product Price'!$D:$D,108)),"")</f>
        <v>46900</v>
      </c>
      <c r="C110" s="2">
        <f t="array" ref="C110">IFERROR(INDEX('Product Price'!C:C,SMALL('Product Price'!$D:$D,108)),"")</f>
        <v>98</v>
      </c>
      <c r="D110" s="2">
        <f t="shared" si="1"/>
        <v>2475</v>
      </c>
      <c r="E110" s="2">
        <f t="shared" si="2"/>
        <v>49375</v>
      </c>
      <c r="F110" s="2">
        <f t="shared" si="3"/>
        <v>9380</v>
      </c>
      <c r="G110" s="2">
        <f t="shared" si="4"/>
        <v>37520</v>
      </c>
      <c r="H110" s="2">
        <f t="shared" si="5"/>
        <v>39995</v>
      </c>
      <c r="I110" s="2">
        <f t="shared" si="6"/>
        <v>7157</v>
      </c>
      <c r="J110" s="2">
        <f t="shared" si="7"/>
        <v>4926</v>
      </c>
      <c r="K110" s="2">
        <f t="shared" si="8"/>
        <v>3810</v>
      </c>
      <c r="L110" s="2">
        <f t="shared" si="9"/>
        <v>3140</v>
      </c>
      <c r="M110" s="2">
        <f t="shared" si="10"/>
        <v>2694</v>
      </c>
      <c r="N110" s="2">
        <f t="shared" si="11"/>
        <v>2136</v>
      </c>
      <c r="O110" s="2">
        <f t="shared" si="12"/>
        <v>11725</v>
      </c>
      <c r="P110" s="2">
        <f t="shared" si="13"/>
        <v>35175</v>
      </c>
      <c r="Q110" s="2">
        <f t="shared" si="14"/>
        <v>37650</v>
      </c>
      <c r="R110" s="2">
        <f t="shared" si="15"/>
        <v>6739</v>
      </c>
      <c r="S110" s="2">
        <f t="shared" si="16"/>
        <v>4638</v>
      </c>
      <c r="T110" s="2">
        <f t="shared" si="17"/>
        <v>3587</v>
      </c>
      <c r="U110" s="2">
        <f t="shared" si="18"/>
        <v>2957</v>
      </c>
      <c r="V110" s="2">
        <f t="shared" si="19"/>
        <v>2537</v>
      </c>
      <c r="W110" s="2">
        <f t="shared" si="20"/>
        <v>2011</v>
      </c>
      <c r="X110" s="2">
        <f t="shared" si="21"/>
        <v>14070</v>
      </c>
      <c r="Y110" s="2">
        <f t="shared" si="22"/>
        <v>32830</v>
      </c>
      <c r="Z110" s="2">
        <f t="shared" si="23"/>
        <v>35305</v>
      </c>
      <c r="AA110" s="2">
        <f t="shared" si="24"/>
        <v>6322</v>
      </c>
      <c r="AB110" s="2">
        <f t="shared" si="25"/>
        <v>4351</v>
      </c>
      <c r="AC110" s="2">
        <f t="shared" si="26"/>
        <v>3365</v>
      </c>
      <c r="AD110" s="2">
        <f t="shared" si="27"/>
        <v>2774</v>
      </c>
      <c r="AE110" s="2">
        <f t="shared" si="28"/>
        <v>2380</v>
      </c>
      <c r="AF110" s="2">
        <f t="shared" si="29"/>
        <v>1887</v>
      </c>
      <c r="AG110" s="2">
        <f t="shared" si="30"/>
        <v>16415</v>
      </c>
      <c r="AH110" s="2">
        <f t="shared" si="31"/>
        <v>30485</v>
      </c>
      <c r="AI110" s="2">
        <f t="shared" si="32"/>
        <v>32960</v>
      </c>
      <c r="AJ110" s="2">
        <f t="shared" si="33"/>
        <v>5904</v>
      </c>
      <c r="AK110" s="2">
        <f t="shared" si="34"/>
        <v>4063</v>
      </c>
      <c r="AL110" s="2">
        <f t="shared" si="35"/>
        <v>3143</v>
      </c>
      <c r="AM110" s="2">
        <f t="shared" si="36"/>
        <v>2590</v>
      </c>
      <c r="AN110" s="2">
        <f t="shared" si="37"/>
        <v>2222</v>
      </c>
      <c r="AO110" s="2">
        <f t="shared" si="38"/>
        <v>1762</v>
      </c>
      <c r="AP110" s="2">
        <f t="shared" si="39"/>
        <v>18760</v>
      </c>
      <c r="AQ110" s="2">
        <f t="shared" si="40"/>
        <v>28140</v>
      </c>
      <c r="AR110" s="2">
        <f t="shared" si="41"/>
        <v>30615</v>
      </c>
      <c r="AS110" s="2">
        <f t="shared" si="42"/>
        <v>5486</v>
      </c>
      <c r="AT110" s="2">
        <f t="shared" si="43"/>
        <v>3775</v>
      </c>
      <c r="AU110" s="2">
        <f t="shared" si="44"/>
        <v>2920</v>
      </c>
      <c r="AV110" s="2">
        <f t="shared" si="45"/>
        <v>2407</v>
      </c>
      <c r="AW110" s="2">
        <f t="shared" si="46"/>
        <v>2065</v>
      </c>
      <c r="AX110" s="2">
        <f t="shared" si="47"/>
        <v>1637</v>
      </c>
    </row>
    <row r="111" ht="14.25" customHeight="1">
      <c r="A111" s="2" t="str">
        <f t="array" ref="A111">IFERROR(INDEX('Product Price'!A:A,SMALL('Product Price'!$D:$D,109)),"")</f>
        <v>SAMSUNG Galaxy S26 Ultra 12/512 GB</v>
      </c>
      <c r="B111" s="2">
        <f t="array" ref="B111">IFERROR(INDEX('Product Price'!B:B,SMALL('Product Price'!$D:$D,109)),"")</f>
        <v>54900</v>
      </c>
      <c r="C111" s="2">
        <f t="array" ref="C111">IFERROR(INDEX('Product Price'!C:C,SMALL('Product Price'!$D:$D,109)),"")</f>
        <v>99</v>
      </c>
      <c r="D111" s="2">
        <f t="shared" si="1"/>
        <v>2475</v>
      </c>
      <c r="E111" s="2">
        <f t="shared" si="2"/>
        <v>57375</v>
      </c>
      <c r="F111" s="2">
        <f t="shared" si="3"/>
        <v>10980</v>
      </c>
      <c r="G111" s="2">
        <f t="shared" si="4"/>
        <v>43920</v>
      </c>
      <c r="H111" s="2">
        <f t="shared" si="5"/>
        <v>46395</v>
      </c>
      <c r="I111" s="2">
        <f t="shared" si="6"/>
        <v>8297</v>
      </c>
      <c r="J111" s="2">
        <f t="shared" si="7"/>
        <v>5710</v>
      </c>
      <c r="K111" s="2">
        <f t="shared" si="8"/>
        <v>4417</v>
      </c>
      <c r="L111" s="2">
        <f t="shared" si="9"/>
        <v>3641</v>
      </c>
      <c r="M111" s="2">
        <f t="shared" si="10"/>
        <v>3123</v>
      </c>
      <c r="N111" s="2">
        <f t="shared" si="11"/>
        <v>2476</v>
      </c>
      <c r="O111" s="2">
        <f t="shared" si="12"/>
        <v>13725</v>
      </c>
      <c r="P111" s="2">
        <f t="shared" si="13"/>
        <v>41175</v>
      </c>
      <c r="Q111" s="2">
        <f t="shared" si="14"/>
        <v>43650</v>
      </c>
      <c r="R111" s="2">
        <f t="shared" si="15"/>
        <v>7808</v>
      </c>
      <c r="S111" s="2">
        <f t="shared" si="16"/>
        <v>5374</v>
      </c>
      <c r="T111" s="2">
        <f t="shared" si="17"/>
        <v>4156</v>
      </c>
      <c r="U111" s="2">
        <f t="shared" si="18"/>
        <v>3426</v>
      </c>
      <c r="V111" s="2">
        <f t="shared" si="19"/>
        <v>2939</v>
      </c>
      <c r="W111" s="2">
        <f t="shared" si="20"/>
        <v>2330</v>
      </c>
      <c r="X111" s="2">
        <f t="shared" si="21"/>
        <v>16470</v>
      </c>
      <c r="Y111" s="2">
        <f t="shared" si="22"/>
        <v>38430</v>
      </c>
      <c r="Z111" s="2">
        <f t="shared" si="23"/>
        <v>40905</v>
      </c>
      <c r="AA111" s="2">
        <f t="shared" si="24"/>
        <v>7319</v>
      </c>
      <c r="AB111" s="2">
        <f t="shared" si="25"/>
        <v>5037</v>
      </c>
      <c r="AC111" s="2">
        <f t="shared" si="26"/>
        <v>3896</v>
      </c>
      <c r="AD111" s="2">
        <f t="shared" si="27"/>
        <v>3211</v>
      </c>
      <c r="AE111" s="2">
        <f t="shared" si="28"/>
        <v>2755</v>
      </c>
      <c r="AF111" s="2">
        <f t="shared" si="29"/>
        <v>2184</v>
      </c>
      <c r="AG111" s="2">
        <f t="shared" si="30"/>
        <v>19215</v>
      </c>
      <c r="AH111" s="2">
        <f t="shared" si="31"/>
        <v>35685</v>
      </c>
      <c r="AI111" s="2">
        <f t="shared" si="32"/>
        <v>38160</v>
      </c>
      <c r="AJ111" s="2">
        <f t="shared" si="33"/>
        <v>6830</v>
      </c>
      <c r="AK111" s="2">
        <f t="shared" si="34"/>
        <v>4701</v>
      </c>
      <c r="AL111" s="2">
        <f t="shared" si="35"/>
        <v>3636</v>
      </c>
      <c r="AM111" s="2">
        <f t="shared" si="36"/>
        <v>2997</v>
      </c>
      <c r="AN111" s="2">
        <f t="shared" si="37"/>
        <v>2571</v>
      </c>
      <c r="AO111" s="2">
        <f t="shared" si="38"/>
        <v>2039</v>
      </c>
      <c r="AP111" s="2">
        <f t="shared" si="39"/>
        <v>21960</v>
      </c>
      <c r="AQ111" s="2">
        <f t="shared" si="40"/>
        <v>32940</v>
      </c>
      <c r="AR111" s="2">
        <f t="shared" si="41"/>
        <v>35415</v>
      </c>
      <c r="AS111" s="2">
        <f t="shared" si="42"/>
        <v>6341</v>
      </c>
      <c r="AT111" s="2">
        <f t="shared" si="43"/>
        <v>4364</v>
      </c>
      <c r="AU111" s="2">
        <f t="shared" si="44"/>
        <v>3375</v>
      </c>
      <c r="AV111" s="2">
        <f t="shared" si="45"/>
        <v>2782</v>
      </c>
      <c r="AW111" s="2">
        <f t="shared" si="46"/>
        <v>2387</v>
      </c>
      <c r="AX111" s="2">
        <f t="shared" si="47"/>
        <v>1893</v>
      </c>
    </row>
    <row r="112" ht="14.25" customHeight="1">
      <c r="A112" s="2" t="str">
        <f t="array" ref="A112">IFERROR(INDEX('Product Price'!A:A,SMALL('Product Price'!$D:$D,110)),"")</f>
        <v>SAMSUNG Galaxy S26 Ultra 16/1TB</v>
      </c>
      <c r="B112" s="2">
        <f t="array" ref="B112">IFERROR(INDEX('Product Price'!B:B,SMALL('Product Price'!$D:$D,110)),"")</f>
        <v>66900</v>
      </c>
      <c r="C112" s="2">
        <f t="array" ref="C112">IFERROR(INDEX('Product Price'!C:C,SMALL('Product Price'!$D:$D,110)),"")</f>
        <v>100</v>
      </c>
      <c r="D112" s="2">
        <f t="shared" si="1"/>
        <v>4025</v>
      </c>
      <c r="E112" s="2">
        <f t="shared" si="2"/>
        <v>70925</v>
      </c>
      <c r="F112" s="2">
        <f t="shared" si="3"/>
        <v>13380</v>
      </c>
      <c r="G112" s="2">
        <f t="shared" si="4"/>
        <v>53520</v>
      </c>
      <c r="H112" s="2">
        <f t="shared" si="5"/>
        <v>57545</v>
      </c>
      <c r="I112" s="2">
        <f t="shared" si="6"/>
        <v>10303</v>
      </c>
      <c r="J112" s="2">
        <f t="shared" si="7"/>
        <v>7091</v>
      </c>
      <c r="K112" s="2">
        <f t="shared" si="8"/>
        <v>5484</v>
      </c>
      <c r="L112" s="2">
        <f t="shared" si="9"/>
        <v>4521</v>
      </c>
      <c r="M112" s="2">
        <f t="shared" si="10"/>
        <v>3878</v>
      </c>
      <c r="N112" s="2">
        <f t="shared" si="11"/>
        <v>3075</v>
      </c>
      <c r="O112" s="2">
        <f t="shared" si="12"/>
        <v>16725</v>
      </c>
      <c r="P112" s="2">
        <f t="shared" si="13"/>
        <v>50175</v>
      </c>
      <c r="Q112" s="2">
        <f t="shared" si="14"/>
        <v>54200</v>
      </c>
      <c r="R112" s="2">
        <f t="shared" si="15"/>
        <v>9707</v>
      </c>
      <c r="S112" s="2">
        <f t="shared" si="16"/>
        <v>6681</v>
      </c>
      <c r="T112" s="2">
        <f t="shared" si="17"/>
        <v>5167</v>
      </c>
      <c r="U112" s="2">
        <f t="shared" si="18"/>
        <v>4259</v>
      </c>
      <c r="V112" s="2">
        <f t="shared" si="19"/>
        <v>3654</v>
      </c>
      <c r="W112" s="2">
        <f t="shared" si="20"/>
        <v>2897</v>
      </c>
      <c r="X112" s="2">
        <f t="shared" si="21"/>
        <v>20070</v>
      </c>
      <c r="Y112" s="2">
        <f t="shared" si="22"/>
        <v>46830</v>
      </c>
      <c r="Z112" s="2">
        <f t="shared" si="23"/>
        <v>50855</v>
      </c>
      <c r="AA112" s="2">
        <f t="shared" si="24"/>
        <v>9111</v>
      </c>
      <c r="AB112" s="2">
        <f t="shared" si="25"/>
        <v>6270</v>
      </c>
      <c r="AC112" s="2">
        <f t="shared" si="26"/>
        <v>4850</v>
      </c>
      <c r="AD112" s="2">
        <f t="shared" si="27"/>
        <v>3998</v>
      </c>
      <c r="AE112" s="2">
        <f t="shared" si="28"/>
        <v>3430</v>
      </c>
      <c r="AF112" s="2">
        <f t="shared" si="29"/>
        <v>2719</v>
      </c>
      <c r="AG112" s="2">
        <f t="shared" si="30"/>
        <v>23415</v>
      </c>
      <c r="AH112" s="2">
        <f t="shared" si="31"/>
        <v>43485</v>
      </c>
      <c r="AI112" s="2">
        <f t="shared" si="32"/>
        <v>47510</v>
      </c>
      <c r="AJ112" s="2">
        <f t="shared" si="33"/>
        <v>8515</v>
      </c>
      <c r="AK112" s="2">
        <f t="shared" si="34"/>
        <v>5860</v>
      </c>
      <c r="AL112" s="2">
        <f t="shared" si="35"/>
        <v>4533</v>
      </c>
      <c r="AM112" s="2">
        <f t="shared" si="36"/>
        <v>3736</v>
      </c>
      <c r="AN112" s="2">
        <f t="shared" si="37"/>
        <v>3205</v>
      </c>
      <c r="AO112" s="2">
        <f t="shared" si="38"/>
        <v>2541</v>
      </c>
      <c r="AP112" s="2">
        <f t="shared" si="39"/>
        <v>26760</v>
      </c>
      <c r="AQ112" s="2">
        <f t="shared" si="40"/>
        <v>40140</v>
      </c>
      <c r="AR112" s="2">
        <f t="shared" si="41"/>
        <v>44165</v>
      </c>
      <c r="AS112" s="2">
        <f t="shared" si="42"/>
        <v>7919</v>
      </c>
      <c r="AT112" s="2">
        <f t="shared" si="43"/>
        <v>5450</v>
      </c>
      <c r="AU112" s="2">
        <f t="shared" si="44"/>
        <v>4216</v>
      </c>
      <c r="AV112" s="2">
        <f t="shared" si="45"/>
        <v>3475</v>
      </c>
      <c r="AW112" s="2">
        <f t="shared" si="46"/>
        <v>2981</v>
      </c>
      <c r="AX112" s="2">
        <f t="shared" si="47"/>
        <v>2364</v>
      </c>
    </row>
    <row r="113" ht="14.25" customHeight="1">
      <c r="A113" s="2" t="str">
        <f t="array" ref="A113">IFERROR(INDEX('Product Price'!A:A,SMALL('Product Price'!$D:$D,111)),"")</f>
        <v>SAMSUNG Galaxy S25 FE 8/128 GB</v>
      </c>
      <c r="B113" s="2">
        <f t="array" ref="B113">IFERROR(INDEX('Product Price'!B:B,SMALL('Product Price'!$D:$D,111)),"")</f>
        <v>22900</v>
      </c>
      <c r="C113" s="2">
        <f t="array" ref="C113">IFERROR(INDEX('Product Price'!C:C,SMALL('Product Price'!$D:$D,111)),"")</f>
        <v>101</v>
      </c>
      <c r="D113" s="2">
        <f t="shared" si="1"/>
        <v>1900</v>
      </c>
      <c r="E113" s="2">
        <f t="shared" si="2"/>
        <v>24800</v>
      </c>
      <c r="F113" s="2">
        <f t="shared" si="3"/>
        <v>4580</v>
      </c>
      <c r="G113" s="2">
        <f t="shared" si="4"/>
        <v>18320</v>
      </c>
      <c r="H113" s="2">
        <f t="shared" si="5"/>
        <v>20220</v>
      </c>
      <c r="I113" s="2">
        <f t="shared" si="6"/>
        <v>3627</v>
      </c>
      <c r="J113" s="2">
        <f t="shared" si="7"/>
        <v>2496</v>
      </c>
      <c r="K113" s="2">
        <f t="shared" si="8"/>
        <v>1931</v>
      </c>
      <c r="L113" s="2">
        <f t="shared" si="9"/>
        <v>1591</v>
      </c>
      <c r="M113" s="2">
        <f t="shared" si="10"/>
        <v>1365</v>
      </c>
      <c r="N113" s="2">
        <f t="shared" si="11"/>
        <v>1083</v>
      </c>
      <c r="O113" s="2">
        <f t="shared" si="12"/>
        <v>5725</v>
      </c>
      <c r="P113" s="2">
        <f t="shared" si="13"/>
        <v>17175</v>
      </c>
      <c r="Q113" s="2">
        <f t="shared" si="14"/>
        <v>19075</v>
      </c>
      <c r="R113" s="2">
        <f t="shared" si="15"/>
        <v>3423</v>
      </c>
      <c r="S113" s="2">
        <f t="shared" si="16"/>
        <v>2356</v>
      </c>
      <c r="T113" s="2">
        <f t="shared" si="17"/>
        <v>1822</v>
      </c>
      <c r="U113" s="2">
        <f t="shared" si="18"/>
        <v>1502</v>
      </c>
      <c r="V113" s="2">
        <f t="shared" si="19"/>
        <v>1289</v>
      </c>
      <c r="W113" s="2">
        <f t="shared" si="20"/>
        <v>1022</v>
      </c>
      <c r="X113" s="2">
        <f t="shared" si="21"/>
        <v>6870</v>
      </c>
      <c r="Y113" s="2">
        <f t="shared" si="22"/>
        <v>16030</v>
      </c>
      <c r="Z113" s="2">
        <f t="shared" si="23"/>
        <v>17930</v>
      </c>
      <c r="AA113" s="2">
        <f t="shared" si="24"/>
        <v>3219</v>
      </c>
      <c r="AB113" s="2">
        <f t="shared" si="25"/>
        <v>2215</v>
      </c>
      <c r="AC113" s="2">
        <f t="shared" si="26"/>
        <v>1713</v>
      </c>
      <c r="AD113" s="2">
        <f t="shared" si="27"/>
        <v>1412</v>
      </c>
      <c r="AE113" s="2">
        <f t="shared" si="28"/>
        <v>1212</v>
      </c>
      <c r="AF113" s="2">
        <f t="shared" si="29"/>
        <v>961</v>
      </c>
      <c r="AG113" s="2">
        <f t="shared" si="30"/>
        <v>8015</v>
      </c>
      <c r="AH113" s="2">
        <f t="shared" si="31"/>
        <v>14885</v>
      </c>
      <c r="AI113" s="2">
        <f t="shared" si="32"/>
        <v>16785</v>
      </c>
      <c r="AJ113" s="2">
        <f t="shared" si="33"/>
        <v>3015</v>
      </c>
      <c r="AK113" s="2">
        <f t="shared" si="34"/>
        <v>2075</v>
      </c>
      <c r="AL113" s="2">
        <f t="shared" si="35"/>
        <v>1605</v>
      </c>
      <c r="AM113" s="2">
        <f t="shared" si="36"/>
        <v>1323</v>
      </c>
      <c r="AN113" s="2">
        <f t="shared" si="37"/>
        <v>1135</v>
      </c>
      <c r="AO113" s="2">
        <f t="shared" si="38"/>
        <v>900</v>
      </c>
      <c r="AP113" s="2">
        <f t="shared" si="39"/>
        <v>9160</v>
      </c>
      <c r="AQ113" s="2">
        <f t="shared" si="40"/>
        <v>13740</v>
      </c>
      <c r="AR113" s="2">
        <f t="shared" si="41"/>
        <v>15640</v>
      </c>
      <c r="AS113" s="2">
        <f t="shared" si="42"/>
        <v>2811</v>
      </c>
      <c r="AT113" s="2">
        <f t="shared" si="43"/>
        <v>1934</v>
      </c>
      <c r="AU113" s="2">
        <f t="shared" si="44"/>
        <v>1496</v>
      </c>
      <c r="AV113" s="2">
        <f t="shared" si="45"/>
        <v>1233</v>
      </c>
      <c r="AW113" s="2">
        <f t="shared" si="46"/>
        <v>1058</v>
      </c>
      <c r="AX113" s="2">
        <f t="shared" si="47"/>
        <v>839</v>
      </c>
    </row>
    <row r="114" ht="14.25" customHeight="1">
      <c r="A114" s="2" t="str">
        <f t="array" ref="A114">IFERROR(INDEX('Product Price'!A:A,SMALL('Product Price'!$D:$D,112)),"")</f>
        <v>SAMSUNG Galaxy S25 FE 8/256 GB</v>
      </c>
      <c r="B114" s="2">
        <f t="array" ref="B114">IFERROR(INDEX('Product Price'!B:B,SMALL('Product Price'!$D:$D,112)),"")</f>
        <v>26900</v>
      </c>
      <c r="C114" s="2">
        <f t="array" ref="C114">IFERROR(INDEX('Product Price'!C:C,SMALL('Product Price'!$D:$D,112)),"")</f>
        <v>102</v>
      </c>
      <c r="D114" s="2">
        <f t="shared" si="1"/>
        <v>1900</v>
      </c>
      <c r="E114" s="2">
        <f t="shared" si="2"/>
        <v>28800</v>
      </c>
      <c r="F114" s="2">
        <f t="shared" si="3"/>
        <v>5380</v>
      </c>
      <c r="G114" s="2">
        <f t="shared" si="4"/>
        <v>21520</v>
      </c>
      <c r="H114" s="2">
        <f t="shared" si="5"/>
        <v>23420</v>
      </c>
      <c r="I114" s="2">
        <f t="shared" si="6"/>
        <v>4197</v>
      </c>
      <c r="J114" s="2">
        <f t="shared" si="7"/>
        <v>2888</v>
      </c>
      <c r="K114" s="2">
        <f t="shared" si="8"/>
        <v>2234</v>
      </c>
      <c r="L114" s="2">
        <f t="shared" si="9"/>
        <v>1842</v>
      </c>
      <c r="M114" s="2">
        <f t="shared" si="10"/>
        <v>1580</v>
      </c>
      <c r="N114" s="2">
        <f t="shared" si="11"/>
        <v>1253</v>
      </c>
      <c r="O114" s="2">
        <f t="shared" si="12"/>
        <v>6725</v>
      </c>
      <c r="P114" s="2">
        <f t="shared" si="13"/>
        <v>20175</v>
      </c>
      <c r="Q114" s="2">
        <f t="shared" si="14"/>
        <v>22075</v>
      </c>
      <c r="R114" s="2">
        <f t="shared" si="15"/>
        <v>3957</v>
      </c>
      <c r="S114" s="2">
        <f t="shared" si="16"/>
        <v>2723</v>
      </c>
      <c r="T114" s="2">
        <f t="shared" si="17"/>
        <v>2107</v>
      </c>
      <c r="U114" s="2">
        <f t="shared" si="18"/>
        <v>1736</v>
      </c>
      <c r="V114" s="2">
        <f t="shared" si="19"/>
        <v>1490</v>
      </c>
      <c r="W114" s="2">
        <f t="shared" si="20"/>
        <v>1181</v>
      </c>
      <c r="X114" s="2">
        <f t="shared" si="21"/>
        <v>8070</v>
      </c>
      <c r="Y114" s="2">
        <f t="shared" si="22"/>
        <v>18830</v>
      </c>
      <c r="Z114" s="2">
        <f t="shared" si="23"/>
        <v>20730</v>
      </c>
      <c r="AA114" s="2">
        <f t="shared" si="24"/>
        <v>3718</v>
      </c>
      <c r="AB114" s="2">
        <f t="shared" si="25"/>
        <v>2559</v>
      </c>
      <c r="AC114" s="2">
        <f t="shared" si="26"/>
        <v>1979</v>
      </c>
      <c r="AD114" s="2">
        <f t="shared" si="27"/>
        <v>1631</v>
      </c>
      <c r="AE114" s="2">
        <f t="shared" si="28"/>
        <v>1399</v>
      </c>
      <c r="AF114" s="2">
        <f t="shared" si="29"/>
        <v>1110</v>
      </c>
      <c r="AG114" s="2">
        <f t="shared" si="30"/>
        <v>9415</v>
      </c>
      <c r="AH114" s="2">
        <f t="shared" si="31"/>
        <v>17485</v>
      </c>
      <c r="AI114" s="2">
        <f t="shared" si="32"/>
        <v>19385</v>
      </c>
      <c r="AJ114" s="2">
        <f t="shared" si="33"/>
        <v>3478</v>
      </c>
      <c r="AK114" s="2">
        <f t="shared" si="34"/>
        <v>2394</v>
      </c>
      <c r="AL114" s="2">
        <f t="shared" si="35"/>
        <v>1851</v>
      </c>
      <c r="AM114" s="2">
        <f t="shared" si="36"/>
        <v>1526</v>
      </c>
      <c r="AN114" s="2">
        <f t="shared" si="37"/>
        <v>1309</v>
      </c>
      <c r="AO114" s="2">
        <f t="shared" si="38"/>
        <v>1038</v>
      </c>
      <c r="AP114" s="2">
        <f t="shared" si="39"/>
        <v>10760</v>
      </c>
      <c r="AQ114" s="2">
        <f t="shared" si="40"/>
        <v>16140</v>
      </c>
      <c r="AR114" s="2">
        <f t="shared" si="41"/>
        <v>18040</v>
      </c>
      <c r="AS114" s="2">
        <f t="shared" si="42"/>
        <v>3238</v>
      </c>
      <c r="AT114" s="2">
        <f t="shared" si="43"/>
        <v>2229</v>
      </c>
      <c r="AU114" s="2">
        <f t="shared" si="44"/>
        <v>1724</v>
      </c>
      <c r="AV114" s="2">
        <f t="shared" si="45"/>
        <v>1421</v>
      </c>
      <c r="AW114" s="2">
        <f t="shared" si="46"/>
        <v>1219</v>
      </c>
      <c r="AX114" s="2">
        <f t="shared" si="47"/>
        <v>967</v>
      </c>
    </row>
    <row r="115" ht="14.25" customHeight="1">
      <c r="A115" s="2" t="str">
        <f t="array" ref="A115">IFERROR(INDEX('Product Price'!A:A,SMALL('Product Price'!$D:$D,113)),"")</f>
        <v>SAMSUNG Galaxy Tab A11 LTE 8/128 GB</v>
      </c>
      <c r="B115" s="2">
        <f t="array" ref="B115">IFERROR(INDEX('Product Price'!B:B,SMALL('Product Price'!$D:$D,113)),"")</f>
        <v>6990</v>
      </c>
      <c r="C115" s="2">
        <f t="array" ref="C115">IFERROR(INDEX('Product Price'!C:C,SMALL('Product Price'!$D:$D,113)),"")</f>
        <v>103</v>
      </c>
      <c r="D115" s="2">
        <f t="shared" si="1"/>
        <v>795</v>
      </c>
      <c r="E115" s="2">
        <f t="shared" si="2"/>
        <v>7785</v>
      </c>
      <c r="F115" s="2">
        <f t="shared" si="3"/>
        <v>1398</v>
      </c>
      <c r="G115" s="2">
        <f t="shared" si="4"/>
        <v>5592</v>
      </c>
      <c r="H115" s="2">
        <f t="shared" si="5"/>
        <v>6387</v>
      </c>
      <c r="I115" s="2">
        <f t="shared" si="6"/>
        <v>1148</v>
      </c>
      <c r="J115" s="2">
        <f t="shared" si="7"/>
        <v>790</v>
      </c>
      <c r="K115" s="2">
        <f t="shared" si="8"/>
        <v>611</v>
      </c>
      <c r="L115" s="2">
        <f t="shared" si="9"/>
        <v>504</v>
      </c>
      <c r="M115" s="2" t="str">
        <f t="shared" si="10"/>
        <v>-</v>
      </c>
      <c r="N115" s="2" t="str">
        <f t="shared" si="11"/>
        <v>-</v>
      </c>
      <c r="O115" s="2">
        <f t="shared" si="12"/>
        <v>1748</v>
      </c>
      <c r="P115" s="2">
        <f t="shared" si="13"/>
        <v>5242</v>
      </c>
      <c r="Q115" s="2">
        <f t="shared" si="14"/>
        <v>6037</v>
      </c>
      <c r="R115" s="2">
        <f t="shared" si="15"/>
        <v>1086</v>
      </c>
      <c r="S115" s="2">
        <f t="shared" si="16"/>
        <v>748</v>
      </c>
      <c r="T115" s="2">
        <f t="shared" si="17"/>
        <v>578</v>
      </c>
      <c r="U115" s="2">
        <f t="shared" si="18"/>
        <v>477</v>
      </c>
      <c r="V115" s="2" t="str">
        <f t="shared" si="19"/>
        <v>-</v>
      </c>
      <c r="W115" s="2" t="str">
        <f t="shared" si="20"/>
        <v>-</v>
      </c>
      <c r="X115" s="2">
        <f t="shared" si="21"/>
        <v>2097</v>
      </c>
      <c r="Y115" s="2">
        <f t="shared" si="22"/>
        <v>4893</v>
      </c>
      <c r="Z115" s="2">
        <f t="shared" si="23"/>
        <v>5688</v>
      </c>
      <c r="AA115" s="2">
        <f t="shared" si="24"/>
        <v>1024</v>
      </c>
      <c r="AB115" s="2">
        <f t="shared" si="25"/>
        <v>705</v>
      </c>
      <c r="AC115" s="2">
        <f t="shared" si="26"/>
        <v>545</v>
      </c>
      <c r="AD115" s="2" t="str">
        <f t="shared" si="27"/>
        <v>-</v>
      </c>
      <c r="AE115" s="2" t="str">
        <f t="shared" si="28"/>
        <v>-</v>
      </c>
      <c r="AF115" s="2" t="str">
        <f t="shared" si="29"/>
        <v>-</v>
      </c>
      <c r="AG115" s="2">
        <f t="shared" si="30"/>
        <v>2447</v>
      </c>
      <c r="AH115" s="2">
        <f t="shared" si="31"/>
        <v>4543</v>
      </c>
      <c r="AI115" s="2">
        <f t="shared" si="32"/>
        <v>5338</v>
      </c>
      <c r="AJ115" s="2">
        <f t="shared" si="33"/>
        <v>961</v>
      </c>
      <c r="AK115" s="2">
        <f t="shared" si="34"/>
        <v>662</v>
      </c>
      <c r="AL115" s="2">
        <f t="shared" si="35"/>
        <v>512</v>
      </c>
      <c r="AM115" s="2" t="str">
        <f t="shared" si="36"/>
        <v>-</v>
      </c>
      <c r="AN115" s="2" t="str">
        <f t="shared" si="37"/>
        <v>-</v>
      </c>
      <c r="AO115" s="2" t="str">
        <f t="shared" si="38"/>
        <v>-</v>
      </c>
      <c r="AP115" s="2">
        <f t="shared" si="39"/>
        <v>2796</v>
      </c>
      <c r="AQ115" s="2">
        <f t="shared" si="40"/>
        <v>4194</v>
      </c>
      <c r="AR115" s="2">
        <f t="shared" si="41"/>
        <v>4989</v>
      </c>
      <c r="AS115" s="2">
        <f t="shared" si="42"/>
        <v>899</v>
      </c>
      <c r="AT115" s="2">
        <f t="shared" si="43"/>
        <v>619</v>
      </c>
      <c r="AU115" s="2" t="str">
        <f t="shared" si="44"/>
        <v>-</v>
      </c>
      <c r="AV115" s="2" t="str">
        <f t="shared" si="45"/>
        <v>-</v>
      </c>
      <c r="AW115" s="2" t="str">
        <f t="shared" si="46"/>
        <v>-</v>
      </c>
      <c r="AX115" s="2" t="str">
        <f t="shared" si="47"/>
        <v>-</v>
      </c>
    </row>
    <row r="116" ht="14.25" customHeight="1">
      <c r="A116" s="2" t="str">
        <f t="array" ref="A116">IFERROR(INDEX('Product Price'!A:A,SMALL('Product Price'!$D:$D,114)),"")</f>
        <v>SAMSUNG Galaxy Tab A11+ 5G 6/128 GB</v>
      </c>
      <c r="B116" s="2">
        <f t="array" ref="B116">IFERROR(INDEX('Product Price'!B:B,SMALL('Product Price'!$D:$D,114)),"")</f>
        <v>9990</v>
      </c>
      <c r="C116" s="2">
        <f t="array" ref="C116">IFERROR(INDEX('Product Price'!C:C,SMALL('Product Price'!$D:$D,114)),"")</f>
        <v>104</v>
      </c>
      <c r="D116" s="2">
        <f t="shared" si="1"/>
        <v>795</v>
      </c>
      <c r="E116" s="2">
        <f t="shared" si="2"/>
        <v>10785</v>
      </c>
      <c r="F116" s="2">
        <f t="shared" si="3"/>
        <v>1998</v>
      </c>
      <c r="G116" s="2">
        <f t="shared" si="4"/>
        <v>7992</v>
      </c>
      <c r="H116" s="2">
        <f t="shared" si="5"/>
        <v>8787</v>
      </c>
      <c r="I116" s="2">
        <f t="shared" si="6"/>
        <v>1576</v>
      </c>
      <c r="J116" s="2">
        <f t="shared" si="7"/>
        <v>1085</v>
      </c>
      <c r="K116" s="2">
        <f t="shared" si="8"/>
        <v>839</v>
      </c>
      <c r="L116" s="2">
        <f t="shared" si="9"/>
        <v>692</v>
      </c>
      <c r="M116" s="2">
        <f t="shared" si="10"/>
        <v>593</v>
      </c>
      <c r="N116" s="2">
        <f t="shared" si="11"/>
        <v>471</v>
      </c>
      <c r="O116" s="2">
        <f t="shared" si="12"/>
        <v>2498</v>
      </c>
      <c r="P116" s="2">
        <f t="shared" si="13"/>
        <v>7492</v>
      </c>
      <c r="Q116" s="2">
        <f t="shared" si="14"/>
        <v>8287</v>
      </c>
      <c r="R116" s="2">
        <f t="shared" si="15"/>
        <v>1487</v>
      </c>
      <c r="S116" s="2">
        <f t="shared" si="16"/>
        <v>1023</v>
      </c>
      <c r="T116" s="2">
        <f t="shared" si="17"/>
        <v>792</v>
      </c>
      <c r="U116" s="2">
        <f t="shared" si="18"/>
        <v>653</v>
      </c>
      <c r="V116" s="2">
        <f t="shared" si="19"/>
        <v>560</v>
      </c>
      <c r="W116" s="2" t="str">
        <f t="shared" si="20"/>
        <v>-</v>
      </c>
      <c r="X116" s="2">
        <f t="shared" si="21"/>
        <v>2997</v>
      </c>
      <c r="Y116" s="2">
        <f t="shared" si="22"/>
        <v>6993</v>
      </c>
      <c r="Z116" s="2">
        <f t="shared" si="23"/>
        <v>7788</v>
      </c>
      <c r="AA116" s="2">
        <f t="shared" si="24"/>
        <v>1398</v>
      </c>
      <c r="AB116" s="2">
        <f t="shared" si="25"/>
        <v>962</v>
      </c>
      <c r="AC116" s="2">
        <f t="shared" si="26"/>
        <v>744</v>
      </c>
      <c r="AD116" s="2">
        <f t="shared" si="27"/>
        <v>614</v>
      </c>
      <c r="AE116" s="2">
        <f t="shared" si="28"/>
        <v>526</v>
      </c>
      <c r="AF116" s="2" t="str">
        <f t="shared" si="29"/>
        <v>-</v>
      </c>
      <c r="AG116" s="2">
        <f t="shared" si="30"/>
        <v>3497</v>
      </c>
      <c r="AH116" s="2">
        <f t="shared" si="31"/>
        <v>6493</v>
      </c>
      <c r="AI116" s="2">
        <f t="shared" si="32"/>
        <v>7288</v>
      </c>
      <c r="AJ116" s="2">
        <f t="shared" si="33"/>
        <v>1309</v>
      </c>
      <c r="AK116" s="2">
        <f t="shared" si="34"/>
        <v>901</v>
      </c>
      <c r="AL116" s="2">
        <f t="shared" si="35"/>
        <v>697</v>
      </c>
      <c r="AM116" s="2">
        <f t="shared" si="36"/>
        <v>575</v>
      </c>
      <c r="AN116" s="2">
        <f t="shared" si="37"/>
        <v>493</v>
      </c>
      <c r="AO116" s="2" t="str">
        <f t="shared" si="38"/>
        <v>-</v>
      </c>
      <c r="AP116" s="2">
        <f t="shared" si="39"/>
        <v>3996</v>
      </c>
      <c r="AQ116" s="2">
        <f t="shared" si="40"/>
        <v>5994</v>
      </c>
      <c r="AR116" s="2">
        <f t="shared" si="41"/>
        <v>6789</v>
      </c>
      <c r="AS116" s="2">
        <f t="shared" si="42"/>
        <v>1220</v>
      </c>
      <c r="AT116" s="2">
        <f t="shared" si="43"/>
        <v>840</v>
      </c>
      <c r="AU116" s="2">
        <f t="shared" si="44"/>
        <v>650</v>
      </c>
      <c r="AV116" s="2">
        <f t="shared" si="45"/>
        <v>536</v>
      </c>
      <c r="AW116" s="2">
        <f t="shared" si="46"/>
        <v>459</v>
      </c>
      <c r="AX116" s="2" t="str">
        <f t="shared" si="47"/>
        <v>-</v>
      </c>
    </row>
    <row r="117" ht="14.25" customHeight="1">
      <c r="A117" s="2" t="str">
        <f t="array" ref="A117">IFERROR(INDEX('Product Price'!A:A,SMALL('Product Price'!$D:$D,115)),"")</f>
        <v>SAMSUNG Galaxy Tab A11+ Wifi 6/128 GB</v>
      </c>
      <c r="B117" s="2">
        <f t="array" ref="B117">IFERROR(INDEX('Product Price'!B:B,SMALL('Product Price'!$D:$D,115)),"")</f>
        <v>7990</v>
      </c>
      <c r="C117" s="2">
        <f t="array" ref="C117">IFERROR(INDEX('Product Price'!C:C,SMALL('Product Price'!$D:$D,115)),"")</f>
        <v>105</v>
      </c>
      <c r="D117" s="2">
        <f t="shared" si="1"/>
        <v>795</v>
      </c>
      <c r="E117" s="2">
        <f t="shared" si="2"/>
        <v>8785</v>
      </c>
      <c r="F117" s="2">
        <f t="shared" si="3"/>
        <v>1598</v>
      </c>
      <c r="G117" s="2">
        <f t="shared" si="4"/>
        <v>6392</v>
      </c>
      <c r="H117" s="2">
        <f t="shared" si="5"/>
        <v>7187</v>
      </c>
      <c r="I117" s="2">
        <f t="shared" si="6"/>
        <v>1291</v>
      </c>
      <c r="J117" s="2">
        <f t="shared" si="7"/>
        <v>889</v>
      </c>
      <c r="K117" s="2">
        <f t="shared" si="8"/>
        <v>687</v>
      </c>
      <c r="L117" s="2">
        <f t="shared" si="9"/>
        <v>567</v>
      </c>
      <c r="M117" s="2">
        <f t="shared" si="10"/>
        <v>486</v>
      </c>
      <c r="N117" s="2" t="str">
        <f t="shared" si="11"/>
        <v>-</v>
      </c>
      <c r="O117" s="2">
        <f t="shared" si="12"/>
        <v>1998</v>
      </c>
      <c r="P117" s="2">
        <f t="shared" si="13"/>
        <v>5992</v>
      </c>
      <c r="Q117" s="2">
        <f t="shared" si="14"/>
        <v>6787</v>
      </c>
      <c r="R117" s="2">
        <f t="shared" si="15"/>
        <v>1220</v>
      </c>
      <c r="S117" s="2">
        <f t="shared" si="16"/>
        <v>839</v>
      </c>
      <c r="T117" s="2">
        <f t="shared" si="17"/>
        <v>649</v>
      </c>
      <c r="U117" s="2">
        <f t="shared" si="18"/>
        <v>535</v>
      </c>
      <c r="V117" s="2">
        <f t="shared" si="19"/>
        <v>459</v>
      </c>
      <c r="W117" s="2" t="str">
        <f t="shared" si="20"/>
        <v>-</v>
      </c>
      <c r="X117" s="2">
        <f t="shared" si="21"/>
        <v>2397</v>
      </c>
      <c r="Y117" s="2">
        <f t="shared" si="22"/>
        <v>5593</v>
      </c>
      <c r="Z117" s="2">
        <f t="shared" si="23"/>
        <v>6388</v>
      </c>
      <c r="AA117" s="2">
        <f t="shared" si="24"/>
        <v>1149</v>
      </c>
      <c r="AB117" s="2">
        <f t="shared" si="25"/>
        <v>791</v>
      </c>
      <c r="AC117" s="2">
        <f t="shared" si="26"/>
        <v>612</v>
      </c>
      <c r="AD117" s="2">
        <f t="shared" si="27"/>
        <v>504</v>
      </c>
      <c r="AE117" s="2" t="str">
        <f t="shared" si="28"/>
        <v>-</v>
      </c>
      <c r="AF117" s="2" t="str">
        <f t="shared" si="29"/>
        <v>-</v>
      </c>
      <c r="AG117" s="2">
        <f t="shared" si="30"/>
        <v>2797</v>
      </c>
      <c r="AH117" s="2">
        <f t="shared" si="31"/>
        <v>5193</v>
      </c>
      <c r="AI117" s="2">
        <f t="shared" si="32"/>
        <v>5988</v>
      </c>
      <c r="AJ117" s="2">
        <f t="shared" si="33"/>
        <v>1077</v>
      </c>
      <c r="AK117" s="2">
        <f t="shared" si="34"/>
        <v>742</v>
      </c>
      <c r="AL117" s="2">
        <f t="shared" si="35"/>
        <v>574</v>
      </c>
      <c r="AM117" s="2">
        <f t="shared" si="36"/>
        <v>473</v>
      </c>
      <c r="AN117" s="2" t="str">
        <f t="shared" si="37"/>
        <v>-</v>
      </c>
      <c r="AO117" s="2" t="str">
        <f t="shared" si="38"/>
        <v>-</v>
      </c>
      <c r="AP117" s="2">
        <f t="shared" si="39"/>
        <v>3196</v>
      </c>
      <c r="AQ117" s="2">
        <f t="shared" si="40"/>
        <v>4794</v>
      </c>
      <c r="AR117" s="2">
        <f t="shared" si="41"/>
        <v>5589</v>
      </c>
      <c r="AS117" s="2">
        <f t="shared" si="42"/>
        <v>1006</v>
      </c>
      <c r="AT117" s="2">
        <f t="shared" si="43"/>
        <v>693</v>
      </c>
      <c r="AU117" s="2">
        <f t="shared" si="44"/>
        <v>536</v>
      </c>
      <c r="AV117" s="2" t="str">
        <f t="shared" si="45"/>
        <v>-</v>
      </c>
      <c r="AW117" s="2" t="str">
        <f t="shared" si="46"/>
        <v>-</v>
      </c>
      <c r="AX117" s="2" t="str">
        <f t="shared" si="47"/>
        <v>-</v>
      </c>
    </row>
    <row r="118" ht="14.25" customHeight="1">
      <c r="A118" s="2" t="str">
        <f t="array" ref="A118">IFERROR(INDEX('Product Price'!A:A,SMALL('Product Price'!$D:$D,116)),"")</f>
        <v>SAMSUNG Galaxy Tab S10 FE Wi-Fi 8/128 GB</v>
      </c>
      <c r="B118" s="2">
        <f t="array" ref="B118">IFERROR(INDEX('Product Price'!B:B,SMALL('Product Price'!$D:$D,116)),"")</f>
        <v>17900</v>
      </c>
      <c r="C118" s="2">
        <f t="array" ref="C118">IFERROR(INDEX('Product Price'!C:C,SMALL('Product Price'!$D:$D,116)),"")</f>
        <v>106</v>
      </c>
      <c r="D118" s="2">
        <f t="shared" si="1"/>
        <v>1450</v>
      </c>
      <c r="E118" s="2">
        <f t="shared" si="2"/>
        <v>19350</v>
      </c>
      <c r="F118" s="2">
        <f t="shared" si="3"/>
        <v>3580</v>
      </c>
      <c r="G118" s="2">
        <f t="shared" si="4"/>
        <v>14320</v>
      </c>
      <c r="H118" s="2">
        <f t="shared" si="5"/>
        <v>15770</v>
      </c>
      <c r="I118" s="2">
        <f t="shared" si="6"/>
        <v>2828</v>
      </c>
      <c r="J118" s="2">
        <f t="shared" si="7"/>
        <v>1947</v>
      </c>
      <c r="K118" s="2">
        <f t="shared" si="8"/>
        <v>1506</v>
      </c>
      <c r="L118" s="2">
        <f t="shared" si="9"/>
        <v>1241</v>
      </c>
      <c r="M118" s="2">
        <f t="shared" si="10"/>
        <v>1065</v>
      </c>
      <c r="N118" s="2">
        <f t="shared" si="11"/>
        <v>844</v>
      </c>
      <c r="O118" s="2">
        <f t="shared" si="12"/>
        <v>4475</v>
      </c>
      <c r="P118" s="2">
        <f t="shared" si="13"/>
        <v>13425</v>
      </c>
      <c r="Q118" s="2">
        <f t="shared" si="14"/>
        <v>14875</v>
      </c>
      <c r="R118" s="2">
        <f t="shared" si="15"/>
        <v>2669</v>
      </c>
      <c r="S118" s="2">
        <f t="shared" si="16"/>
        <v>1837</v>
      </c>
      <c r="T118" s="2">
        <f t="shared" si="17"/>
        <v>1421</v>
      </c>
      <c r="U118" s="2">
        <f t="shared" si="18"/>
        <v>1171</v>
      </c>
      <c r="V118" s="2">
        <f t="shared" si="19"/>
        <v>1005</v>
      </c>
      <c r="W118" s="2">
        <f t="shared" si="20"/>
        <v>797</v>
      </c>
      <c r="X118" s="2">
        <f t="shared" si="21"/>
        <v>5370</v>
      </c>
      <c r="Y118" s="2">
        <f t="shared" si="22"/>
        <v>12530</v>
      </c>
      <c r="Z118" s="2">
        <f t="shared" si="23"/>
        <v>13980</v>
      </c>
      <c r="AA118" s="2">
        <f t="shared" si="24"/>
        <v>2509</v>
      </c>
      <c r="AB118" s="2">
        <f t="shared" si="25"/>
        <v>1727</v>
      </c>
      <c r="AC118" s="2">
        <f t="shared" si="26"/>
        <v>1336</v>
      </c>
      <c r="AD118" s="2">
        <f t="shared" si="27"/>
        <v>1101</v>
      </c>
      <c r="AE118" s="2">
        <f t="shared" si="28"/>
        <v>945</v>
      </c>
      <c r="AF118" s="2">
        <f t="shared" si="29"/>
        <v>749</v>
      </c>
      <c r="AG118" s="2">
        <f t="shared" si="30"/>
        <v>6265</v>
      </c>
      <c r="AH118" s="2">
        <f t="shared" si="31"/>
        <v>11635</v>
      </c>
      <c r="AI118" s="2">
        <f t="shared" si="32"/>
        <v>13085</v>
      </c>
      <c r="AJ118" s="2">
        <f t="shared" si="33"/>
        <v>2350</v>
      </c>
      <c r="AK118" s="2">
        <f t="shared" si="34"/>
        <v>1617</v>
      </c>
      <c r="AL118" s="2">
        <f t="shared" si="35"/>
        <v>1251</v>
      </c>
      <c r="AM118" s="2">
        <f t="shared" si="36"/>
        <v>1031</v>
      </c>
      <c r="AN118" s="2">
        <f t="shared" si="37"/>
        <v>885</v>
      </c>
      <c r="AO118" s="2">
        <f t="shared" si="38"/>
        <v>702</v>
      </c>
      <c r="AP118" s="2">
        <f t="shared" si="39"/>
        <v>7160</v>
      </c>
      <c r="AQ118" s="2">
        <f t="shared" si="40"/>
        <v>10740</v>
      </c>
      <c r="AR118" s="2">
        <f t="shared" si="41"/>
        <v>12190</v>
      </c>
      <c r="AS118" s="2">
        <f t="shared" si="42"/>
        <v>2190</v>
      </c>
      <c r="AT118" s="2">
        <f t="shared" si="43"/>
        <v>1508</v>
      </c>
      <c r="AU118" s="2">
        <f t="shared" si="44"/>
        <v>1166</v>
      </c>
      <c r="AV118" s="2">
        <f t="shared" si="45"/>
        <v>961</v>
      </c>
      <c r="AW118" s="2">
        <f t="shared" si="46"/>
        <v>825</v>
      </c>
      <c r="AX118" s="2">
        <f t="shared" si="47"/>
        <v>654</v>
      </c>
    </row>
    <row r="119" ht="14.25" customHeight="1">
      <c r="A119" s="2" t="str">
        <f t="array" ref="A119">IFERROR(INDEX('Product Price'!A:A,SMALL('Product Price'!$D:$D,117)),"")</f>
        <v>SAMSUNG Galaxy Tab S10 FE 5G 8/128 GB</v>
      </c>
      <c r="B119" s="2">
        <f t="array" ref="B119">IFERROR(INDEX('Product Price'!B:B,SMALL('Product Price'!$D:$D,117)),"")</f>
        <v>20900</v>
      </c>
      <c r="C119" s="2">
        <f t="array" ref="C119">IFERROR(INDEX('Product Price'!C:C,SMALL('Product Price'!$D:$D,117)),"")</f>
        <v>107</v>
      </c>
      <c r="D119" s="2">
        <f t="shared" si="1"/>
        <v>1900</v>
      </c>
      <c r="E119" s="2">
        <f t="shared" si="2"/>
        <v>22800</v>
      </c>
      <c r="F119" s="2">
        <f t="shared" si="3"/>
        <v>4180</v>
      </c>
      <c r="G119" s="2">
        <f t="shared" si="4"/>
        <v>16720</v>
      </c>
      <c r="H119" s="2">
        <f t="shared" si="5"/>
        <v>18620</v>
      </c>
      <c r="I119" s="2">
        <f t="shared" si="6"/>
        <v>3342</v>
      </c>
      <c r="J119" s="2">
        <f t="shared" si="7"/>
        <v>2300</v>
      </c>
      <c r="K119" s="2">
        <f t="shared" si="8"/>
        <v>1779</v>
      </c>
      <c r="L119" s="2">
        <f t="shared" si="9"/>
        <v>1466</v>
      </c>
      <c r="M119" s="2">
        <f t="shared" si="10"/>
        <v>1258</v>
      </c>
      <c r="N119" s="2">
        <f t="shared" si="11"/>
        <v>998</v>
      </c>
      <c r="O119" s="2">
        <f t="shared" si="12"/>
        <v>5225</v>
      </c>
      <c r="P119" s="2">
        <f t="shared" si="13"/>
        <v>15675</v>
      </c>
      <c r="Q119" s="2">
        <f t="shared" si="14"/>
        <v>17575</v>
      </c>
      <c r="R119" s="2">
        <f t="shared" si="15"/>
        <v>3155</v>
      </c>
      <c r="S119" s="2">
        <f t="shared" si="16"/>
        <v>2172</v>
      </c>
      <c r="T119" s="2">
        <f t="shared" si="17"/>
        <v>1680</v>
      </c>
      <c r="U119" s="2">
        <f t="shared" si="18"/>
        <v>1385</v>
      </c>
      <c r="V119" s="2">
        <f t="shared" si="19"/>
        <v>1188</v>
      </c>
      <c r="W119" s="2">
        <f t="shared" si="20"/>
        <v>942</v>
      </c>
      <c r="X119" s="2">
        <f t="shared" si="21"/>
        <v>6270</v>
      </c>
      <c r="Y119" s="2">
        <f t="shared" si="22"/>
        <v>14630</v>
      </c>
      <c r="Z119" s="2">
        <f t="shared" si="23"/>
        <v>16530</v>
      </c>
      <c r="AA119" s="2">
        <f t="shared" si="24"/>
        <v>2969</v>
      </c>
      <c r="AB119" s="2">
        <f t="shared" si="25"/>
        <v>2044</v>
      </c>
      <c r="AC119" s="2">
        <f t="shared" si="26"/>
        <v>1581</v>
      </c>
      <c r="AD119" s="2">
        <f t="shared" si="27"/>
        <v>1303</v>
      </c>
      <c r="AE119" s="2">
        <f t="shared" si="28"/>
        <v>1118</v>
      </c>
      <c r="AF119" s="2">
        <f t="shared" si="29"/>
        <v>886</v>
      </c>
      <c r="AG119" s="2">
        <f t="shared" si="30"/>
        <v>7315</v>
      </c>
      <c r="AH119" s="2">
        <f t="shared" si="31"/>
        <v>13585</v>
      </c>
      <c r="AI119" s="2">
        <f t="shared" si="32"/>
        <v>15485</v>
      </c>
      <c r="AJ119" s="2">
        <f t="shared" si="33"/>
        <v>2783</v>
      </c>
      <c r="AK119" s="2">
        <f t="shared" si="34"/>
        <v>1915</v>
      </c>
      <c r="AL119" s="2">
        <f t="shared" si="35"/>
        <v>1482</v>
      </c>
      <c r="AM119" s="2">
        <f t="shared" si="36"/>
        <v>1221</v>
      </c>
      <c r="AN119" s="2">
        <f t="shared" si="37"/>
        <v>1048</v>
      </c>
      <c r="AO119" s="2">
        <f t="shared" si="38"/>
        <v>831</v>
      </c>
      <c r="AP119" s="2">
        <f t="shared" si="39"/>
        <v>8360</v>
      </c>
      <c r="AQ119" s="2">
        <f t="shared" si="40"/>
        <v>12540</v>
      </c>
      <c r="AR119" s="2">
        <f t="shared" si="41"/>
        <v>14440</v>
      </c>
      <c r="AS119" s="2">
        <f t="shared" si="42"/>
        <v>2597</v>
      </c>
      <c r="AT119" s="2">
        <f t="shared" si="43"/>
        <v>1787</v>
      </c>
      <c r="AU119" s="2">
        <f t="shared" si="44"/>
        <v>1383</v>
      </c>
      <c r="AV119" s="2">
        <f t="shared" si="45"/>
        <v>1140</v>
      </c>
      <c r="AW119" s="2">
        <f t="shared" si="46"/>
        <v>978</v>
      </c>
      <c r="AX119" s="2">
        <f t="shared" si="47"/>
        <v>775</v>
      </c>
    </row>
    <row r="120" ht="14.25" customHeight="1">
      <c r="A120" s="2" t="str">
        <f t="array" ref="A120">IFERROR(INDEX('Product Price'!A:A,SMALL('Product Price'!$D:$D,118)),"")</f>
        <v>SAMSUNG Galaxy Tab S10 FE+ Wi-Fi 12/256 GB</v>
      </c>
      <c r="B120" s="2">
        <f t="array" ref="B120">IFERROR(INDEX('Product Price'!B:B,SMALL('Product Price'!$D:$D,118)),"")</f>
        <v>26900</v>
      </c>
      <c r="C120" s="2">
        <f t="array" ref="C120">IFERROR(INDEX('Product Price'!C:C,SMALL('Product Price'!$D:$D,118)),"")</f>
        <v>108</v>
      </c>
      <c r="D120" s="2">
        <f t="shared" si="1"/>
        <v>1900</v>
      </c>
      <c r="E120" s="2">
        <f t="shared" si="2"/>
        <v>28800</v>
      </c>
      <c r="F120" s="2">
        <f t="shared" si="3"/>
        <v>5380</v>
      </c>
      <c r="G120" s="2">
        <f t="shared" si="4"/>
        <v>21520</v>
      </c>
      <c r="H120" s="2">
        <f t="shared" si="5"/>
        <v>23420</v>
      </c>
      <c r="I120" s="2">
        <f t="shared" si="6"/>
        <v>4197</v>
      </c>
      <c r="J120" s="2">
        <f t="shared" si="7"/>
        <v>2888</v>
      </c>
      <c r="K120" s="2">
        <f t="shared" si="8"/>
        <v>2234</v>
      </c>
      <c r="L120" s="2">
        <f t="shared" si="9"/>
        <v>1842</v>
      </c>
      <c r="M120" s="2">
        <f t="shared" si="10"/>
        <v>1580</v>
      </c>
      <c r="N120" s="2">
        <f t="shared" si="11"/>
        <v>1253</v>
      </c>
      <c r="O120" s="2">
        <f t="shared" si="12"/>
        <v>6725</v>
      </c>
      <c r="P120" s="2">
        <f t="shared" si="13"/>
        <v>20175</v>
      </c>
      <c r="Q120" s="2">
        <f t="shared" si="14"/>
        <v>22075</v>
      </c>
      <c r="R120" s="2">
        <f t="shared" si="15"/>
        <v>3957</v>
      </c>
      <c r="S120" s="2">
        <f t="shared" si="16"/>
        <v>2723</v>
      </c>
      <c r="T120" s="2">
        <f t="shared" si="17"/>
        <v>2107</v>
      </c>
      <c r="U120" s="2">
        <f t="shared" si="18"/>
        <v>1736</v>
      </c>
      <c r="V120" s="2">
        <f t="shared" si="19"/>
        <v>1490</v>
      </c>
      <c r="W120" s="2">
        <f t="shared" si="20"/>
        <v>1181</v>
      </c>
      <c r="X120" s="2">
        <f t="shared" si="21"/>
        <v>8070</v>
      </c>
      <c r="Y120" s="2">
        <f t="shared" si="22"/>
        <v>18830</v>
      </c>
      <c r="Z120" s="2">
        <f t="shared" si="23"/>
        <v>20730</v>
      </c>
      <c r="AA120" s="2">
        <f t="shared" si="24"/>
        <v>3718</v>
      </c>
      <c r="AB120" s="2">
        <f t="shared" si="25"/>
        <v>2559</v>
      </c>
      <c r="AC120" s="2">
        <f t="shared" si="26"/>
        <v>1979</v>
      </c>
      <c r="AD120" s="2">
        <f t="shared" si="27"/>
        <v>1631</v>
      </c>
      <c r="AE120" s="2">
        <f t="shared" si="28"/>
        <v>1399</v>
      </c>
      <c r="AF120" s="2">
        <f t="shared" si="29"/>
        <v>1110</v>
      </c>
      <c r="AG120" s="2">
        <f t="shared" si="30"/>
        <v>9415</v>
      </c>
      <c r="AH120" s="2">
        <f t="shared" si="31"/>
        <v>17485</v>
      </c>
      <c r="AI120" s="2">
        <f t="shared" si="32"/>
        <v>19385</v>
      </c>
      <c r="AJ120" s="2">
        <f t="shared" si="33"/>
        <v>3478</v>
      </c>
      <c r="AK120" s="2">
        <f t="shared" si="34"/>
        <v>2394</v>
      </c>
      <c r="AL120" s="2">
        <f t="shared" si="35"/>
        <v>1851</v>
      </c>
      <c r="AM120" s="2">
        <f t="shared" si="36"/>
        <v>1526</v>
      </c>
      <c r="AN120" s="2">
        <f t="shared" si="37"/>
        <v>1309</v>
      </c>
      <c r="AO120" s="2">
        <f t="shared" si="38"/>
        <v>1038</v>
      </c>
      <c r="AP120" s="2">
        <f t="shared" si="39"/>
        <v>10760</v>
      </c>
      <c r="AQ120" s="2">
        <f t="shared" si="40"/>
        <v>16140</v>
      </c>
      <c r="AR120" s="2">
        <f t="shared" si="41"/>
        <v>18040</v>
      </c>
      <c r="AS120" s="2">
        <f t="shared" si="42"/>
        <v>3238</v>
      </c>
      <c r="AT120" s="2">
        <f t="shared" si="43"/>
        <v>2229</v>
      </c>
      <c r="AU120" s="2">
        <f t="shared" si="44"/>
        <v>1724</v>
      </c>
      <c r="AV120" s="2">
        <f t="shared" si="45"/>
        <v>1421</v>
      </c>
      <c r="AW120" s="2">
        <f t="shared" si="46"/>
        <v>1219</v>
      </c>
      <c r="AX120" s="2">
        <f t="shared" si="47"/>
        <v>967</v>
      </c>
    </row>
    <row r="121" ht="14.25" customHeight="1">
      <c r="A121" s="2" t="str">
        <f t="array" ref="A121">IFERROR(INDEX('Product Price'!A:A,SMALL('Product Price'!$D:$D,119)),"")</f>
        <v>SAMSUNG Galaxy Tab S10 FE+ 5G 12/256 GB</v>
      </c>
      <c r="B121" s="2">
        <f t="array" ref="B121">IFERROR(INDEX('Product Price'!B:B,SMALL('Product Price'!$D:$D,119)),"")</f>
        <v>29900</v>
      </c>
      <c r="C121" s="2">
        <f t="array" ref="C121">IFERROR(INDEX('Product Price'!C:C,SMALL('Product Price'!$D:$D,119)),"")</f>
        <v>109</v>
      </c>
      <c r="D121" s="2">
        <f t="shared" si="1"/>
        <v>1900</v>
      </c>
      <c r="E121" s="2">
        <f t="shared" si="2"/>
        <v>31800</v>
      </c>
      <c r="F121" s="2">
        <f t="shared" si="3"/>
        <v>5980</v>
      </c>
      <c r="G121" s="2">
        <f t="shared" si="4"/>
        <v>23920</v>
      </c>
      <c r="H121" s="2">
        <f t="shared" si="5"/>
        <v>25820</v>
      </c>
      <c r="I121" s="2">
        <f t="shared" si="6"/>
        <v>4624</v>
      </c>
      <c r="J121" s="2">
        <f t="shared" si="7"/>
        <v>3183</v>
      </c>
      <c r="K121" s="2">
        <f t="shared" si="8"/>
        <v>2462</v>
      </c>
      <c r="L121" s="2">
        <f t="shared" si="9"/>
        <v>2029</v>
      </c>
      <c r="M121" s="2">
        <f t="shared" si="10"/>
        <v>1741</v>
      </c>
      <c r="N121" s="2">
        <f t="shared" si="11"/>
        <v>1380</v>
      </c>
      <c r="O121" s="2">
        <f t="shared" si="12"/>
        <v>7475</v>
      </c>
      <c r="P121" s="2">
        <f t="shared" si="13"/>
        <v>22425</v>
      </c>
      <c r="Q121" s="2">
        <f t="shared" si="14"/>
        <v>24325</v>
      </c>
      <c r="R121" s="2">
        <f t="shared" si="15"/>
        <v>4358</v>
      </c>
      <c r="S121" s="2">
        <f t="shared" si="16"/>
        <v>2999</v>
      </c>
      <c r="T121" s="2">
        <f t="shared" si="17"/>
        <v>2320</v>
      </c>
      <c r="U121" s="2">
        <f t="shared" si="18"/>
        <v>1912</v>
      </c>
      <c r="V121" s="2">
        <f t="shared" si="19"/>
        <v>1641</v>
      </c>
      <c r="W121" s="2">
        <f t="shared" si="20"/>
        <v>1301</v>
      </c>
      <c r="X121" s="2">
        <f t="shared" si="21"/>
        <v>8970</v>
      </c>
      <c r="Y121" s="2">
        <f t="shared" si="22"/>
        <v>20930</v>
      </c>
      <c r="Z121" s="2">
        <f t="shared" si="23"/>
        <v>22830</v>
      </c>
      <c r="AA121" s="2">
        <f t="shared" si="24"/>
        <v>4092</v>
      </c>
      <c r="AB121" s="2">
        <f t="shared" si="25"/>
        <v>2816</v>
      </c>
      <c r="AC121" s="2">
        <f t="shared" si="26"/>
        <v>2178</v>
      </c>
      <c r="AD121" s="2">
        <f t="shared" si="27"/>
        <v>1795</v>
      </c>
      <c r="AE121" s="2">
        <f t="shared" si="28"/>
        <v>1540</v>
      </c>
      <c r="AF121" s="2">
        <f t="shared" si="29"/>
        <v>1221</v>
      </c>
      <c r="AG121" s="2">
        <f t="shared" si="30"/>
        <v>10465</v>
      </c>
      <c r="AH121" s="2">
        <f t="shared" si="31"/>
        <v>19435</v>
      </c>
      <c r="AI121" s="2">
        <f t="shared" si="32"/>
        <v>21335</v>
      </c>
      <c r="AJ121" s="2">
        <f t="shared" si="33"/>
        <v>3825</v>
      </c>
      <c r="AK121" s="2">
        <f t="shared" si="34"/>
        <v>2633</v>
      </c>
      <c r="AL121" s="2">
        <f t="shared" si="35"/>
        <v>2036</v>
      </c>
      <c r="AM121" s="2">
        <f t="shared" si="36"/>
        <v>1679</v>
      </c>
      <c r="AN121" s="2">
        <f t="shared" si="37"/>
        <v>1440</v>
      </c>
      <c r="AO121" s="2">
        <f t="shared" si="38"/>
        <v>1142</v>
      </c>
      <c r="AP121" s="2">
        <f t="shared" si="39"/>
        <v>11960</v>
      </c>
      <c r="AQ121" s="2">
        <f t="shared" si="40"/>
        <v>17940</v>
      </c>
      <c r="AR121" s="2">
        <f t="shared" si="41"/>
        <v>19840</v>
      </c>
      <c r="AS121" s="2">
        <f t="shared" si="42"/>
        <v>3559</v>
      </c>
      <c r="AT121" s="2">
        <f t="shared" si="43"/>
        <v>2449</v>
      </c>
      <c r="AU121" s="2">
        <f t="shared" si="44"/>
        <v>1895</v>
      </c>
      <c r="AV121" s="2">
        <f t="shared" si="45"/>
        <v>1562</v>
      </c>
      <c r="AW121" s="2">
        <f t="shared" si="46"/>
        <v>1340</v>
      </c>
      <c r="AX121" s="2">
        <f t="shared" si="47"/>
        <v>1062</v>
      </c>
    </row>
    <row r="122" ht="14.25" customHeight="1">
      <c r="A122" s="2" t="str">
        <f t="array" ref="A122">IFERROR(INDEX('Product Price'!A:A,SMALL('Product Price'!$D:$D,120)),"")</f>
        <v>SAMSUNG Tab S10 Lite 5G</v>
      </c>
      <c r="B122" s="2">
        <f t="array" ref="B122">IFERROR(INDEX('Product Price'!B:B,SMALL('Product Price'!$D:$D,120)),"")</f>
        <v>15990</v>
      </c>
      <c r="C122" s="2">
        <f t="array" ref="C122">IFERROR(INDEX('Product Price'!C:C,SMALL('Product Price'!$D:$D,120)),"")</f>
        <v>110</v>
      </c>
      <c r="D122" s="2">
        <f t="shared" si="1"/>
        <v>1450</v>
      </c>
      <c r="E122" s="2">
        <f t="shared" si="2"/>
        <v>17440</v>
      </c>
      <c r="F122" s="2">
        <f t="shared" si="3"/>
        <v>3198</v>
      </c>
      <c r="G122" s="2">
        <f t="shared" si="4"/>
        <v>12792</v>
      </c>
      <c r="H122" s="2">
        <f t="shared" si="5"/>
        <v>14242</v>
      </c>
      <c r="I122" s="2">
        <f t="shared" si="6"/>
        <v>2556</v>
      </c>
      <c r="J122" s="2">
        <f t="shared" si="7"/>
        <v>1759</v>
      </c>
      <c r="K122" s="2">
        <f t="shared" si="8"/>
        <v>1361</v>
      </c>
      <c r="L122" s="2">
        <f t="shared" si="9"/>
        <v>1122</v>
      </c>
      <c r="M122" s="2">
        <f t="shared" si="10"/>
        <v>962</v>
      </c>
      <c r="N122" s="2">
        <f t="shared" si="11"/>
        <v>763</v>
      </c>
      <c r="O122" s="2">
        <f t="shared" si="12"/>
        <v>3998</v>
      </c>
      <c r="P122" s="2">
        <f t="shared" si="13"/>
        <v>11992</v>
      </c>
      <c r="Q122" s="2">
        <f t="shared" si="14"/>
        <v>13442</v>
      </c>
      <c r="R122" s="2">
        <f t="shared" si="15"/>
        <v>2414</v>
      </c>
      <c r="S122" s="2">
        <f t="shared" si="16"/>
        <v>1661</v>
      </c>
      <c r="T122" s="2">
        <f t="shared" si="17"/>
        <v>1285</v>
      </c>
      <c r="U122" s="2">
        <f t="shared" si="18"/>
        <v>1059</v>
      </c>
      <c r="V122" s="2">
        <f t="shared" si="19"/>
        <v>909</v>
      </c>
      <c r="W122" s="2">
        <f t="shared" si="20"/>
        <v>721</v>
      </c>
      <c r="X122" s="2">
        <f t="shared" si="21"/>
        <v>4797</v>
      </c>
      <c r="Y122" s="2">
        <f t="shared" si="22"/>
        <v>11193</v>
      </c>
      <c r="Z122" s="2">
        <f t="shared" si="23"/>
        <v>12643</v>
      </c>
      <c r="AA122" s="2">
        <f t="shared" si="24"/>
        <v>2271</v>
      </c>
      <c r="AB122" s="2">
        <f t="shared" si="25"/>
        <v>1563</v>
      </c>
      <c r="AC122" s="2">
        <f t="shared" si="26"/>
        <v>1209</v>
      </c>
      <c r="AD122" s="2">
        <f t="shared" si="27"/>
        <v>997</v>
      </c>
      <c r="AE122" s="2">
        <f t="shared" si="28"/>
        <v>855</v>
      </c>
      <c r="AF122" s="2">
        <f t="shared" si="29"/>
        <v>678</v>
      </c>
      <c r="AG122" s="2">
        <f t="shared" si="30"/>
        <v>5597</v>
      </c>
      <c r="AH122" s="2">
        <f t="shared" si="31"/>
        <v>10393</v>
      </c>
      <c r="AI122" s="2">
        <f t="shared" si="32"/>
        <v>11843</v>
      </c>
      <c r="AJ122" s="2">
        <f t="shared" si="33"/>
        <v>2129</v>
      </c>
      <c r="AK122" s="2">
        <f t="shared" si="34"/>
        <v>1465</v>
      </c>
      <c r="AL122" s="2">
        <f t="shared" si="35"/>
        <v>1133</v>
      </c>
      <c r="AM122" s="2">
        <f t="shared" si="36"/>
        <v>934</v>
      </c>
      <c r="AN122" s="2">
        <f t="shared" si="37"/>
        <v>801</v>
      </c>
      <c r="AO122" s="2">
        <f t="shared" si="38"/>
        <v>636</v>
      </c>
      <c r="AP122" s="2">
        <f t="shared" si="39"/>
        <v>6396</v>
      </c>
      <c r="AQ122" s="2">
        <f t="shared" si="40"/>
        <v>9594</v>
      </c>
      <c r="AR122" s="2">
        <f t="shared" si="41"/>
        <v>11044</v>
      </c>
      <c r="AS122" s="2">
        <f t="shared" si="42"/>
        <v>1986</v>
      </c>
      <c r="AT122" s="2">
        <f t="shared" si="43"/>
        <v>1367</v>
      </c>
      <c r="AU122" s="2">
        <f t="shared" si="44"/>
        <v>1057</v>
      </c>
      <c r="AV122" s="2">
        <f t="shared" si="45"/>
        <v>872</v>
      </c>
      <c r="AW122" s="2">
        <f t="shared" si="46"/>
        <v>748</v>
      </c>
      <c r="AX122" s="2">
        <f t="shared" si="47"/>
        <v>593</v>
      </c>
    </row>
    <row r="123" ht="14.25" customHeight="1">
      <c r="A123" s="2" t="str">
        <f t="array" ref="A123">IFERROR(INDEX('Product Price'!A:A,SMALL('Product Price'!$D:$D,121)),"")</f>
        <v>SAMSUNG Tab S10 Lite Wi-Fi</v>
      </c>
      <c r="B123" s="2">
        <f t="array" ref="B123">IFERROR(INDEX('Product Price'!B:B,SMALL('Product Price'!$D:$D,121)),"")</f>
        <v>11990</v>
      </c>
      <c r="C123" s="2">
        <f t="array" ref="C123">IFERROR(INDEX('Product Price'!C:C,SMALL('Product Price'!$D:$D,121)),"")</f>
        <v>111</v>
      </c>
      <c r="D123" s="2">
        <f t="shared" si="1"/>
        <v>1450</v>
      </c>
      <c r="E123" s="2">
        <f t="shared" si="2"/>
        <v>13440</v>
      </c>
      <c r="F123" s="2">
        <f t="shared" si="3"/>
        <v>2398</v>
      </c>
      <c r="G123" s="2">
        <f t="shared" si="4"/>
        <v>9592</v>
      </c>
      <c r="H123" s="2">
        <f t="shared" si="5"/>
        <v>11042</v>
      </c>
      <c r="I123" s="2">
        <f t="shared" si="6"/>
        <v>1986</v>
      </c>
      <c r="J123" s="2">
        <f t="shared" si="7"/>
        <v>1367</v>
      </c>
      <c r="K123" s="2">
        <f t="shared" si="8"/>
        <v>1057</v>
      </c>
      <c r="L123" s="2">
        <f t="shared" si="9"/>
        <v>872</v>
      </c>
      <c r="M123" s="2">
        <f t="shared" si="10"/>
        <v>748</v>
      </c>
      <c r="N123" s="2">
        <f t="shared" si="11"/>
        <v>593</v>
      </c>
      <c r="O123" s="2">
        <f t="shared" si="12"/>
        <v>2998</v>
      </c>
      <c r="P123" s="2">
        <f t="shared" si="13"/>
        <v>8992</v>
      </c>
      <c r="Q123" s="2">
        <f t="shared" si="14"/>
        <v>10442</v>
      </c>
      <c r="R123" s="2">
        <f t="shared" si="15"/>
        <v>1879</v>
      </c>
      <c r="S123" s="2">
        <f t="shared" si="16"/>
        <v>1293</v>
      </c>
      <c r="T123" s="2">
        <f t="shared" si="17"/>
        <v>1000</v>
      </c>
      <c r="U123" s="2">
        <f t="shared" si="18"/>
        <v>825</v>
      </c>
      <c r="V123" s="2">
        <f t="shared" si="19"/>
        <v>708</v>
      </c>
      <c r="W123" s="2">
        <f t="shared" si="20"/>
        <v>561</v>
      </c>
      <c r="X123" s="2">
        <f t="shared" si="21"/>
        <v>3597</v>
      </c>
      <c r="Y123" s="2">
        <f t="shared" si="22"/>
        <v>8393</v>
      </c>
      <c r="Z123" s="2">
        <f t="shared" si="23"/>
        <v>9843</v>
      </c>
      <c r="AA123" s="2">
        <f t="shared" si="24"/>
        <v>1772</v>
      </c>
      <c r="AB123" s="2">
        <f t="shared" si="25"/>
        <v>1220</v>
      </c>
      <c r="AC123" s="2">
        <f t="shared" si="26"/>
        <v>944</v>
      </c>
      <c r="AD123" s="2">
        <f t="shared" si="27"/>
        <v>778</v>
      </c>
      <c r="AE123" s="2">
        <f t="shared" si="28"/>
        <v>667</v>
      </c>
      <c r="AF123" s="2">
        <f t="shared" si="29"/>
        <v>529</v>
      </c>
      <c r="AG123" s="2">
        <f t="shared" si="30"/>
        <v>4197</v>
      </c>
      <c r="AH123" s="2">
        <f t="shared" si="31"/>
        <v>7793</v>
      </c>
      <c r="AI123" s="2">
        <f t="shared" si="32"/>
        <v>9243</v>
      </c>
      <c r="AJ123" s="2">
        <f t="shared" si="33"/>
        <v>1665</v>
      </c>
      <c r="AK123" s="2">
        <f t="shared" si="34"/>
        <v>1146</v>
      </c>
      <c r="AL123" s="2">
        <f t="shared" si="35"/>
        <v>887</v>
      </c>
      <c r="AM123" s="2">
        <f t="shared" si="36"/>
        <v>731</v>
      </c>
      <c r="AN123" s="2">
        <f t="shared" si="37"/>
        <v>627</v>
      </c>
      <c r="AO123" s="2">
        <f t="shared" si="38"/>
        <v>497</v>
      </c>
      <c r="AP123" s="2">
        <f t="shared" si="39"/>
        <v>4796</v>
      </c>
      <c r="AQ123" s="2">
        <f t="shared" si="40"/>
        <v>7194</v>
      </c>
      <c r="AR123" s="2">
        <f t="shared" si="41"/>
        <v>8644</v>
      </c>
      <c r="AS123" s="2">
        <f t="shared" si="42"/>
        <v>1559</v>
      </c>
      <c r="AT123" s="2">
        <f t="shared" si="43"/>
        <v>1073</v>
      </c>
      <c r="AU123" s="2">
        <f t="shared" si="44"/>
        <v>830</v>
      </c>
      <c r="AV123" s="2">
        <f t="shared" si="45"/>
        <v>684</v>
      </c>
      <c r="AW123" s="2">
        <f t="shared" si="46"/>
        <v>587</v>
      </c>
      <c r="AX123" s="2" t="str">
        <f t="shared" si="47"/>
        <v>-</v>
      </c>
    </row>
    <row r="124" ht="14.25" customHeight="1">
      <c r="A124" s="2" t="str">
        <f t="array" ref="A124">IFERROR(INDEX('Product Price'!A:A,SMALL('Product Price'!$D:$D,122)),"")</f>
        <v>SAMSUNG Galaxy Tab S10+Wi-Fi 12/256 GB</v>
      </c>
      <c r="B124" s="2">
        <f t="array" ref="B124">IFERROR(INDEX('Product Price'!B:B,SMALL('Product Price'!$D:$D,122)),"")</f>
        <v>36900</v>
      </c>
      <c r="C124" s="2">
        <f t="array" ref="C124">IFERROR(INDEX('Product Price'!C:C,SMALL('Product Price'!$D:$D,122)),"")</f>
        <v>112</v>
      </c>
      <c r="D124" s="2">
        <f t="shared" si="1"/>
        <v>1900</v>
      </c>
      <c r="E124" s="2">
        <f t="shared" si="2"/>
        <v>38800</v>
      </c>
      <c r="F124" s="2">
        <f t="shared" si="3"/>
        <v>7380</v>
      </c>
      <c r="G124" s="2">
        <f t="shared" si="4"/>
        <v>29520</v>
      </c>
      <c r="H124" s="2">
        <f t="shared" si="5"/>
        <v>31420</v>
      </c>
      <c r="I124" s="2">
        <f t="shared" si="6"/>
        <v>5622</v>
      </c>
      <c r="J124" s="2">
        <f t="shared" si="7"/>
        <v>3869</v>
      </c>
      <c r="K124" s="2">
        <f t="shared" si="8"/>
        <v>2993</v>
      </c>
      <c r="L124" s="2">
        <f t="shared" si="9"/>
        <v>2467</v>
      </c>
      <c r="M124" s="2">
        <f t="shared" si="10"/>
        <v>2116</v>
      </c>
      <c r="N124" s="2">
        <f t="shared" si="11"/>
        <v>1678</v>
      </c>
      <c r="O124" s="2">
        <f t="shared" si="12"/>
        <v>9225</v>
      </c>
      <c r="P124" s="2">
        <f t="shared" si="13"/>
        <v>27675</v>
      </c>
      <c r="Q124" s="2">
        <f t="shared" si="14"/>
        <v>29575</v>
      </c>
      <c r="R124" s="2">
        <f t="shared" si="15"/>
        <v>5293</v>
      </c>
      <c r="S124" s="2">
        <f t="shared" si="16"/>
        <v>3643</v>
      </c>
      <c r="T124" s="2">
        <f t="shared" si="17"/>
        <v>2818</v>
      </c>
      <c r="U124" s="2">
        <f t="shared" si="18"/>
        <v>2323</v>
      </c>
      <c r="V124" s="2">
        <f t="shared" si="19"/>
        <v>1993</v>
      </c>
      <c r="W124" s="2">
        <f t="shared" si="20"/>
        <v>1580</v>
      </c>
      <c r="X124" s="2">
        <f t="shared" si="21"/>
        <v>11070</v>
      </c>
      <c r="Y124" s="2">
        <f t="shared" si="22"/>
        <v>25830</v>
      </c>
      <c r="Z124" s="2">
        <f t="shared" si="23"/>
        <v>27730</v>
      </c>
      <c r="AA124" s="2">
        <f t="shared" si="24"/>
        <v>4965</v>
      </c>
      <c r="AB124" s="2">
        <f t="shared" si="25"/>
        <v>3417</v>
      </c>
      <c r="AC124" s="2">
        <f t="shared" si="26"/>
        <v>2643</v>
      </c>
      <c r="AD124" s="2">
        <f t="shared" si="27"/>
        <v>2178</v>
      </c>
      <c r="AE124" s="2">
        <f t="shared" si="28"/>
        <v>1869</v>
      </c>
      <c r="AF124" s="2">
        <f t="shared" si="29"/>
        <v>1482</v>
      </c>
      <c r="AG124" s="2">
        <f t="shared" si="30"/>
        <v>12915</v>
      </c>
      <c r="AH124" s="2">
        <f t="shared" si="31"/>
        <v>23985</v>
      </c>
      <c r="AI124" s="2">
        <f t="shared" si="32"/>
        <v>25885</v>
      </c>
      <c r="AJ124" s="2">
        <f t="shared" si="33"/>
        <v>4636</v>
      </c>
      <c r="AK124" s="2">
        <f t="shared" si="34"/>
        <v>3191</v>
      </c>
      <c r="AL124" s="2">
        <f t="shared" si="35"/>
        <v>2468</v>
      </c>
      <c r="AM124" s="2">
        <f t="shared" si="36"/>
        <v>2034</v>
      </c>
      <c r="AN124" s="2">
        <f t="shared" si="37"/>
        <v>1745</v>
      </c>
      <c r="AO124" s="2">
        <f t="shared" si="38"/>
        <v>1384</v>
      </c>
      <c r="AP124" s="2">
        <f t="shared" si="39"/>
        <v>14760</v>
      </c>
      <c r="AQ124" s="2">
        <f t="shared" si="40"/>
        <v>22140</v>
      </c>
      <c r="AR124" s="2">
        <f t="shared" si="41"/>
        <v>24040</v>
      </c>
      <c r="AS124" s="2">
        <f t="shared" si="42"/>
        <v>4307</v>
      </c>
      <c r="AT124" s="2">
        <f t="shared" si="43"/>
        <v>2964</v>
      </c>
      <c r="AU124" s="2">
        <f t="shared" si="44"/>
        <v>2293</v>
      </c>
      <c r="AV124" s="2">
        <f t="shared" si="45"/>
        <v>1890</v>
      </c>
      <c r="AW124" s="2">
        <f t="shared" si="46"/>
        <v>1621</v>
      </c>
      <c r="AX124" s="2">
        <f t="shared" si="47"/>
        <v>1286</v>
      </c>
    </row>
    <row r="125" ht="14.25" customHeight="1">
      <c r="A125" s="2" t="str">
        <f t="array" ref="A125">IFERROR(INDEX('Product Price'!A:A,SMALL('Product Price'!$D:$D,123)),"")</f>
        <v>SAMSUNG Galaxy Tab S10+ 5G 12/256 GB</v>
      </c>
      <c r="B125" s="2">
        <f t="array" ref="B125">IFERROR(INDEX('Product Price'!B:B,SMALL('Product Price'!$D:$D,123)),"")</f>
        <v>41900</v>
      </c>
      <c r="C125" s="2">
        <f t="array" ref="C125">IFERROR(INDEX('Product Price'!C:C,SMALL('Product Price'!$D:$D,123)),"")</f>
        <v>113</v>
      </c>
      <c r="D125" s="2">
        <f t="shared" si="1"/>
        <v>2475</v>
      </c>
      <c r="E125" s="2">
        <f t="shared" si="2"/>
        <v>44375</v>
      </c>
      <c r="F125" s="2">
        <f t="shared" si="3"/>
        <v>8380</v>
      </c>
      <c r="G125" s="2">
        <f t="shared" si="4"/>
        <v>33520</v>
      </c>
      <c r="H125" s="2">
        <f t="shared" si="5"/>
        <v>35995</v>
      </c>
      <c r="I125" s="2">
        <f t="shared" si="6"/>
        <v>6444</v>
      </c>
      <c r="J125" s="2">
        <f t="shared" si="7"/>
        <v>4435</v>
      </c>
      <c r="K125" s="2">
        <f t="shared" si="8"/>
        <v>3430</v>
      </c>
      <c r="L125" s="2">
        <f t="shared" si="9"/>
        <v>2828</v>
      </c>
      <c r="M125" s="2">
        <f t="shared" si="10"/>
        <v>2426</v>
      </c>
      <c r="N125" s="2">
        <f t="shared" si="11"/>
        <v>1923</v>
      </c>
      <c r="O125" s="2">
        <f t="shared" si="12"/>
        <v>10475</v>
      </c>
      <c r="P125" s="2">
        <f t="shared" si="13"/>
        <v>31425</v>
      </c>
      <c r="Q125" s="2">
        <f t="shared" si="14"/>
        <v>33900</v>
      </c>
      <c r="R125" s="2">
        <f t="shared" si="15"/>
        <v>6071</v>
      </c>
      <c r="S125" s="2">
        <f t="shared" si="16"/>
        <v>4178</v>
      </c>
      <c r="T125" s="2">
        <f t="shared" si="17"/>
        <v>3232</v>
      </c>
      <c r="U125" s="2">
        <f t="shared" si="18"/>
        <v>2664</v>
      </c>
      <c r="V125" s="2">
        <f t="shared" si="19"/>
        <v>2285</v>
      </c>
      <c r="W125" s="2">
        <f t="shared" si="20"/>
        <v>1812</v>
      </c>
      <c r="X125" s="2">
        <f t="shared" si="21"/>
        <v>12570</v>
      </c>
      <c r="Y125" s="2">
        <f t="shared" si="22"/>
        <v>29330</v>
      </c>
      <c r="Z125" s="2">
        <f t="shared" si="23"/>
        <v>31805</v>
      </c>
      <c r="AA125" s="2">
        <f t="shared" si="24"/>
        <v>5698</v>
      </c>
      <c r="AB125" s="2">
        <f t="shared" si="25"/>
        <v>3921</v>
      </c>
      <c r="AC125" s="2">
        <f t="shared" si="26"/>
        <v>3033</v>
      </c>
      <c r="AD125" s="2">
        <f t="shared" si="27"/>
        <v>2500</v>
      </c>
      <c r="AE125" s="2">
        <f t="shared" si="28"/>
        <v>2145</v>
      </c>
      <c r="AF125" s="2">
        <f t="shared" si="29"/>
        <v>1701</v>
      </c>
      <c r="AG125" s="2">
        <f t="shared" si="30"/>
        <v>14665</v>
      </c>
      <c r="AH125" s="2">
        <f t="shared" si="31"/>
        <v>27235</v>
      </c>
      <c r="AI125" s="2">
        <f t="shared" si="32"/>
        <v>29710</v>
      </c>
      <c r="AJ125" s="2">
        <f t="shared" si="33"/>
        <v>5325</v>
      </c>
      <c r="AK125" s="2">
        <f t="shared" si="34"/>
        <v>3665</v>
      </c>
      <c r="AL125" s="2">
        <f t="shared" si="35"/>
        <v>2834</v>
      </c>
      <c r="AM125" s="2">
        <f t="shared" si="36"/>
        <v>2336</v>
      </c>
      <c r="AN125" s="2">
        <f t="shared" si="37"/>
        <v>2004</v>
      </c>
      <c r="AO125" s="2">
        <f t="shared" si="38"/>
        <v>1589</v>
      </c>
      <c r="AP125" s="2">
        <f t="shared" si="39"/>
        <v>16760</v>
      </c>
      <c r="AQ125" s="2">
        <f t="shared" si="40"/>
        <v>25140</v>
      </c>
      <c r="AR125" s="2">
        <f t="shared" si="41"/>
        <v>27615</v>
      </c>
      <c r="AS125" s="2">
        <f t="shared" si="42"/>
        <v>4951</v>
      </c>
      <c r="AT125" s="2">
        <f t="shared" si="43"/>
        <v>3408</v>
      </c>
      <c r="AU125" s="2">
        <f t="shared" si="44"/>
        <v>2636</v>
      </c>
      <c r="AV125" s="2">
        <f t="shared" si="45"/>
        <v>2173</v>
      </c>
      <c r="AW125" s="2">
        <f t="shared" si="46"/>
        <v>1864</v>
      </c>
      <c r="AX125" s="2">
        <f t="shared" si="47"/>
        <v>1478</v>
      </c>
    </row>
    <row r="126" ht="14.25" customHeight="1">
      <c r="A126" s="2" t="str">
        <f t="array" ref="A126">IFERROR(INDEX('Product Price'!A:A,SMALL('Product Price'!$D:$D,124)),"")</f>
        <v>SAMSUNG Galaxy Tab S11 5G 8/128 GB</v>
      </c>
      <c r="B126" s="2">
        <f t="array" ref="B126">IFERROR(INDEX('Product Price'!B:B,SMALL('Product Price'!$D:$D,124)),"")</f>
        <v>31900</v>
      </c>
      <c r="C126" s="2">
        <f t="array" ref="C126">IFERROR(INDEX('Product Price'!C:C,SMALL('Product Price'!$D:$D,124)),"")</f>
        <v>114</v>
      </c>
      <c r="D126" s="2">
        <f t="shared" si="1"/>
        <v>1900</v>
      </c>
      <c r="E126" s="2">
        <f t="shared" si="2"/>
        <v>33800</v>
      </c>
      <c r="F126" s="2">
        <f t="shared" si="3"/>
        <v>6380</v>
      </c>
      <c r="G126" s="2">
        <f t="shared" si="4"/>
        <v>25520</v>
      </c>
      <c r="H126" s="2">
        <f t="shared" si="5"/>
        <v>27420</v>
      </c>
      <c r="I126" s="2">
        <f t="shared" si="6"/>
        <v>4910</v>
      </c>
      <c r="J126" s="2">
        <f t="shared" si="7"/>
        <v>3379</v>
      </c>
      <c r="K126" s="2">
        <f t="shared" si="8"/>
        <v>2613</v>
      </c>
      <c r="L126" s="2">
        <f t="shared" si="9"/>
        <v>2154</v>
      </c>
      <c r="M126" s="2">
        <f t="shared" si="10"/>
        <v>1848</v>
      </c>
      <c r="N126" s="2">
        <f t="shared" si="11"/>
        <v>1465</v>
      </c>
      <c r="O126" s="2">
        <f t="shared" si="12"/>
        <v>7975</v>
      </c>
      <c r="P126" s="2">
        <f t="shared" si="13"/>
        <v>23925</v>
      </c>
      <c r="Q126" s="2">
        <f t="shared" si="14"/>
        <v>25825</v>
      </c>
      <c r="R126" s="2">
        <f t="shared" si="15"/>
        <v>4625</v>
      </c>
      <c r="S126" s="2">
        <f t="shared" si="16"/>
        <v>3183</v>
      </c>
      <c r="T126" s="2">
        <f t="shared" si="17"/>
        <v>2462</v>
      </c>
      <c r="U126" s="2">
        <f t="shared" si="18"/>
        <v>2030</v>
      </c>
      <c r="V126" s="2">
        <f t="shared" si="19"/>
        <v>1741</v>
      </c>
      <c r="W126" s="2">
        <f t="shared" si="20"/>
        <v>1381</v>
      </c>
      <c r="X126" s="2">
        <f t="shared" si="21"/>
        <v>9570</v>
      </c>
      <c r="Y126" s="2">
        <f t="shared" si="22"/>
        <v>22330</v>
      </c>
      <c r="Z126" s="2">
        <f t="shared" si="23"/>
        <v>24230</v>
      </c>
      <c r="AA126" s="2">
        <f t="shared" si="24"/>
        <v>4341</v>
      </c>
      <c r="AB126" s="2">
        <f t="shared" si="25"/>
        <v>2988</v>
      </c>
      <c r="AC126" s="2">
        <f t="shared" si="26"/>
        <v>2311</v>
      </c>
      <c r="AD126" s="2">
        <f t="shared" si="27"/>
        <v>1905</v>
      </c>
      <c r="AE126" s="2">
        <f t="shared" si="28"/>
        <v>1634</v>
      </c>
      <c r="AF126" s="2">
        <f t="shared" si="29"/>
        <v>1296</v>
      </c>
      <c r="AG126" s="2">
        <f t="shared" si="30"/>
        <v>11165</v>
      </c>
      <c r="AH126" s="2">
        <f t="shared" si="31"/>
        <v>20735</v>
      </c>
      <c r="AI126" s="2">
        <f t="shared" si="32"/>
        <v>22635</v>
      </c>
      <c r="AJ126" s="2">
        <f t="shared" si="33"/>
        <v>4057</v>
      </c>
      <c r="AK126" s="2">
        <f t="shared" si="34"/>
        <v>2792</v>
      </c>
      <c r="AL126" s="2">
        <f t="shared" si="35"/>
        <v>2160</v>
      </c>
      <c r="AM126" s="2">
        <f t="shared" si="36"/>
        <v>1780</v>
      </c>
      <c r="AN126" s="2">
        <f t="shared" si="37"/>
        <v>1527</v>
      </c>
      <c r="AO126" s="2">
        <f t="shared" si="38"/>
        <v>1211</v>
      </c>
      <c r="AP126" s="2">
        <f t="shared" si="39"/>
        <v>12760</v>
      </c>
      <c r="AQ126" s="2">
        <f t="shared" si="40"/>
        <v>19140</v>
      </c>
      <c r="AR126" s="2">
        <f t="shared" si="41"/>
        <v>21040</v>
      </c>
      <c r="AS126" s="2">
        <f t="shared" si="42"/>
        <v>3773</v>
      </c>
      <c r="AT126" s="2">
        <f t="shared" si="43"/>
        <v>2597</v>
      </c>
      <c r="AU126" s="2">
        <f t="shared" si="44"/>
        <v>2008</v>
      </c>
      <c r="AV126" s="2">
        <f t="shared" si="45"/>
        <v>1656</v>
      </c>
      <c r="AW126" s="2">
        <f t="shared" si="46"/>
        <v>1420</v>
      </c>
      <c r="AX126" s="2">
        <f t="shared" si="47"/>
        <v>1126</v>
      </c>
    </row>
    <row r="127" ht="14.25" customHeight="1">
      <c r="A127" s="2" t="str">
        <f t="array" ref="A127">IFERROR(INDEX('Product Price'!A:A,SMALL('Product Price'!$D:$D,125)),"")</f>
        <v>SAMSUNG Galaxy Tab S11 5G 12/256 GB</v>
      </c>
      <c r="B127" s="2">
        <f t="array" ref="B127">IFERROR(INDEX('Product Price'!B:B,SMALL('Product Price'!$D:$D,125)),"")</f>
        <v>33900</v>
      </c>
      <c r="C127" s="2">
        <f t="array" ref="C127">IFERROR(INDEX('Product Price'!C:C,SMALL('Product Price'!$D:$D,125)),"")</f>
        <v>115</v>
      </c>
      <c r="D127" s="2">
        <f t="shared" si="1"/>
        <v>1900</v>
      </c>
      <c r="E127" s="2">
        <f t="shared" si="2"/>
        <v>35800</v>
      </c>
      <c r="F127" s="2">
        <f t="shared" si="3"/>
        <v>6780</v>
      </c>
      <c r="G127" s="2">
        <f t="shared" si="4"/>
        <v>27120</v>
      </c>
      <c r="H127" s="2">
        <f t="shared" si="5"/>
        <v>29020</v>
      </c>
      <c r="I127" s="2">
        <f t="shared" si="6"/>
        <v>5195</v>
      </c>
      <c r="J127" s="2">
        <f t="shared" si="7"/>
        <v>3575</v>
      </c>
      <c r="K127" s="2">
        <f t="shared" si="8"/>
        <v>2765</v>
      </c>
      <c r="L127" s="2">
        <f t="shared" si="9"/>
        <v>2279</v>
      </c>
      <c r="M127" s="2">
        <f t="shared" si="10"/>
        <v>1955</v>
      </c>
      <c r="N127" s="2">
        <f t="shared" si="11"/>
        <v>1550</v>
      </c>
      <c r="O127" s="2">
        <f t="shared" si="12"/>
        <v>8475</v>
      </c>
      <c r="P127" s="2">
        <f t="shared" si="13"/>
        <v>25425</v>
      </c>
      <c r="Q127" s="2">
        <f t="shared" si="14"/>
        <v>27325</v>
      </c>
      <c r="R127" s="2">
        <f t="shared" si="15"/>
        <v>4893</v>
      </c>
      <c r="S127" s="2">
        <f t="shared" si="16"/>
        <v>3367</v>
      </c>
      <c r="T127" s="2">
        <f t="shared" si="17"/>
        <v>2604</v>
      </c>
      <c r="U127" s="2">
        <f t="shared" si="18"/>
        <v>2147</v>
      </c>
      <c r="V127" s="2">
        <f t="shared" si="19"/>
        <v>1842</v>
      </c>
      <c r="W127" s="2">
        <f t="shared" si="20"/>
        <v>1460</v>
      </c>
      <c r="X127" s="2">
        <f t="shared" si="21"/>
        <v>10170</v>
      </c>
      <c r="Y127" s="2">
        <f t="shared" si="22"/>
        <v>23730</v>
      </c>
      <c r="Z127" s="2">
        <f t="shared" si="23"/>
        <v>25630</v>
      </c>
      <c r="AA127" s="2">
        <f t="shared" si="24"/>
        <v>4591</v>
      </c>
      <c r="AB127" s="2">
        <f t="shared" si="25"/>
        <v>3159</v>
      </c>
      <c r="AC127" s="2">
        <f t="shared" si="26"/>
        <v>2444</v>
      </c>
      <c r="AD127" s="2">
        <f t="shared" si="27"/>
        <v>2014</v>
      </c>
      <c r="AE127" s="2">
        <f t="shared" si="28"/>
        <v>1728</v>
      </c>
      <c r="AF127" s="2">
        <f t="shared" si="29"/>
        <v>1370</v>
      </c>
      <c r="AG127" s="2">
        <f t="shared" si="30"/>
        <v>11865</v>
      </c>
      <c r="AH127" s="2">
        <f t="shared" si="31"/>
        <v>22035</v>
      </c>
      <c r="AI127" s="2">
        <f t="shared" si="32"/>
        <v>23935</v>
      </c>
      <c r="AJ127" s="2">
        <f t="shared" si="33"/>
        <v>4289</v>
      </c>
      <c r="AK127" s="2">
        <f t="shared" si="34"/>
        <v>2952</v>
      </c>
      <c r="AL127" s="2">
        <f t="shared" si="35"/>
        <v>2283</v>
      </c>
      <c r="AM127" s="2">
        <f t="shared" si="36"/>
        <v>1882</v>
      </c>
      <c r="AN127" s="2">
        <f t="shared" si="37"/>
        <v>1614</v>
      </c>
      <c r="AO127" s="2">
        <f t="shared" si="38"/>
        <v>1280</v>
      </c>
      <c r="AP127" s="2">
        <f t="shared" si="39"/>
        <v>13560</v>
      </c>
      <c r="AQ127" s="2">
        <f t="shared" si="40"/>
        <v>20340</v>
      </c>
      <c r="AR127" s="2">
        <f t="shared" si="41"/>
        <v>22240</v>
      </c>
      <c r="AS127" s="2">
        <f t="shared" si="42"/>
        <v>3987</v>
      </c>
      <c r="AT127" s="2">
        <f t="shared" si="43"/>
        <v>2744</v>
      </c>
      <c r="AU127" s="2">
        <f t="shared" si="44"/>
        <v>2122</v>
      </c>
      <c r="AV127" s="2">
        <f t="shared" si="45"/>
        <v>1749</v>
      </c>
      <c r="AW127" s="2">
        <f t="shared" si="46"/>
        <v>1501</v>
      </c>
      <c r="AX127" s="2">
        <f t="shared" si="47"/>
        <v>1190</v>
      </c>
    </row>
    <row r="128" ht="14.25" customHeight="1">
      <c r="A128" s="2" t="str">
        <f t="array" ref="A128">IFERROR(INDEX('Product Price'!A:A,SMALL('Product Price'!$D:$D,126)),"")</f>
        <v>SAMSUNG Galaxy Tab S11 Ultra 12/256 GB</v>
      </c>
      <c r="B128" s="2">
        <f t="array" ref="B128">IFERROR(INDEX('Product Price'!B:B,SMALL('Product Price'!$D:$D,126)),"")</f>
        <v>45900</v>
      </c>
      <c r="C128" s="2">
        <f t="array" ref="C128">IFERROR(INDEX('Product Price'!C:C,SMALL('Product Price'!$D:$D,126)),"")</f>
        <v>116</v>
      </c>
      <c r="D128" s="2">
        <f t="shared" si="1"/>
        <v>2475</v>
      </c>
      <c r="E128" s="2">
        <f t="shared" si="2"/>
        <v>48375</v>
      </c>
      <c r="F128" s="2">
        <f t="shared" si="3"/>
        <v>9180</v>
      </c>
      <c r="G128" s="2">
        <f t="shared" si="4"/>
        <v>36720</v>
      </c>
      <c r="H128" s="2">
        <f t="shared" si="5"/>
        <v>39195</v>
      </c>
      <c r="I128" s="2">
        <f t="shared" si="6"/>
        <v>7015</v>
      </c>
      <c r="J128" s="2">
        <f t="shared" si="7"/>
        <v>4827</v>
      </c>
      <c r="K128" s="2">
        <f t="shared" si="8"/>
        <v>3734</v>
      </c>
      <c r="L128" s="2">
        <f t="shared" si="9"/>
        <v>3078</v>
      </c>
      <c r="M128" s="2">
        <f t="shared" si="10"/>
        <v>2640</v>
      </c>
      <c r="N128" s="2">
        <f t="shared" si="11"/>
        <v>2094</v>
      </c>
      <c r="O128" s="2">
        <f t="shared" si="12"/>
        <v>11475</v>
      </c>
      <c r="P128" s="2">
        <f t="shared" si="13"/>
        <v>34425</v>
      </c>
      <c r="Q128" s="2">
        <f t="shared" si="14"/>
        <v>36900</v>
      </c>
      <c r="R128" s="2">
        <f t="shared" si="15"/>
        <v>6606</v>
      </c>
      <c r="S128" s="2">
        <f t="shared" si="16"/>
        <v>4546</v>
      </c>
      <c r="T128" s="2">
        <f t="shared" si="17"/>
        <v>3516</v>
      </c>
      <c r="U128" s="2">
        <f t="shared" si="18"/>
        <v>2898</v>
      </c>
      <c r="V128" s="2">
        <f t="shared" si="19"/>
        <v>2486</v>
      </c>
      <c r="W128" s="2">
        <f t="shared" si="20"/>
        <v>1972</v>
      </c>
      <c r="X128" s="2">
        <f t="shared" si="21"/>
        <v>13770</v>
      </c>
      <c r="Y128" s="2">
        <f t="shared" si="22"/>
        <v>32130</v>
      </c>
      <c r="Z128" s="2">
        <f t="shared" si="23"/>
        <v>34605</v>
      </c>
      <c r="AA128" s="2">
        <f t="shared" si="24"/>
        <v>6197</v>
      </c>
      <c r="AB128" s="2">
        <f t="shared" si="25"/>
        <v>4265</v>
      </c>
      <c r="AC128" s="2">
        <f t="shared" si="26"/>
        <v>3299</v>
      </c>
      <c r="AD128" s="2">
        <f t="shared" si="27"/>
        <v>2719</v>
      </c>
      <c r="AE128" s="2">
        <f t="shared" si="28"/>
        <v>2333</v>
      </c>
      <c r="AF128" s="2">
        <f t="shared" si="29"/>
        <v>1850</v>
      </c>
      <c r="AG128" s="2">
        <f t="shared" si="30"/>
        <v>16065</v>
      </c>
      <c r="AH128" s="2">
        <f t="shared" si="31"/>
        <v>29835</v>
      </c>
      <c r="AI128" s="2">
        <f t="shared" si="32"/>
        <v>32310</v>
      </c>
      <c r="AJ128" s="2">
        <f t="shared" si="33"/>
        <v>5788</v>
      </c>
      <c r="AK128" s="2">
        <f t="shared" si="34"/>
        <v>3983</v>
      </c>
      <c r="AL128" s="2">
        <f t="shared" si="35"/>
        <v>3081</v>
      </c>
      <c r="AM128" s="2">
        <f t="shared" si="36"/>
        <v>2540</v>
      </c>
      <c r="AN128" s="2">
        <f t="shared" si="37"/>
        <v>2179</v>
      </c>
      <c r="AO128" s="2">
        <f t="shared" si="38"/>
        <v>1728</v>
      </c>
      <c r="AP128" s="2">
        <f t="shared" si="39"/>
        <v>18360</v>
      </c>
      <c r="AQ128" s="2">
        <f t="shared" si="40"/>
        <v>27540</v>
      </c>
      <c r="AR128" s="2">
        <f t="shared" si="41"/>
        <v>30015</v>
      </c>
      <c r="AS128" s="2">
        <f t="shared" si="42"/>
        <v>5379</v>
      </c>
      <c r="AT128" s="2">
        <f t="shared" si="43"/>
        <v>3702</v>
      </c>
      <c r="AU128" s="2">
        <f t="shared" si="44"/>
        <v>2863</v>
      </c>
      <c r="AV128" s="2">
        <f t="shared" si="45"/>
        <v>2360</v>
      </c>
      <c r="AW128" s="2">
        <f t="shared" si="46"/>
        <v>2025</v>
      </c>
      <c r="AX128" s="2">
        <f t="shared" si="47"/>
        <v>1606</v>
      </c>
    </row>
    <row r="129" ht="14.25" customHeight="1">
      <c r="A129" s="2" t="str">
        <f t="array" ref="A129">IFERROR(INDEX('Product Price'!A:A,SMALL('Product Price'!$D:$D,127)),"")</f>
        <v>TECNO POVA 8 Pro 5G LAMBORGHINI 12/512 GB</v>
      </c>
      <c r="B129" s="2">
        <f t="array" ref="B129">IFERROR(INDEX('Product Price'!B:B,SMALL('Product Price'!$D:$D,127)),"")</f>
        <v>19999</v>
      </c>
      <c r="C129" s="2">
        <f t="array" ref="C129">IFERROR(INDEX('Product Price'!C:C,SMALL('Product Price'!$D:$D,127)),"")</f>
        <v>174</v>
      </c>
      <c r="D129" s="2">
        <f t="shared" si="1"/>
        <v>1450</v>
      </c>
      <c r="E129" s="2">
        <f t="shared" si="2"/>
        <v>21449</v>
      </c>
      <c r="F129" s="2">
        <f t="shared" si="3"/>
        <v>4000</v>
      </c>
      <c r="G129" s="2">
        <f t="shared" si="4"/>
        <v>15999</v>
      </c>
      <c r="H129" s="2">
        <f t="shared" si="5"/>
        <v>17449</v>
      </c>
      <c r="I129" s="2">
        <f t="shared" si="6"/>
        <v>3127</v>
      </c>
      <c r="J129" s="2">
        <f t="shared" si="7"/>
        <v>2152</v>
      </c>
      <c r="K129" s="2">
        <f t="shared" si="8"/>
        <v>1665</v>
      </c>
      <c r="L129" s="2">
        <f t="shared" si="9"/>
        <v>1372</v>
      </c>
      <c r="M129" s="2">
        <f t="shared" si="10"/>
        <v>1177</v>
      </c>
      <c r="N129" s="2">
        <f t="shared" si="11"/>
        <v>934</v>
      </c>
      <c r="O129" s="2">
        <f t="shared" si="12"/>
        <v>5000</v>
      </c>
      <c r="P129" s="2">
        <f t="shared" si="13"/>
        <v>14999</v>
      </c>
      <c r="Q129" s="2">
        <f t="shared" si="14"/>
        <v>16449</v>
      </c>
      <c r="R129" s="2">
        <f t="shared" si="15"/>
        <v>2949</v>
      </c>
      <c r="S129" s="2">
        <f t="shared" si="16"/>
        <v>2030</v>
      </c>
      <c r="T129" s="2">
        <f t="shared" si="17"/>
        <v>1570</v>
      </c>
      <c r="U129" s="2">
        <f t="shared" si="18"/>
        <v>1294</v>
      </c>
      <c r="V129" s="2">
        <f t="shared" si="19"/>
        <v>1110</v>
      </c>
      <c r="W129" s="2">
        <f t="shared" si="20"/>
        <v>880</v>
      </c>
      <c r="X129" s="2">
        <f t="shared" si="21"/>
        <v>6000</v>
      </c>
      <c r="Y129" s="2">
        <f t="shared" si="22"/>
        <v>13999</v>
      </c>
      <c r="Z129" s="2">
        <f t="shared" si="23"/>
        <v>15449</v>
      </c>
      <c r="AA129" s="2">
        <f t="shared" si="24"/>
        <v>2771</v>
      </c>
      <c r="AB129" s="2">
        <f t="shared" si="25"/>
        <v>1907</v>
      </c>
      <c r="AC129" s="2">
        <f t="shared" si="26"/>
        <v>1475</v>
      </c>
      <c r="AD129" s="2">
        <f t="shared" si="27"/>
        <v>1216</v>
      </c>
      <c r="AE129" s="2">
        <f t="shared" si="28"/>
        <v>1043</v>
      </c>
      <c r="AF129" s="2">
        <f t="shared" si="29"/>
        <v>827</v>
      </c>
      <c r="AG129" s="2">
        <f t="shared" si="30"/>
        <v>7000</v>
      </c>
      <c r="AH129" s="2">
        <f t="shared" si="31"/>
        <v>12999</v>
      </c>
      <c r="AI129" s="2">
        <f t="shared" si="32"/>
        <v>14449</v>
      </c>
      <c r="AJ129" s="2">
        <f t="shared" si="33"/>
        <v>2593</v>
      </c>
      <c r="AK129" s="2">
        <f t="shared" si="34"/>
        <v>1785</v>
      </c>
      <c r="AL129" s="2">
        <f t="shared" si="35"/>
        <v>1380</v>
      </c>
      <c r="AM129" s="2">
        <f t="shared" si="36"/>
        <v>1138</v>
      </c>
      <c r="AN129" s="2">
        <f t="shared" si="37"/>
        <v>976</v>
      </c>
      <c r="AO129" s="2">
        <f t="shared" si="38"/>
        <v>774</v>
      </c>
      <c r="AP129" s="2">
        <f t="shared" si="39"/>
        <v>8000</v>
      </c>
      <c r="AQ129" s="2">
        <f t="shared" si="40"/>
        <v>11999</v>
      </c>
      <c r="AR129" s="2">
        <f t="shared" si="41"/>
        <v>13449</v>
      </c>
      <c r="AS129" s="2">
        <f t="shared" si="42"/>
        <v>2415</v>
      </c>
      <c r="AT129" s="2">
        <f t="shared" si="43"/>
        <v>1662</v>
      </c>
      <c r="AU129" s="2">
        <f t="shared" si="44"/>
        <v>1286</v>
      </c>
      <c r="AV129" s="2">
        <f t="shared" si="45"/>
        <v>1060</v>
      </c>
      <c r="AW129" s="2">
        <f t="shared" si="46"/>
        <v>909</v>
      </c>
      <c r="AX129" s="2">
        <f t="shared" si="47"/>
        <v>721</v>
      </c>
    </row>
    <row r="130" ht="14.25" customHeight="1">
      <c r="A130" s="2" t="str">
        <f t="array" ref="A130">IFERROR(INDEX('Product Price'!A:A,SMALL('Product Price'!$D:$D,128)),"")</f>
        <v>TECNO POVA 8 Pro 5G LAMBORGHINI 12/256 GB</v>
      </c>
      <c r="B130" s="2">
        <f t="array" ref="B130">IFERROR(INDEX('Product Price'!B:B,SMALL('Product Price'!$D:$D,128)),"")</f>
        <v>17999</v>
      </c>
      <c r="C130" s="2">
        <f t="array" ref="C130">IFERROR(INDEX('Product Price'!C:C,SMALL('Product Price'!$D:$D,128)),"")</f>
        <v>175</v>
      </c>
      <c r="D130" s="2">
        <f t="shared" si="1"/>
        <v>1450</v>
      </c>
      <c r="E130" s="2">
        <f t="shared" si="2"/>
        <v>19449</v>
      </c>
      <c r="F130" s="2">
        <f t="shared" si="3"/>
        <v>3600</v>
      </c>
      <c r="G130" s="2">
        <f t="shared" si="4"/>
        <v>14399</v>
      </c>
      <c r="H130" s="2">
        <f t="shared" si="5"/>
        <v>15849</v>
      </c>
      <c r="I130" s="2">
        <f t="shared" si="6"/>
        <v>2842</v>
      </c>
      <c r="J130" s="2">
        <f t="shared" si="7"/>
        <v>1956</v>
      </c>
      <c r="K130" s="2">
        <f t="shared" si="8"/>
        <v>1513</v>
      </c>
      <c r="L130" s="2">
        <f t="shared" si="9"/>
        <v>1247</v>
      </c>
      <c r="M130" s="2">
        <f t="shared" si="10"/>
        <v>1070</v>
      </c>
      <c r="N130" s="2">
        <f t="shared" si="11"/>
        <v>849</v>
      </c>
      <c r="O130" s="2">
        <f t="shared" si="12"/>
        <v>4500</v>
      </c>
      <c r="P130" s="2">
        <f t="shared" si="13"/>
        <v>13499</v>
      </c>
      <c r="Q130" s="2">
        <f t="shared" si="14"/>
        <v>14949</v>
      </c>
      <c r="R130" s="2">
        <f t="shared" si="15"/>
        <v>2682</v>
      </c>
      <c r="S130" s="2">
        <f t="shared" si="16"/>
        <v>1846</v>
      </c>
      <c r="T130" s="2">
        <f t="shared" si="17"/>
        <v>1428</v>
      </c>
      <c r="U130" s="2">
        <f t="shared" si="18"/>
        <v>1177</v>
      </c>
      <c r="V130" s="2">
        <f t="shared" si="19"/>
        <v>1010</v>
      </c>
      <c r="W130" s="2">
        <f t="shared" si="20"/>
        <v>801</v>
      </c>
      <c r="X130" s="2">
        <f t="shared" si="21"/>
        <v>5400</v>
      </c>
      <c r="Y130" s="2">
        <f t="shared" si="22"/>
        <v>12599</v>
      </c>
      <c r="Z130" s="2">
        <f t="shared" si="23"/>
        <v>14049</v>
      </c>
      <c r="AA130" s="2">
        <f t="shared" si="24"/>
        <v>2522</v>
      </c>
      <c r="AB130" s="2">
        <f t="shared" si="25"/>
        <v>1736</v>
      </c>
      <c r="AC130" s="2">
        <f t="shared" si="26"/>
        <v>1342</v>
      </c>
      <c r="AD130" s="2">
        <f t="shared" si="27"/>
        <v>1107</v>
      </c>
      <c r="AE130" s="2">
        <f t="shared" si="28"/>
        <v>949</v>
      </c>
      <c r="AF130" s="2">
        <f t="shared" si="29"/>
        <v>753</v>
      </c>
      <c r="AG130" s="2">
        <f t="shared" si="30"/>
        <v>6300</v>
      </c>
      <c r="AH130" s="2">
        <f t="shared" si="31"/>
        <v>11699</v>
      </c>
      <c r="AI130" s="2">
        <f t="shared" si="32"/>
        <v>13149</v>
      </c>
      <c r="AJ130" s="2">
        <f t="shared" si="33"/>
        <v>2361</v>
      </c>
      <c r="AK130" s="2">
        <f t="shared" si="34"/>
        <v>1625</v>
      </c>
      <c r="AL130" s="2">
        <f t="shared" si="35"/>
        <v>1257</v>
      </c>
      <c r="AM130" s="2">
        <f t="shared" si="36"/>
        <v>1036</v>
      </c>
      <c r="AN130" s="2">
        <f t="shared" si="37"/>
        <v>889</v>
      </c>
      <c r="AO130" s="2">
        <f t="shared" si="38"/>
        <v>705</v>
      </c>
      <c r="AP130" s="2">
        <f t="shared" si="39"/>
        <v>7200</v>
      </c>
      <c r="AQ130" s="2">
        <f t="shared" si="40"/>
        <v>10799</v>
      </c>
      <c r="AR130" s="2">
        <f t="shared" si="41"/>
        <v>12249</v>
      </c>
      <c r="AS130" s="2">
        <f t="shared" si="42"/>
        <v>2201</v>
      </c>
      <c r="AT130" s="2">
        <f t="shared" si="43"/>
        <v>1515</v>
      </c>
      <c r="AU130" s="2">
        <f t="shared" si="44"/>
        <v>1172</v>
      </c>
      <c r="AV130" s="2">
        <f t="shared" si="45"/>
        <v>966</v>
      </c>
      <c r="AW130" s="2">
        <f t="shared" si="46"/>
        <v>829</v>
      </c>
      <c r="AX130" s="2">
        <f t="shared" si="47"/>
        <v>657</v>
      </c>
    </row>
    <row r="131" ht="14.25" customHeight="1">
      <c r="A131" s="2" t="str">
        <f t="array" ref="A131">IFERROR(INDEX('Product Price'!A:A,SMALL('Product Price'!$D:$D,129)),"")</f>
        <v>TECNO POVA 8 Pro 5G LAMBORGHINI 8/256 GB</v>
      </c>
      <c r="B131" s="2">
        <f t="array" ref="B131">IFERROR(INDEX('Product Price'!B:B,SMALL('Product Price'!$D:$D,129)),"")</f>
        <v>15999</v>
      </c>
      <c r="C131" s="2">
        <f t="array" ref="C131">IFERROR(INDEX('Product Price'!C:C,SMALL('Product Price'!$D:$D,129)),"")</f>
        <v>176</v>
      </c>
      <c r="D131" s="2">
        <f t="shared" si="1"/>
        <v>1450</v>
      </c>
      <c r="E131" s="2">
        <f t="shared" si="2"/>
        <v>17449</v>
      </c>
      <c r="F131" s="2">
        <f t="shared" si="3"/>
        <v>3200</v>
      </c>
      <c r="G131" s="2">
        <f t="shared" si="4"/>
        <v>12799</v>
      </c>
      <c r="H131" s="2">
        <f t="shared" si="5"/>
        <v>14249</v>
      </c>
      <c r="I131" s="2">
        <f t="shared" si="6"/>
        <v>2557</v>
      </c>
      <c r="J131" s="2">
        <f t="shared" si="7"/>
        <v>1760</v>
      </c>
      <c r="K131" s="2">
        <f t="shared" si="8"/>
        <v>1361</v>
      </c>
      <c r="L131" s="2">
        <f t="shared" si="9"/>
        <v>1122</v>
      </c>
      <c r="M131" s="2">
        <f t="shared" si="10"/>
        <v>963</v>
      </c>
      <c r="N131" s="2">
        <f t="shared" si="11"/>
        <v>763</v>
      </c>
      <c r="O131" s="2">
        <f t="shared" si="12"/>
        <v>4000</v>
      </c>
      <c r="P131" s="2">
        <f t="shared" si="13"/>
        <v>11999</v>
      </c>
      <c r="Q131" s="2">
        <f t="shared" si="14"/>
        <v>13449</v>
      </c>
      <c r="R131" s="2">
        <f t="shared" si="15"/>
        <v>2415</v>
      </c>
      <c r="S131" s="2">
        <f t="shared" si="16"/>
        <v>1662</v>
      </c>
      <c r="T131" s="2">
        <f t="shared" si="17"/>
        <v>1286</v>
      </c>
      <c r="U131" s="2">
        <f t="shared" si="18"/>
        <v>1060</v>
      </c>
      <c r="V131" s="2">
        <f t="shared" si="19"/>
        <v>909</v>
      </c>
      <c r="W131" s="2">
        <f t="shared" si="20"/>
        <v>721</v>
      </c>
      <c r="X131" s="2">
        <f t="shared" si="21"/>
        <v>4800</v>
      </c>
      <c r="Y131" s="2">
        <f t="shared" si="22"/>
        <v>11199</v>
      </c>
      <c r="Z131" s="2">
        <f t="shared" si="23"/>
        <v>12649</v>
      </c>
      <c r="AA131" s="2">
        <f t="shared" si="24"/>
        <v>2272</v>
      </c>
      <c r="AB131" s="2">
        <f t="shared" si="25"/>
        <v>1564</v>
      </c>
      <c r="AC131" s="2">
        <f t="shared" si="26"/>
        <v>1210</v>
      </c>
      <c r="AD131" s="2">
        <f t="shared" si="27"/>
        <v>997</v>
      </c>
      <c r="AE131" s="2">
        <f t="shared" si="28"/>
        <v>855</v>
      </c>
      <c r="AF131" s="2">
        <f t="shared" si="29"/>
        <v>678</v>
      </c>
      <c r="AG131" s="2">
        <f t="shared" si="30"/>
        <v>5600</v>
      </c>
      <c r="AH131" s="2">
        <f t="shared" si="31"/>
        <v>10399</v>
      </c>
      <c r="AI131" s="2">
        <f t="shared" si="32"/>
        <v>11849</v>
      </c>
      <c r="AJ131" s="2">
        <f t="shared" si="33"/>
        <v>2130</v>
      </c>
      <c r="AK131" s="2">
        <f t="shared" si="34"/>
        <v>1466</v>
      </c>
      <c r="AL131" s="2">
        <f t="shared" si="35"/>
        <v>1134</v>
      </c>
      <c r="AM131" s="2">
        <f t="shared" si="36"/>
        <v>935</v>
      </c>
      <c r="AN131" s="2">
        <f t="shared" si="37"/>
        <v>802</v>
      </c>
      <c r="AO131" s="2">
        <f t="shared" si="38"/>
        <v>636</v>
      </c>
      <c r="AP131" s="2">
        <f t="shared" si="39"/>
        <v>6400</v>
      </c>
      <c r="AQ131" s="2">
        <f t="shared" si="40"/>
        <v>9599</v>
      </c>
      <c r="AR131" s="2">
        <f t="shared" si="41"/>
        <v>11049</v>
      </c>
      <c r="AS131" s="2">
        <f t="shared" si="42"/>
        <v>1987</v>
      </c>
      <c r="AT131" s="2">
        <f t="shared" si="43"/>
        <v>1368</v>
      </c>
      <c r="AU131" s="2">
        <f t="shared" si="44"/>
        <v>1058</v>
      </c>
      <c r="AV131" s="2">
        <f t="shared" si="45"/>
        <v>872</v>
      </c>
      <c r="AW131" s="2">
        <f t="shared" si="46"/>
        <v>748</v>
      </c>
      <c r="AX131" s="2">
        <f t="shared" si="47"/>
        <v>593</v>
      </c>
    </row>
    <row r="132" ht="14.25" customHeight="1">
      <c r="A132" s="2" t="str">
        <f t="array" ref="A132">IFERROR(INDEX('Product Price'!A:A,SMALL('Product Price'!$D:$D,130)),"")</f>
        <v>TECNO POVA8 Pro 5G 8/256 GB</v>
      </c>
      <c r="B132" s="2">
        <f t="array" ref="B132">IFERROR(INDEX('Product Price'!B:B,SMALL('Product Price'!$D:$D,130)),"")</f>
        <v>14999</v>
      </c>
      <c r="C132" s="2">
        <f t="array" ref="C132">IFERROR(INDEX('Product Price'!C:C,SMALL('Product Price'!$D:$D,130)),"")</f>
        <v>122</v>
      </c>
      <c r="D132" s="2">
        <f t="shared" si="1"/>
        <v>1450</v>
      </c>
      <c r="E132" s="2">
        <f t="shared" si="2"/>
        <v>16449</v>
      </c>
      <c r="F132" s="2">
        <f t="shared" si="3"/>
        <v>3000</v>
      </c>
      <c r="G132" s="2">
        <f t="shared" si="4"/>
        <v>11999</v>
      </c>
      <c r="H132" s="2">
        <f t="shared" si="5"/>
        <v>13449</v>
      </c>
      <c r="I132" s="2">
        <f t="shared" si="6"/>
        <v>2415</v>
      </c>
      <c r="J132" s="2">
        <f t="shared" si="7"/>
        <v>1662</v>
      </c>
      <c r="K132" s="2">
        <f t="shared" si="8"/>
        <v>1286</v>
      </c>
      <c r="L132" s="2">
        <f t="shared" si="9"/>
        <v>1060</v>
      </c>
      <c r="M132" s="2">
        <f t="shared" si="10"/>
        <v>909</v>
      </c>
      <c r="N132" s="2">
        <f t="shared" si="11"/>
        <v>721</v>
      </c>
      <c r="O132" s="2">
        <f t="shared" si="12"/>
        <v>3750</v>
      </c>
      <c r="P132" s="2">
        <f t="shared" si="13"/>
        <v>11249</v>
      </c>
      <c r="Q132" s="2">
        <f t="shared" si="14"/>
        <v>12699</v>
      </c>
      <c r="R132" s="2">
        <f t="shared" si="15"/>
        <v>2281</v>
      </c>
      <c r="S132" s="2">
        <f t="shared" si="16"/>
        <v>1570</v>
      </c>
      <c r="T132" s="2">
        <f t="shared" si="17"/>
        <v>1214</v>
      </c>
      <c r="U132" s="2">
        <f t="shared" si="18"/>
        <v>1001</v>
      </c>
      <c r="V132" s="2">
        <f t="shared" si="19"/>
        <v>859</v>
      </c>
      <c r="W132" s="2">
        <f t="shared" si="20"/>
        <v>681</v>
      </c>
      <c r="X132" s="2">
        <f t="shared" si="21"/>
        <v>4500</v>
      </c>
      <c r="Y132" s="2">
        <f t="shared" si="22"/>
        <v>10499</v>
      </c>
      <c r="Z132" s="2">
        <f t="shared" si="23"/>
        <v>11949</v>
      </c>
      <c r="AA132" s="2">
        <f t="shared" si="24"/>
        <v>2147</v>
      </c>
      <c r="AB132" s="2">
        <f t="shared" si="25"/>
        <v>1478</v>
      </c>
      <c r="AC132" s="2">
        <f t="shared" si="26"/>
        <v>1143</v>
      </c>
      <c r="AD132" s="2">
        <f t="shared" si="27"/>
        <v>942</v>
      </c>
      <c r="AE132" s="2">
        <f t="shared" si="28"/>
        <v>809</v>
      </c>
      <c r="AF132" s="2">
        <f t="shared" si="29"/>
        <v>641</v>
      </c>
      <c r="AG132" s="2">
        <f t="shared" si="30"/>
        <v>5250</v>
      </c>
      <c r="AH132" s="2">
        <f t="shared" si="31"/>
        <v>9749</v>
      </c>
      <c r="AI132" s="2">
        <f t="shared" si="32"/>
        <v>11199</v>
      </c>
      <c r="AJ132" s="2">
        <f t="shared" si="33"/>
        <v>2014</v>
      </c>
      <c r="AK132" s="2">
        <f t="shared" si="34"/>
        <v>1386</v>
      </c>
      <c r="AL132" s="2">
        <f t="shared" si="35"/>
        <v>1072</v>
      </c>
      <c r="AM132" s="2">
        <f t="shared" si="36"/>
        <v>884</v>
      </c>
      <c r="AN132" s="2">
        <f t="shared" si="37"/>
        <v>758</v>
      </c>
      <c r="AO132" s="2">
        <f t="shared" si="38"/>
        <v>601</v>
      </c>
      <c r="AP132" s="2">
        <f t="shared" si="39"/>
        <v>6000</v>
      </c>
      <c r="AQ132" s="2">
        <f t="shared" si="40"/>
        <v>8999</v>
      </c>
      <c r="AR132" s="2">
        <f t="shared" si="41"/>
        <v>10449</v>
      </c>
      <c r="AS132" s="2">
        <f t="shared" si="42"/>
        <v>1880</v>
      </c>
      <c r="AT132" s="2">
        <f t="shared" si="43"/>
        <v>1294</v>
      </c>
      <c r="AU132" s="2">
        <f t="shared" si="44"/>
        <v>1001</v>
      </c>
      <c r="AV132" s="2">
        <f t="shared" si="45"/>
        <v>825</v>
      </c>
      <c r="AW132" s="2">
        <f t="shared" si="46"/>
        <v>708</v>
      </c>
      <c r="AX132" s="2">
        <f t="shared" si="47"/>
        <v>561</v>
      </c>
    </row>
    <row r="133" ht="14.25" customHeight="1">
      <c r="A133" s="2" t="str">
        <f t="array" ref="A133">IFERROR(INDEX('Product Price'!A:A,SMALL('Product Price'!$D:$D,131)),"")</f>
        <v>TECNO POVA8 Pro 5G 12/256 GB</v>
      </c>
      <c r="B133" s="2">
        <f t="array" ref="B133">IFERROR(INDEX('Product Price'!B:B,SMALL('Product Price'!$D:$D,131)),"")</f>
        <v>16999</v>
      </c>
      <c r="C133" s="2">
        <f t="array" ref="C133">IFERROR(INDEX('Product Price'!C:C,SMALL('Product Price'!$D:$D,131)),"")</f>
        <v>123</v>
      </c>
      <c r="D133" s="2">
        <f t="shared" si="1"/>
        <v>1450</v>
      </c>
      <c r="E133" s="2">
        <f t="shared" si="2"/>
        <v>18449</v>
      </c>
      <c r="F133" s="2">
        <f t="shared" si="3"/>
        <v>3400</v>
      </c>
      <c r="G133" s="2">
        <f t="shared" si="4"/>
        <v>13599</v>
      </c>
      <c r="H133" s="2">
        <f t="shared" si="5"/>
        <v>15049</v>
      </c>
      <c r="I133" s="2">
        <f t="shared" si="6"/>
        <v>2700</v>
      </c>
      <c r="J133" s="2">
        <f t="shared" si="7"/>
        <v>1858</v>
      </c>
      <c r="K133" s="2">
        <f t="shared" si="8"/>
        <v>1437</v>
      </c>
      <c r="L133" s="2">
        <f t="shared" si="9"/>
        <v>1185</v>
      </c>
      <c r="M133" s="2">
        <f t="shared" si="10"/>
        <v>1016</v>
      </c>
      <c r="N133" s="2">
        <f t="shared" si="11"/>
        <v>806</v>
      </c>
      <c r="O133" s="2">
        <f t="shared" si="12"/>
        <v>4250</v>
      </c>
      <c r="P133" s="2">
        <f t="shared" si="13"/>
        <v>12749</v>
      </c>
      <c r="Q133" s="2">
        <f t="shared" si="14"/>
        <v>14199</v>
      </c>
      <c r="R133" s="2">
        <f t="shared" si="15"/>
        <v>2548</v>
      </c>
      <c r="S133" s="2">
        <f t="shared" si="16"/>
        <v>1754</v>
      </c>
      <c r="T133" s="2">
        <f t="shared" si="17"/>
        <v>1357</v>
      </c>
      <c r="U133" s="2">
        <f t="shared" si="18"/>
        <v>1118</v>
      </c>
      <c r="V133" s="2">
        <f t="shared" si="19"/>
        <v>959</v>
      </c>
      <c r="W133" s="2">
        <f t="shared" si="20"/>
        <v>761</v>
      </c>
      <c r="X133" s="2">
        <f t="shared" si="21"/>
        <v>5100</v>
      </c>
      <c r="Y133" s="2">
        <f t="shared" si="22"/>
        <v>11899</v>
      </c>
      <c r="Z133" s="2">
        <f t="shared" si="23"/>
        <v>13349</v>
      </c>
      <c r="AA133" s="2">
        <f t="shared" si="24"/>
        <v>2397</v>
      </c>
      <c r="AB133" s="2">
        <f t="shared" si="25"/>
        <v>1650</v>
      </c>
      <c r="AC133" s="2">
        <f t="shared" si="26"/>
        <v>1276</v>
      </c>
      <c r="AD133" s="2">
        <f t="shared" si="27"/>
        <v>1052</v>
      </c>
      <c r="AE133" s="2">
        <f t="shared" si="28"/>
        <v>902</v>
      </c>
      <c r="AF133" s="2">
        <f t="shared" si="29"/>
        <v>716</v>
      </c>
      <c r="AG133" s="2">
        <f t="shared" si="30"/>
        <v>5950</v>
      </c>
      <c r="AH133" s="2">
        <f t="shared" si="31"/>
        <v>11049</v>
      </c>
      <c r="AI133" s="2">
        <f t="shared" si="32"/>
        <v>12499</v>
      </c>
      <c r="AJ133" s="2">
        <f t="shared" si="33"/>
        <v>2245</v>
      </c>
      <c r="AK133" s="2">
        <f t="shared" si="34"/>
        <v>1545</v>
      </c>
      <c r="AL133" s="2">
        <f t="shared" si="35"/>
        <v>1195</v>
      </c>
      <c r="AM133" s="2">
        <f t="shared" si="36"/>
        <v>985</v>
      </c>
      <c r="AN133" s="2">
        <f t="shared" si="37"/>
        <v>845</v>
      </c>
      <c r="AO133" s="2">
        <f t="shared" si="38"/>
        <v>670</v>
      </c>
      <c r="AP133" s="2">
        <f t="shared" si="39"/>
        <v>6800</v>
      </c>
      <c r="AQ133" s="2">
        <f t="shared" si="40"/>
        <v>10199</v>
      </c>
      <c r="AR133" s="2">
        <f t="shared" si="41"/>
        <v>11649</v>
      </c>
      <c r="AS133" s="2">
        <f t="shared" si="42"/>
        <v>2094</v>
      </c>
      <c r="AT133" s="2">
        <f t="shared" si="43"/>
        <v>1441</v>
      </c>
      <c r="AU133" s="2">
        <f t="shared" si="44"/>
        <v>1115</v>
      </c>
      <c r="AV133" s="2">
        <f t="shared" si="45"/>
        <v>919</v>
      </c>
      <c r="AW133" s="2">
        <f t="shared" si="46"/>
        <v>788</v>
      </c>
      <c r="AX133" s="2">
        <f t="shared" si="47"/>
        <v>625</v>
      </c>
    </row>
    <row r="134" ht="14.25" customHeight="1">
      <c r="A134" s="2" t="str">
        <f t="array" ref="A134">IFERROR(INDEX('Product Price'!A:A,SMALL('Product Price'!$D:$D,132)),"")</f>
        <v>TECNO POVA8 Pro 5G 12/512 GB</v>
      </c>
      <c r="B134" s="2">
        <f t="array" ref="B134">IFERROR(INDEX('Product Price'!B:B,SMALL('Product Price'!$D:$D,132)),"")</f>
        <v>18999</v>
      </c>
      <c r="C134" s="2">
        <f t="array" ref="C134">IFERROR(INDEX('Product Price'!C:C,SMALL('Product Price'!$D:$D,132)),"")</f>
        <v>124</v>
      </c>
      <c r="D134" s="2">
        <f t="shared" si="1"/>
        <v>1450</v>
      </c>
      <c r="E134" s="2">
        <f t="shared" si="2"/>
        <v>20449</v>
      </c>
      <c r="F134" s="2">
        <f t="shared" si="3"/>
        <v>3800</v>
      </c>
      <c r="G134" s="2">
        <f t="shared" si="4"/>
        <v>15199</v>
      </c>
      <c r="H134" s="2">
        <f t="shared" si="5"/>
        <v>16649</v>
      </c>
      <c r="I134" s="2">
        <f t="shared" si="6"/>
        <v>2985</v>
      </c>
      <c r="J134" s="2">
        <f t="shared" si="7"/>
        <v>2054</v>
      </c>
      <c r="K134" s="2">
        <f t="shared" si="8"/>
        <v>1589</v>
      </c>
      <c r="L134" s="2">
        <f t="shared" si="9"/>
        <v>1310</v>
      </c>
      <c r="M134" s="2">
        <f t="shared" si="10"/>
        <v>1124</v>
      </c>
      <c r="N134" s="2">
        <f t="shared" si="11"/>
        <v>891</v>
      </c>
      <c r="O134" s="2">
        <f t="shared" si="12"/>
        <v>4750</v>
      </c>
      <c r="P134" s="2">
        <f t="shared" si="13"/>
        <v>14249</v>
      </c>
      <c r="Q134" s="2">
        <f t="shared" si="14"/>
        <v>15699</v>
      </c>
      <c r="R134" s="2">
        <f t="shared" si="15"/>
        <v>2816</v>
      </c>
      <c r="S134" s="2">
        <f t="shared" si="16"/>
        <v>1938</v>
      </c>
      <c r="T134" s="2">
        <f t="shared" si="17"/>
        <v>1499</v>
      </c>
      <c r="U134" s="2">
        <f t="shared" si="18"/>
        <v>1236</v>
      </c>
      <c r="V134" s="2">
        <f t="shared" si="19"/>
        <v>1060</v>
      </c>
      <c r="W134" s="2">
        <f t="shared" si="20"/>
        <v>841</v>
      </c>
      <c r="X134" s="2">
        <f t="shared" si="21"/>
        <v>5700</v>
      </c>
      <c r="Y134" s="2">
        <f t="shared" si="22"/>
        <v>13299</v>
      </c>
      <c r="Z134" s="2">
        <f t="shared" si="23"/>
        <v>14749</v>
      </c>
      <c r="AA134" s="2">
        <f t="shared" si="24"/>
        <v>2646</v>
      </c>
      <c r="AB134" s="2">
        <f t="shared" si="25"/>
        <v>1821</v>
      </c>
      <c r="AC134" s="2">
        <f t="shared" si="26"/>
        <v>1409</v>
      </c>
      <c r="AD134" s="2">
        <f t="shared" si="27"/>
        <v>1161</v>
      </c>
      <c r="AE134" s="2">
        <f t="shared" si="28"/>
        <v>996</v>
      </c>
      <c r="AF134" s="2">
        <f t="shared" si="29"/>
        <v>790</v>
      </c>
      <c r="AG134" s="2">
        <f t="shared" si="30"/>
        <v>6650</v>
      </c>
      <c r="AH134" s="2">
        <f t="shared" si="31"/>
        <v>12349</v>
      </c>
      <c r="AI134" s="2">
        <f t="shared" si="32"/>
        <v>13799</v>
      </c>
      <c r="AJ134" s="2">
        <f t="shared" si="33"/>
        <v>2477</v>
      </c>
      <c r="AK134" s="2">
        <f t="shared" si="34"/>
        <v>1705</v>
      </c>
      <c r="AL134" s="2">
        <f t="shared" si="35"/>
        <v>1319</v>
      </c>
      <c r="AM134" s="2">
        <f t="shared" si="36"/>
        <v>1087</v>
      </c>
      <c r="AN134" s="2">
        <f t="shared" si="37"/>
        <v>933</v>
      </c>
      <c r="AO134" s="2">
        <f t="shared" si="38"/>
        <v>740</v>
      </c>
      <c r="AP134" s="2">
        <f t="shared" si="39"/>
        <v>7600</v>
      </c>
      <c r="AQ134" s="2">
        <f t="shared" si="40"/>
        <v>11399</v>
      </c>
      <c r="AR134" s="2">
        <f t="shared" si="41"/>
        <v>12849</v>
      </c>
      <c r="AS134" s="2">
        <f t="shared" si="42"/>
        <v>2308</v>
      </c>
      <c r="AT134" s="2">
        <f t="shared" si="43"/>
        <v>1588</v>
      </c>
      <c r="AU134" s="2">
        <f t="shared" si="44"/>
        <v>1229</v>
      </c>
      <c r="AV134" s="2">
        <f t="shared" si="45"/>
        <v>1013</v>
      </c>
      <c r="AW134" s="2">
        <f t="shared" si="46"/>
        <v>869</v>
      </c>
      <c r="AX134" s="2">
        <f t="shared" si="47"/>
        <v>689</v>
      </c>
    </row>
    <row r="135" ht="14.25" customHeight="1">
      <c r="A135" s="2" t="str">
        <f t="array" ref="A135">IFERROR(INDEX('Product Price'!A:A,SMALL('Product Price'!$D:$D,133)),"")</f>
        <v>TECNO POVA8 5G 6/128 GB</v>
      </c>
      <c r="B135" s="2">
        <f t="array" ref="B135">IFERROR(INDEX('Product Price'!B:B,SMALL('Product Price'!$D:$D,133)),"")</f>
        <v>9999</v>
      </c>
      <c r="C135" s="2">
        <f t="array" ref="C135">IFERROR(INDEX('Product Price'!C:C,SMALL('Product Price'!$D:$D,133)),"")</f>
        <v>125</v>
      </c>
      <c r="D135" s="2">
        <f t="shared" si="1"/>
        <v>795</v>
      </c>
      <c r="E135" s="2">
        <f t="shared" si="2"/>
        <v>10794</v>
      </c>
      <c r="F135" s="2">
        <f t="shared" si="3"/>
        <v>2000</v>
      </c>
      <c r="G135" s="2">
        <f t="shared" si="4"/>
        <v>7999</v>
      </c>
      <c r="H135" s="2">
        <f t="shared" si="5"/>
        <v>8794</v>
      </c>
      <c r="I135" s="2">
        <f t="shared" si="6"/>
        <v>1577</v>
      </c>
      <c r="J135" s="2">
        <f t="shared" si="7"/>
        <v>1086</v>
      </c>
      <c r="K135" s="2">
        <f t="shared" si="8"/>
        <v>840</v>
      </c>
      <c r="L135" s="2">
        <f t="shared" si="9"/>
        <v>692</v>
      </c>
      <c r="M135" s="2">
        <f t="shared" si="10"/>
        <v>594</v>
      </c>
      <c r="N135" s="2">
        <f t="shared" si="11"/>
        <v>471</v>
      </c>
      <c r="O135" s="2">
        <f t="shared" si="12"/>
        <v>2500</v>
      </c>
      <c r="P135" s="2">
        <f t="shared" si="13"/>
        <v>7499</v>
      </c>
      <c r="Q135" s="2">
        <f t="shared" si="14"/>
        <v>8294</v>
      </c>
      <c r="R135" s="2">
        <f t="shared" si="15"/>
        <v>1488</v>
      </c>
      <c r="S135" s="2">
        <f t="shared" si="16"/>
        <v>1024</v>
      </c>
      <c r="T135" s="2">
        <f t="shared" si="17"/>
        <v>792</v>
      </c>
      <c r="U135" s="2">
        <f t="shared" si="18"/>
        <v>653</v>
      </c>
      <c r="V135" s="2">
        <f t="shared" si="19"/>
        <v>560</v>
      </c>
      <c r="W135" s="2" t="str">
        <f t="shared" si="20"/>
        <v>-</v>
      </c>
      <c r="X135" s="2">
        <f t="shared" si="21"/>
        <v>3000</v>
      </c>
      <c r="Y135" s="2">
        <f t="shared" si="22"/>
        <v>6999</v>
      </c>
      <c r="Z135" s="2">
        <f t="shared" si="23"/>
        <v>7794</v>
      </c>
      <c r="AA135" s="2">
        <f t="shared" si="24"/>
        <v>1399</v>
      </c>
      <c r="AB135" s="2">
        <f t="shared" si="25"/>
        <v>963</v>
      </c>
      <c r="AC135" s="2">
        <f t="shared" si="26"/>
        <v>745</v>
      </c>
      <c r="AD135" s="2">
        <f t="shared" si="27"/>
        <v>614</v>
      </c>
      <c r="AE135" s="2">
        <f t="shared" si="28"/>
        <v>527</v>
      </c>
      <c r="AF135" s="2" t="str">
        <f t="shared" si="29"/>
        <v>-</v>
      </c>
      <c r="AG135" s="2">
        <f t="shared" si="30"/>
        <v>3500</v>
      </c>
      <c r="AH135" s="2">
        <f t="shared" si="31"/>
        <v>6499</v>
      </c>
      <c r="AI135" s="2">
        <f t="shared" si="32"/>
        <v>7294</v>
      </c>
      <c r="AJ135" s="2">
        <f t="shared" si="33"/>
        <v>1310</v>
      </c>
      <c r="AK135" s="2">
        <f t="shared" si="34"/>
        <v>902</v>
      </c>
      <c r="AL135" s="2">
        <f t="shared" si="35"/>
        <v>697</v>
      </c>
      <c r="AM135" s="2">
        <f t="shared" si="36"/>
        <v>575</v>
      </c>
      <c r="AN135" s="2">
        <f t="shared" si="37"/>
        <v>493</v>
      </c>
      <c r="AO135" s="2" t="str">
        <f t="shared" si="38"/>
        <v>-</v>
      </c>
      <c r="AP135" s="2">
        <f t="shared" si="39"/>
        <v>4000</v>
      </c>
      <c r="AQ135" s="2">
        <f t="shared" si="40"/>
        <v>5999</v>
      </c>
      <c r="AR135" s="2">
        <f t="shared" si="41"/>
        <v>6794</v>
      </c>
      <c r="AS135" s="2">
        <f t="shared" si="42"/>
        <v>1221</v>
      </c>
      <c r="AT135" s="2">
        <f t="shared" si="43"/>
        <v>840</v>
      </c>
      <c r="AU135" s="2">
        <f t="shared" si="44"/>
        <v>650</v>
      </c>
      <c r="AV135" s="2">
        <f t="shared" si="45"/>
        <v>536</v>
      </c>
      <c r="AW135" s="2">
        <f t="shared" si="46"/>
        <v>460</v>
      </c>
      <c r="AX135" s="2" t="str">
        <f t="shared" si="47"/>
        <v>-</v>
      </c>
    </row>
    <row r="136" ht="14.25" customHeight="1">
      <c r="A136" s="2" t="str">
        <f t="array" ref="A136">IFERROR(INDEX('Product Price'!A:A,SMALL('Product Price'!$D:$D,134)),"")</f>
        <v>TECNO POVA8 5G 8/128 GB</v>
      </c>
      <c r="B136" s="2">
        <f t="array" ref="B136">IFERROR(INDEX('Product Price'!B:B,SMALL('Product Price'!$D:$D,134)),"")</f>
        <v>10999</v>
      </c>
      <c r="C136" s="2">
        <f t="array" ref="C136">IFERROR(INDEX('Product Price'!C:C,SMALL('Product Price'!$D:$D,134)),"")</f>
        <v>126</v>
      </c>
      <c r="D136" s="2">
        <f t="shared" si="1"/>
        <v>1450</v>
      </c>
      <c r="E136" s="2">
        <f t="shared" si="2"/>
        <v>12449</v>
      </c>
      <c r="F136" s="2">
        <f t="shared" si="3"/>
        <v>2200</v>
      </c>
      <c r="G136" s="2">
        <f t="shared" si="4"/>
        <v>8799</v>
      </c>
      <c r="H136" s="2">
        <f t="shared" si="5"/>
        <v>10249</v>
      </c>
      <c r="I136" s="2">
        <f t="shared" si="6"/>
        <v>1845</v>
      </c>
      <c r="J136" s="2">
        <f t="shared" si="7"/>
        <v>1270</v>
      </c>
      <c r="K136" s="2">
        <f t="shared" si="8"/>
        <v>982</v>
      </c>
      <c r="L136" s="2">
        <f t="shared" si="9"/>
        <v>810</v>
      </c>
      <c r="M136" s="2">
        <f t="shared" si="10"/>
        <v>695</v>
      </c>
      <c r="N136" s="2">
        <f t="shared" si="11"/>
        <v>551</v>
      </c>
      <c r="O136" s="2">
        <f t="shared" si="12"/>
        <v>2750</v>
      </c>
      <c r="P136" s="2">
        <f t="shared" si="13"/>
        <v>8249</v>
      </c>
      <c r="Q136" s="2">
        <f t="shared" si="14"/>
        <v>9699</v>
      </c>
      <c r="R136" s="2">
        <f t="shared" si="15"/>
        <v>1747</v>
      </c>
      <c r="S136" s="2">
        <f t="shared" si="16"/>
        <v>1202</v>
      </c>
      <c r="T136" s="2">
        <f t="shared" si="17"/>
        <v>930</v>
      </c>
      <c r="U136" s="2">
        <f t="shared" si="18"/>
        <v>767</v>
      </c>
      <c r="V136" s="2">
        <f t="shared" si="19"/>
        <v>658</v>
      </c>
      <c r="W136" s="2">
        <f t="shared" si="20"/>
        <v>522</v>
      </c>
      <c r="X136" s="2">
        <f t="shared" si="21"/>
        <v>3300</v>
      </c>
      <c r="Y136" s="2">
        <f t="shared" si="22"/>
        <v>7699</v>
      </c>
      <c r="Z136" s="2">
        <f t="shared" si="23"/>
        <v>9149</v>
      </c>
      <c r="AA136" s="2">
        <f t="shared" si="24"/>
        <v>1649</v>
      </c>
      <c r="AB136" s="2">
        <f t="shared" si="25"/>
        <v>1135</v>
      </c>
      <c r="AC136" s="2">
        <f t="shared" si="26"/>
        <v>878</v>
      </c>
      <c r="AD136" s="2">
        <f t="shared" si="27"/>
        <v>724</v>
      </c>
      <c r="AE136" s="2">
        <f t="shared" si="28"/>
        <v>621</v>
      </c>
      <c r="AF136" s="2">
        <f t="shared" si="29"/>
        <v>492</v>
      </c>
      <c r="AG136" s="2">
        <f t="shared" si="30"/>
        <v>3850</v>
      </c>
      <c r="AH136" s="2">
        <f t="shared" si="31"/>
        <v>7149</v>
      </c>
      <c r="AI136" s="2">
        <f t="shared" si="32"/>
        <v>8599</v>
      </c>
      <c r="AJ136" s="2">
        <f t="shared" si="33"/>
        <v>1551</v>
      </c>
      <c r="AK136" s="2">
        <f t="shared" si="34"/>
        <v>1067</v>
      </c>
      <c r="AL136" s="2">
        <f t="shared" si="35"/>
        <v>826</v>
      </c>
      <c r="AM136" s="2">
        <f t="shared" si="36"/>
        <v>681</v>
      </c>
      <c r="AN136" s="2">
        <f t="shared" si="37"/>
        <v>584</v>
      </c>
      <c r="AO136" s="2" t="str">
        <f t="shared" si="38"/>
        <v>-</v>
      </c>
      <c r="AP136" s="2">
        <f t="shared" si="39"/>
        <v>4400</v>
      </c>
      <c r="AQ136" s="2">
        <f t="shared" si="40"/>
        <v>6599</v>
      </c>
      <c r="AR136" s="2">
        <f t="shared" si="41"/>
        <v>8049</v>
      </c>
      <c r="AS136" s="2">
        <f t="shared" si="42"/>
        <v>1453</v>
      </c>
      <c r="AT136" s="2">
        <f t="shared" si="43"/>
        <v>1000</v>
      </c>
      <c r="AU136" s="2">
        <f t="shared" si="44"/>
        <v>773</v>
      </c>
      <c r="AV136" s="2">
        <f t="shared" si="45"/>
        <v>638</v>
      </c>
      <c r="AW136" s="2">
        <f t="shared" si="46"/>
        <v>547</v>
      </c>
      <c r="AX136" s="2" t="str">
        <f t="shared" si="47"/>
        <v>-</v>
      </c>
    </row>
    <row r="137" ht="14.25" customHeight="1">
      <c r="A137" s="2" t="str">
        <f t="array" ref="A137">IFERROR(INDEX('Product Price'!A:A,SMALL('Product Price'!$D:$D,135)),"")</f>
        <v>TECNO POVA8 5G 8/256 GB</v>
      </c>
      <c r="B137" s="2">
        <f t="array" ref="B137">IFERROR(INDEX('Product Price'!B:B,SMALL('Product Price'!$D:$D,135)),"")</f>
        <v>11999</v>
      </c>
      <c r="C137" s="2">
        <f t="array" ref="C137">IFERROR(INDEX('Product Price'!C:C,SMALL('Product Price'!$D:$D,135)),"")</f>
        <v>127</v>
      </c>
      <c r="D137" s="2">
        <f t="shared" si="1"/>
        <v>1450</v>
      </c>
      <c r="E137" s="2">
        <f t="shared" si="2"/>
        <v>13449</v>
      </c>
      <c r="F137" s="2">
        <f t="shared" si="3"/>
        <v>2400</v>
      </c>
      <c r="G137" s="2">
        <f t="shared" si="4"/>
        <v>9599</v>
      </c>
      <c r="H137" s="2">
        <f t="shared" si="5"/>
        <v>11049</v>
      </c>
      <c r="I137" s="2">
        <f t="shared" si="6"/>
        <v>1987</v>
      </c>
      <c r="J137" s="2">
        <f t="shared" si="7"/>
        <v>1368</v>
      </c>
      <c r="K137" s="2">
        <f t="shared" si="8"/>
        <v>1058</v>
      </c>
      <c r="L137" s="2">
        <f t="shared" si="9"/>
        <v>872</v>
      </c>
      <c r="M137" s="2">
        <f t="shared" si="10"/>
        <v>748</v>
      </c>
      <c r="N137" s="2">
        <f t="shared" si="11"/>
        <v>593</v>
      </c>
      <c r="O137" s="2">
        <f t="shared" si="12"/>
        <v>3000</v>
      </c>
      <c r="P137" s="2">
        <f t="shared" si="13"/>
        <v>8999</v>
      </c>
      <c r="Q137" s="2">
        <f t="shared" si="14"/>
        <v>10449</v>
      </c>
      <c r="R137" s="2">
        <f t="shared" si="15"/>
        <v>1880</v>
      </c>
      <c r="S137" s="2">
        <f t="shared" si="16"/>
        <v>1294</v>
      </c>
      <c r="T137" s="2">
        <f t="shared" si="17"/>
        <v>1001</v>
      </c>
      <c r="U137" s="2">
        <f t="shared" si="18"/>
        <v>825</v>
      </c>
      <c r="V137" s="2">
        <f t="shared" si="19"/>
        <v>708</v>
      </c>
      <c r="W137" s="2">
        <f t="shared" si="20"/>
        <v>561</v>
      </c>
      <c r="X137" s="2">
        <f t="shared" si="21"/>
        <v>3600</v>
      </c>
      <c r="Y137" s="2">
        <f t="shared" si="22"/>
        <v>8399</v>
      </c>
      <c r="Z137" s="2">
        <f t="shared" si="23"/>
        <v>9849</v>
      </c>
      <c r="AA137" s="2">
        <f t="shared" si="24"/>
        <v>1773</v>
      </c>
      <c r="AB137" s="2">
        <f t="shared" si="25"/>
        <v>1221</v>
      </c>
      <c r="AC137" s="2">
        <f t="shared" si="26"/>
        <v>944</v>
      </c>
      <c r="AD137" s="2">
        <f t="shared" si="27"/>
        <v>778</v>
      </c>
      <c r="AE137" s="2">
        <f t="shared" si="28"/>
        <v>668</v>
      </c>
      <c r="AF137" s="2">
        <f t="shared" si="29"/>
        <v>530</v>
      </c>
      <c r="AG137" s="2">
        <f t="shared" si="30"/>
        <v>4200</v>
      </c>
      <c r="AH137" s="2">
        <f t="shared" si="31"/>
        <v>7799</v>
      </c>
      <c r="AI137" s="2">
        <f t="shared" si="32"/>
        <v>9249</v>
      </c>
      <c r="AJ137" s="2">
        <f t="shared" si="33"/>
        <v>1666</v>
      </c>
      <c r="AK137" s="2">
        <f t="shared" si="34"/>
        <v>1147</v>
      </c>
      <c r="AL137" s="2">
        <f t="shared" si="35"/>
        <v>887</v>
      </c>
      <c r="AM137" s="2">
        <f t="shared" si="36"/>
        <v>731</v>
      </c>
      <c r="AN137" s="2">
        <f t="shared" si="37"/>
        <v>628</v>
      </c>
      <c r="AO137" s="2">
        <f t="shared" si="38"/>
        <v>498</v>
      </c>
      <c r="AP137" s="2">
        <f t="shared" si="39"/>
        <v>4800</v>
      </c>
      <c r="AQ137" s="2">
        <f t="shared" si="40"/>
        <v>7199</v>
      </c>
      <c r="AR137" s="2">
        <f t="shared" si="41"/>
        <v>8649</v>
      </c>
      <c r="AS137" s="2">
        <f t="shared" si="42"/>
        <v>1560</v>
      </c>
      <c r="AT137" s="2">
        <f t="shared" si="43"/>
        <v>1073</v>
      </c>
      <c r="AU137" s="2">
        <f t="shared" si="44"/>
        <v>830</v>
      </c>
      <c r="AV137" s="2">
        <f t="shared" si="45"/>
        <v>684</v>
      </c>
      <c r="AW137" s="2">
        <f t="shared" si="46"/>
        <v>587</v>
      </c>
      <c r="AX137" s="2" t="str">
        <f t="shared" si="47"/>
        <v>-</v>
      </c>
    </row>
    <row r="138" ht="14.25" customHeight="1">
      <c r="A138" s="2" t="str">
        <f t="array" ref="A138">IFERROR(INDEX('Product Price'!A:A,SMALL('Product Price'!$D:$D,136)),"")</f>
        <v>TECNO POVA7 Ultra 5G 12/256 GB</v>
      </c>
      <c r="B138" s="2">
        <f t="array" ref="B138">IFERROR(INDEX('Product Price'!B:B,SMALL('Product Price'!$D:$D,136)),"")</f>
        <v>13999</v>
      </c>
      <c r="C138" s="2">
        <f t="array" ref="C138">IFERROR(INDEX('Product Price'!C:C,SMALL('Product Price'!$D:$D,136)),"")</f>
        <v>117</v>
      </c>
      <c r="D138" s="2">
        <f t="shared" si="1"/>
        <v>1450</v>
      </c>
      <c r="E138" s="2">
        <f t="shared" si="2"/>
        <v>15449</v>
      </c>
      <c r="F138" s="2">
        <f t="shared" si="3"/>
        <v>2800</v>
      </c>
      <c r="G138" s="2">
        <f t="shared" si="4"/>
        <v>11199</v>
      </c>
      <c r="H138" s="2">
        <f t="shared" si="5"/>
        <v>12649</v>
      </c>
      <c r="I138" s="2">
        <f t="shared" si="6"/>
        <v>2272</v>
      </c>
      <c r="J138" s="2">
        <f t="shared" si="7"/>
        <v>1564</v>
      </c>
      <c r="K138" s="2">
        <f t="shared" si="8"/>
        <v>1210</v>
      </c>
      <c r="L138" s="2">
        <f t="shared" si="9"/>
        <v>997</v>
      </c>
      <c r="M138" s="2">
        <f t="shared" si="10"/>
        <v>855</v>
      </c>
      <c r="N138" s="2">
        <f t="shared" si="11"/>
        <v>678</v>
      </c>
      <c r="O138" s="2">
        <f t="shared" si="12"/>
        <v>3500</v>
      </c>
      <c r="P138" s="2">
        <f t="shared" si="13"/>
        <v>10499</v>
      </c>
      <c r="Q138" s="2">
        <f t="shared" si="14"/>
        <v>11949</v>
      </c>
      <c r="R138" s="2">
        <f t="shared" si="15"/>
        <v>2147</v>
      </c>
      <c r="S138" s="2">
        <f t="shared" si="16"/>
        <v>1478</v>
      </c>
      <c r="T138" s="2">
        <f t="shared" si="17"/>
        <v>1143</v>
      </c>
      <c r="U138" s="2">
        <f t="shared" si="18"/>
        <v>942</v>
      </c>
      <c r="V138" s="2">
        <f t="shared" si="19"/>
        <v>809</v>
      </c>
      <c r="W138" s="2">
        <f t="shared" si="20"/>
        <v>641</v>
      </c>
      <c r="X138" s="2">
        <f t="shared" si="21"/>
        <v>4200</v>
      </c>
      <c r="Y138" s="2">
        <f t="shared" si="22"/>
        <v>9799</v>
      </c>
      <c r="Z138" s="2">
        <f t="shared" si="23"/>
        <v>11249</v>
      </c>
      <c r="AA138" s="2">
        <f t="shared" si="24"/>
        <v>2023</v>
      </c>
      <c r="AB138" s="2">
        <f t="shared" si="25"/>
        <v>1392</v>
      </c>
      <c r="AC138" s="2">
        <f t="shared" si="26"/>
        <v>1077</v>
      </c>
      <c r="AD138" s="2">
        <f t="shared" si="27"/>
        <v>888</v>
      </c>
      <c r="AE138" s="2">
        <f t="shared" si="28"/>
        <v>762</v>
      </c>
      <c r="AF138" s="2">
        <f t="shared" si="29"/>
        <v>604</v>
      </c>
      <c r="AG138" s="2">
        <f t="shared" si="30"/>
        <v>4900</v>
      </c>
      <c r="AH138" s="2">
        <f t="shared" si="31"/>
        <v>9099</v>
      </c>
      <c r="AI138" s="2">
        <f t="shared" si="32"/>
        <v>10549</v>
      </c>
      <c r="AJ138" s="2">
        <f t="shared" si="33"/>
        <v>1898</v>
      </c>
      <c r="AK138" s="2">
        <f t="shared" si="34"/>
        <v>1306</v>
      </c>
      <c r="AL138" s="2">
        <f t="shared" si="35"/>
        <v>1011</v>
      </c>
      <c r="AM138" s="2">
        <f t="shared" si="36"/>
        <v>833</v>
      </c>
      <c r="AN138" s="2">
        <f t="shared" si="37"/>
        <v>715</v>
      </c>
      <c r="AO138" s="2">
        <f t="shared" si="38"/>
        <v>567</v>
      </c>
      <c r="AP138" s="2">
        <f t="shared" si="39"/>
        <v>5600</v>
      </c>
      <c r="AQ138" s="2">
        <f t="shared" si="40"/>
        <v>8399</v>
      </c>
      <c r="AR138" s="2">
        <f t="shared" si="41"/>
        <v>9849</v>
      </c>
      <c r="AS138" s="2">
        <f t="shared" si="42"/>
        <v>1773</v>
      </c>
      <c r="AT138" s="2">
        <f t="shared" si="43"/>
        <v>1221</v>
      </c>
      <c r="AU138" s="2">
        <f t="shared" si="44"/>
        <v>944</v>
      </c>
      <c r="AV138" s="2">
        <f t="shared" si="45"/>
        <v>778</v>
      </c>
      <c r="AW138" s="2">
        <f t="shared" si="46"/>
        <v>668</v>
      </c>
      <c r="AX138" s="2">
        <f t="shared" si="47"/>
        <v>530</v>
      </c>
    </row>
    <row r="139" ht="14.25" customHeight="1">
      <c r="A139" s="2" t="str">
        <f t="array" ref="A139">IFERROR(INDEX('Product Price'!A:A,SMALL('Product Price'!$D:$D,137)),"")</f>
        <v>TECNO POVA7 5G 8/256 GB</v>
      </c>
      <c r="B139" s="2">
        <f t="array" ref="B139">IFERROR(INDEX('Product Price'!B:B,SMALL('Product Price'!$D:$D,137)),"")</f>
        <v>7999</v>
      </c>
      <c r="C139" s="2">
        <f t="array" ref="C139">IFERROR(INDEX('Product Price'!C:C,SMALL('Product Price'!$D:$D,137)),"")</f>
        <v>118</v>
      </c>
      <c r="D139" s="2">
        <f t="shared" si="1"/>
        <v>795</v>
      </c>
      <c r="E139" s="2">
        <f t="shared" si="2"/>
        <v>8794</v>
      </c>
      <c r="F139" s="2">
        <f t="shared" si="3"/>
        <v>1600</v>
      </c>
      <c r="G139" s="2">
        <f t="shared" si="4"/>
        <v>6399</v>
      </c>
      <c r="H139" s="2">
        <f t="shared" si="5"/>
        <v>7194</v>
      </c>
      <c r="I139" s="2">
        <f t="shared" si="6"/>
        <v>1292</v>
      </c>
      <c r="J139" s="2">
        <f t="shared" si="7"/>
        <v>889</v>
      </c>
      <c r="K139" s="2">
        <f t="shared" si="8"/>
        <v>688</v>
      </c>
      <c r="L139" s="2">
        <f t="shared" si="9"/>
        <v>567</v>
      </c>
      <c r="M139" s="2">
        <f t="shared" si="10"/>
        <v>487</v>
      </c>
      <c r="N139" s="2" t="str">
        <f t="shared" si="11"/>
        <v>-</v>
      </c>
      <c r="O139" s="2">
        <f t="shared" si="12"/>
        <v>2000</v>
      </c>
      <c r="P139" s="2">
        <f t="shared" si="13"/>
        <v>5999</v>
      </c>
      <c r="Q139" s="2">
        <f t="shared" si="14"/>
        <v>6794</v>
      </c>
      <c r="R139" s="2">
        <f t="shared" si="15"/>
        <v>1221</v>
      </c>
      <c r="S139" s="2">
        <f t="shared" si="16"/>
        <v>840</v>
      </c>
      <c r="T139" s="2">
        <f t="shared" si="17"/>
        <v>650</v>
      </c>
      <c r="U139" s="2">
        <f t="shared" si="18"/>
        <v>536</v>
      </c>
      <c r="V139" s="2">
        <f t="shared" si="19"/>
        <v>460</v>
      </c>
      <c r="W139" s="2" t="str">
        <f t="shared" si="20"/>
        <v>-</v>
      </c>
      <c r="X139" s="2">
        <f t="shared" si="21"/>
        <v>2400</v>
      </c>
      <c r="Y139" s="2">
        <f t="shared" si="22"/>
        <v>5599</v>
      </c>
      <c r="Z139" s="2">
        <f t="shared" si="23"/>
        <v>6394</v>
      </c>
      <c r="AA139" s="2">
        <f t="shared" si="24"/>
        <v>1150</v>
      </c>
      <c r="AB139" s="2">
        <f t="shared" si="25"/>
        <v>791</v>
      </c>
      <c r="AC139" s="2">
        <f t="shared" si="26"/>
        <v>612</v>
      </c>
      <c r="AD139" s="2">
        <f t="shared" si="27"/>
        <v>505</v>
      </c>
      <c r="AE139" s="2" t="str">
        <f t="shared" si="28"/>
        <v>-</v>
      </c>
      <c r="AF139" s="2" t="str">
        <f t="shared" si="29"/>
        <v>-</v>
      </c>
      <c r="AG139" s="2">
        <f t="shared" si="30"/>
        <v>2800</v>
      </c>
      <c r="AH139" s="2">
        <f t="shared" si="31"/>
        <v>5199</v>
      </c>
      <c r="AI139" s="2">
        <f t="shared" si="32"/>
        <v>5994</v>
      </c>
      <c r="AJ139" s="2">
        <f t="shared" si="33"/>
        <v>1078</v>
      </c>
      <c r="AK139" s="2">
        <f t="shared" si="34"/>
        <v>742</v>
      </c>
      <c r="AL139" s="2">
        <f t="shared" si="35"/>
        <v>574</v>
      </c>
      <c r="AM139" s="2">
        <f t="shared" si="36"/>
        <v>473</v>
      </c>
      <c r="AN139" s="2" t="str">
        <f t="shared" si="37"/>
        <v>-</v>
      </c>
      <c r="AO139" s="2" t="str">
        <f t="shared" si="38"/>
        <v>-</v>
      </c>
      <c r="AP139" s="2">
        <f t="shared" si="39"/>
        <v>3200</v>
      </c>
      <c r="AQ139" s="2">
        <f t="shared" si="40"/>
        <v>4799</v>
      </c>
      <c r="AR139" s="2">
        <f t="shared" si="41"/>
        <v>5594</v>
      </c>
      <c r="AS139" s="2">
        <f t="shared" si="42"/>
        <v>1007</v>
      </c>
      <c r="AT139" s="2">
        <f t="shared" si="43"/>
        <v>693</v>
      </c>
      <c r="AU139" s="2">
        <f t="shared" si="44"/>
        <v>536</v>
      </c>
      <c r="AV139" s="2" t="str">
        <f t="shared" si="45"/>
        <v>-</v>
      </c>
      <c r="AW139" s="2" t="str">
        <f t="shared" si="46"/>
        <v>-</v>
      </c>
      <c r="AX139" s="2" t="str">
        <f t="shared" si="47"/>
        <v>-</v>
      </c>
    </row>
    <row r="140" ht="14.25" customHeight="1">
      <c r="A140" s="2" t="str">
        <f t="array" ref="A140">IFERROR(INDEX('Product Price'!A:A,SMALL('Product Price'!$D:$D,138)),"")</f>
        <v>TECNO SLIM 5G 8/256 GB</v>
      </c>
      <c r="B140" s="2">
        <f t="array" ref="B140">IFERROR(INDEX('Product Price'!B:B,SMALL('Product Price'!$D:$D,138)),"")</f>
        <v>8999</v>
      </c>
      <c r="C140" s="2">
        <f t="array" ref="C140">IFERROR(INDEX('Product Price'!C:C,SMALL('Product Price'!$D:$D,138)),"")</f>
        <v>119</v>
      </c>
      <c r="D140" s="2">
        <f t="shared" si="1"/>
        <v>795</v>
      </c>
      <c r="E140" s="2">
        <f t="shared" si="2"/>
        <v>9794</v>
      </c>
      <c r="F140" s="2">
        <f t="shared" si="3"/>
        <v>1800</v>
      </c>
      <c r="G140" s="2">
        <f t="shared" si="4"/>
        <v>7199</v>
      </c>
      <c r="H140" s="2">
        <f t="shared" si="5"/>
        <v>7994</v>
      </c>
      <c r="I140" s="2">
        <f t="shared" si="6"/>
        <v>1435</v>
      </c>
      <c r="J140" s="2">
        <f t="shared" si="7"/>
        <v>987</v>
      </c>
      <c r="K140" s="2">
        <f t="shared" si="8"/>
        <v>764</v>
      </c>
      <c r="L140" s="2">
        <f t="shared" si="9"/>
        <v>630</v>
      </c>
      <c r="M140" s="2">
        <f t="shared" si="10"/>
        <v>540</v>
      </c>
      <c r="N140" s="2" t="str">
        <f t="shared" si="11"/>
        <v>-</v>
      </c>
      <c r="O140" s="2">
        <f t="shared" si="12"/>
        <v>2250</v>
      </c>
      <c r="P140" s="2">
        <f t="shared" si="13"/>
        <v>6749</v>
      </c>
      <c r="Q140" s="2">
        <f t="shared" si="14"/>
        <v>7544</v>
      </c>
      <c r="R140" s="2">
        <f t="shared" si="15"/>
        <v>1355</v>
      </c>
      <c r="S140" s="2">
        <f t="shared" si="16"/>
        <v>932</v>
      </c>
      <c r="T140" s="2">
        <f t="shared" si="17"/>
        <v>721</v>
      </c>
      <c r="U140" s="2">
        <f t="shared" si="18"/>
        <v>595</v>
      </c>
      <c r="V140" s="2">
        <f t="shared" si="19"/>
        <v>510</v>
      </c>
      <c r="W140" s="2" t="str">
        <f t="shared" si="20"/>
        <v>-</v>
      </c>
      <c r="X140" s="2">
        <f t="shared" si="21"/>
        <v>2700</v>
      </c>
      <c r="Y140" s="2">
        <f t="shared" si="22"/>
        <v>6299</v>
      </c>
      <c r="Z140" s="2">
        <f t="shared" si="23"/>
        <v>7094</v>
      </c>
      <c r="AA140" s="2">
        <f t="shared" si="24"/>
        <v>1274</v>
      </c>
      <c r="AB140" s="2">
        <f t="shared" si="25"/>
        <v>877</v>
      </c>
      <c r="AC140" s="2">
        <f t="shared" si="26"/>
        <v>679</v>
      </c>
      <c r="AD140" s="2">
        <f t="shared" si="27"/>
        <v>559</v>
      </c>
      <c r="AE140" s="2">
        <f t="shared" si="28"/>
        <v>480</v>
      </c>
      <c r="AF140" s="2" t="str">
        <f t="shared" si="29"/>
        <v>-</v>
      </c>
      <c r="AG140" s="2">
        <f t="shared" si="30"/>
        <v>3150</v>
      </c>
      <c r="AH140" s="2">
        <f t="shared" si="31"/>
        <v>5849</v>
      </c>
      <c r="AI140" s="2">
        <f t="shared" si="32"/>
        <v>6644</v>
      </c>
      <c r="AJ140" s="2">
        <f t="shared" si="33"/>
        <v>1194</v>
      </c>
      <c r="AK140" s="2">
        <f t="shared" si="34"/>
        <v>822</v>
      </c>
      <c r="AL140" s="2">
        <f t="shared" si="35"/>
        <v>636</v>
      </c>
      <c r="AM140" s="2">
        <f t="shared" si="36"/>
        <v>524</v>
      </c>
      <c r="AN140" s="2" t="str">
        <f t="shared" si="37"/>
        <v>-</v>
      </c>
      <c r="AO140" s="2" t="str">
        <f t="shared" si="38"/>
        <v>-</v>
      </c>
      <c r="AP140" s="2">
        <f t="shared" si="39"/>
        <v>3600</v>
      </c>
      <c r="AQ140" s="2">
        <f t="shared" si="40"/>
        <v>5399</v>
      </c>
      <c r="AR140" s="2">
        <f t="shared" si="41"/>
        <v>6194</v>
      </c>
      <c r="AS140" s="2">
        <f t="shared" si="42"/>
        <v>1114</v>
      </c>
      <c r="AT140" s="2">
        <f t="shared" si="43"/>
        <v>767</v>
      </c>
      <c r="AU140" s="2">
        <f t="shared" si="44"/>
        <v>593</v>
      </c>
      <c r="AV140" s="2">
        <f t="shared" si="45"/>
        <v>489</v>
      </c>
      <c r="AW140" s="2" t="str">
        <f t="shared" si="46"/>
        <v>-</v>
      </c>
      <c r="AX140" s="2" t="str">
        <f t="shared" si="47"/>
        <v>-</v>
      </c>
    </row>
    <row r="141" ht="14.25" customHeight="1">
      <c r="A141" s="2" t="str">
        <f t="array" ref="A141">IFERROR(INDEX('Product Price'!A:A,SMALL('Product Price'!$D:$D,139)),"")</f>
        <v>TECNO SPARK 50 5G 4/128 GB</v>
      </c>
      <c r="B141" s="2">
        <f t="array" ref="B141">IFERROR(INDEX('Product Price'!B:B,SMALL('Product Price'!$D:$D,139)),"")</f>
        <v>6999</v>
      </c>
      <c r="C141" s="2">
        <f t="array" ref="C141">IFERROR(INDEX('Product Price'!C:C,SMALL('Product Price'!$D:$D,139)),"")</f>
        <v>120</v>
      </c>
      <c r="D141" s="2">
        <f t="shared" si="1"/>
        <v>795</v>
      </c>
      <c r="E141" s="2">
        <f t="shared" si="2"/>
        <v>7794</v>
      </c>
      <c r="F141" s="2">
        <f t="shared" si="3"/>
        <v>1400</v>
      </c>
      <c r="G141" s="2">
        <f t="shared" si="4"/>
        <v>5599</v>
      </c>
      <c r="H141" s="2">
        <f t="shared" si="5"/>
        <v>6394</v>
      </c>
      <c r="I141" s="2">
        <f t="shared" si="6"/>
        <v>1150</v>
      </c>
      <c r="J141" s="2">
        <f t="shared" si="7"/>
        <v>791</v>
      </c>
      <c r="K141" s="2">
        <f t="shared" si="8"/>
        <v>612</v>
      </c>
      <c r="L141" s="2">
        <f t="shared" si="9"/>
        <v>505</v>
      </c>
      <c r="M141" s="2" t="str">
        <f t="shared" si="10"/>
        <v>-</v>
      </c>
      <c r="N141" s="2" t="str">
        <f t="shared" si="11"/>
        <v>-</v>
      </c>
      <c r="O141" s="2">
        <f t="shared" si="12"/>
        <v>1750</v>
      </c>
      <c r="P141" s="2">
        <f t="shared" si="13"/>
        <v>5249</v>
      </c>
      <c r="Q141" s="2">
        <f t="shared" si="14"/>
        <v>6044</v>
      </c>
      <c r="R141" s="2">
        <f t="shared" si="15"/>
        <v>1087</v>
      </c>
      <c r="S141" s="2">
        <f t="shared" si="16"/>
        <v>748</v>
      </c>
      <c r="T141" s="2">
        <f t="shared" si="17"/>
        <v>579</v>
      </c>
      <c r="U141" s="2">
        <f t="shared" si="18"/>
        <v>477</v>
      </c>
      <c r="V141" s="2" t="str">
        <f t="shared" si="19"/>
        <v>-</v>
      </c>
      <c r="W141" s="2" t="str">
        <f t="shared" si="20"/>
        <v>-</v>
      </c>
      <c r="X141" s="2">
        <f t="shared" si="21"/>
        <v>2100</v>
      </c>
      <c r="Y141" s="2">
        <f t="shared" si="22"/>
        <v>4899</v>
      </c>
      <c r="Z141" s="2">
        <f t="shared" si="23"/>
        <v>5694</v>
      </c>
      <c r="AA141" s="2">
        <f t="shared" si="24"/>
        <v>1025</v>
      </c>
      <c r="AB141" s="2">
        <f t="shared" si="25"/>
        <v>705</v>
      </c>
      <c r="AC141" s="2">
        <f t="shared" si="26"/>
        <v>546</v>
      </c>
      <c r="AD141" s="2" t="str">
        <f t="shared" si="27"/>
        <v>-</v>
      </c>
      <c r="AE141" s="2" t="str">
        <f t="shared" si="28"/>
        <v>-</v>
      </c>
      <c r="AF141" s="2" t="str">
        <f t="shared" si="29"/>
        <v>-</v>
      </c>
      <c r="AG141" s="2">
        <f t="shared" si="30"/>
        <v>2450</v>
      </c>
      <c r="AH141" s="2">
        <f t="shared" si="31"/>
        <v>4549</v>
      </c>
      <c r="AI141" s="2">
        <f t="shared" si="32"/>
        <v>5344</v>
      </c>
      <c r="AJ141" s="2">
        <f t="shared" si="33"/>
        <v>963</v>
      </c>
      <c r="AK141" s="2">
        <f t="shared" si="34"/>
        <v>663</v>
      </c>
      <c r="AL141" s="2">
        <f t="shared" si="35"/>
        <v>513</v>
      </c>
      <c r="AM141" s="2" t="str">
        <f t="shared" si="36"/>
        <v>-</v>
      </c>
      <c r="AN141" s="2" t="str">
        <f t="shared" si="37"/>
        <v>-</v>
      </c>
      <c r="AO141" s="2" t="str">
        <f t="shared" si="38"/>
        <v>-</v>
      </c>
      <c r="AP141" s="2">
        <f t="shared" si="39"/>
        <v>2800</v>
      </c>
      <c r="AQ141" s="2">
        <f t="shared" si="40"/>
        <v>4199</v>
      </c>
      <c r="AR141" s="2">
        <f t="shared" si="41"/>
        <v>4994</v>
      </c>
      <c r="AS141" s="2">
        <f t="shared" si="42"/>
        <v>900</v>
      </c>
      <c r="AT141" s="2">
        <f t="shared" si="43"/>
        <v>620</v>
      </c>
      <c r="AU141" s="2" t="str">
        <f t="shared" si="44"/>
        <v>-</v>
      </c>
      <c r="AV141" s="2" t="str">
        <f t="shared" si="45"/>
        <v>-</v>
      </c>
      <c r="AW141" s="2" t="str">
        <f t="shared" si="46"/>
        <v>-</v>
      </c>
      <c r="AX141" s="2" t="str">
        <f t="shared" si="47"/>
        <v>-</v>
      </c>
    </row>
    <row r="142" ht="14.25" customHeight="1">
      <c r="A142" s="2" t="str">
        <f t="array" ref="A142">IFERROR(INDEX('Product Price'!A:A,SMALL('Product Price'!$D:$D,140)),"")</f>
        <v>TECNO SPARK 50 5G 6/128 GB</v>
      </c>
      <c r="B142" s="2">
        <f t="array" ref="B142">IFERROR(INDEX('Product Price'!B:B,SMALL('Product Price'!$D:$D,140)),"")</f>
        <v>7499</v>
      </c>
      <c r="C142" s="2">
        <f t="array" ref="C142">IFERROR(INDEX('Product Price'!C:C,SMALL('Product Price'!$D:$D,140)),"")</f>
        <v>121</v>
      </c>
      <c r="D142" s="2">
        <f t="shared" si="1"/>
        <v>795</v>
      </c>
      <c r="E142" s="2">
        <f t="shared" si="2"/>
        <v>8294</v>
      </c>
      <c r="F142" s="2">
        <f t="shared" si="3"/>
        <v>1500</v>
      </c>
      <c r="G142" s="2">
        <f t="shared" si="4"/>
        <v>5999</v>
      </c>
      <c r="H142" s="2">
        <f t="shared" si="5"/>
        <v>6794</v>
      </c>
      <c r="I142" s="2">
        <f t="shared" si="6"/>
        <v>1221</v>
      </c>
      <c r="J142" s="2">
        <f t="shared" si="7"/>
        <v>840</v>
      </c>
      <c r="K142" s="2">
        <f t="shared" si="8"/>
        <v>650</v>
      </c>
      <c r="L142" s="2">
        <f t="shared" si="9"/>
        <v>536</v>
      </c>
      <c r="M142" s="2">
        <f t="shared" si="10"/>
        <v>460</v>
      </c>
      <c r="N142" s="2" t="str">
        <f t="shared" si="11"/>
        <v>-</v>
      </c>
      <c r="O142" s="2">
        <f t="shared" si="12"/>
        <v>1875</v>
      </c>
      <c r="P142" s="2">
        <f t="shared" si="13"/>
        <v>5624</v>
      </c>
      <c r="Q142" s="2">
        <f t="shared" si="14"/>
        <v>6419</v>
      </c>
      <c r="R142" s="2">
        <f t="shared" si="15"/>
        <v>1154</v>
      </c>
      <c r="S142" s="2">
        <f t="shared" si="16"/>
        <v>794</v>
      </c>
      <c r="T142" s="2">
        <f t="shared" si="17"/>
        <v>615</v>
      </c>
      <c r="U142" s="2">
        <f t="shared" si="18"/>
        <v>507</v>
      </c>
      <c r="V142" s="2" t="str">
        <f t="shared" si="19"/>
        <v>-</v>
      </c>
      <c r="W142" s="2" t="str">
        <f t="shared" si="20"/>
        <v>-</v>
      </c>
      <c r="X142" s="2">
        <f t="shared" si="21"/>
        <v>2250</v>
      </c>
      <c r="Y142" s="2">
        <f t="shared" si="22"/>
        <v>5249</v>
      </c>
      <c r="Z142" s="2">
        <f t="shared" si="23"/>
        <v>6044</v>
      </c>
      <c r="AA142" s="2">
        <f t="shared" si="24"/>
        <v>1087</v>
      </c>
      <c r="AB142" s="2">
        <f t="shared" si="25"/>
        <v>748</v>
      </c>
      <c r="AC142" s="2">
        <f t="shared" si="26"/>
        <v>579</v>
      </c>
      <c r="AD142" s="2">
        <f t="shared" si="27"/>
        <v>477</v>
      </c>
      <c r="AE142" s="2" t="str">
        <f t="shared" si="28"/>
        <v>-</v>
      </c>
      <c r="AF142" s="2" t="str">
        <f t="shared" si="29"/>
        <v>-</v>
      </c>
      <c r="AG142" s="2">
        <f t="shared" si="30"/>
        <v>2625</v>
      </c>
      <c r="AH142" s="2">
        <f t="shared" si="31"/>
        <v>4874</v>
      </c>
      <c r="AI142" s="2">
        <f t="shared" si="32"/>
        <v>5669</v>
      </c>
      <c r="AJ142" s="2">
        <f t="shared" si="33"/>
        <v>1020</v>
      </c>
      <c r="AK142" s="2">
        <f t="shared" si="34"/>
        <v>702</v>
      </c>
      <c r="AL142" s="2">
        <f t="shared" si="35"/>
        <v>543</v>
      </c>
      <c r="AM142" s="2" t="str">
        <f t="shared" si="36"/>
        <v>-</v>
      </c>
      <c r="AN142" s="2" t="str">
        <f t="shared" si="37"/>
        <v>-</v>
      </c>
      <c r="AO142" s="2" t="str">
        <f t="shared" si="38"/>
        <v>-</v>
      </c>
      <c r="AP142" s="2">
        <f t="shared" si="39"/>
        <v>3000</v>
      </c>
      <c r="AQ142" s="2">
        <f t="shared" si="40"/>
        <v>4499</v>
      </c>
      <c r="AR142" s="2">
        <f t="shared" si="41"/>
        <v>5294</v>
      </c>
      <c r="AS142" s="2">
        <f t="shared" si="42"/>
        <v>954</v>
      </c>
      <c r="AT142" s="2">
        <f t="shared" si="43"/>
        <v>656</v>
      </c>
      <c r="AU142" s="2">
        <f t="shared" si="44"/>
        <v>508</v>
      </c>
      <c r="AV142" s="2" t="str">
        <f t="shared" si="45"/>
        <v>-</v>
      </c>
      <c r="AW142" s="2" t="str">
        <f t="shared" si="46"/>
        <v>-</v>
      </c>
      <c r="AX142" s="2" t="str">
        <f t="shared" si="47"/>
        <v>-</v>
      </c>
    </row>
    <row r="143" ht="14.25" customHeight="1">
      <c r="A143" s="2" t="str">
        <f t="array" ref="A143">IFERROR(INDEX('Product Price'!A:A,SMALL('Product Price'!$D:$D,141)),"")</f>
        <v>TECNO MEGAPAD Pro 8/256 GB</v>
      </c>
      <c r="B143" s="2">
        <f t="array" ref="B143">IFERROR(INDEX('Product Price'!B:B,SMALL('Product Price'!$D:$D,141)),"")</f>
        <v>9999</v>
      </c>
      <c r="C143" s="2">
        <f t="array" ref="C143">IFERROR(INDEX('Product Price'!C:C,SMALL('Product Price'!$D:$D,141)),"")</f>
        <v>128</v>
      </c>
      <c r="D143" s="2">
        <f t="shared" si="1"/>
        <v>795</v>
      </c>
      <c r="E143" s="2">
        <f t="shared" si="2"/>
        <v>10794</v>
      </c>
      <c r="F143" s="2">
        <f t="shared" si="3"/>
        <v>2000</v>
      </c>
      <c r="G143" s="2">
        <f t="shared" si="4"/>
        <v>7999</v>
      </c>
      <c r="H143" s="2">
        <f t="shared" si="5"/>
        <v>8794</v>
      </c>
      <c r="I143" s="2">
        <f t="shared" si="6"/>
        <v>1577</v>
      </c>
      <c r="J143" s="2">
        <f t="shared" si="7"/>
        <v>1086</v>
      </c>
      <c r="K143" s="2">
        <f t="shared" si="8"/>
        <v>840</v>
      </c>
      <c r="L143" s="2">
        <f t="shared" si="9"/>
        <v>692</v>
      </c>
      <c r="M143" s="2">
        <f t="shared" si="10"/>
        <v>594</v>
      </c>
      <c r="N143" s="2">
        <f t="shared" si="11"/>
        <v>471</v>
      </c>
      <c r="O143" s="2">
        <f t="shared" si="12"/>
        <v>2500</v>
      </c>
      <c r="P143" s="2">
        <f t="shared" si="13"/>
        <v>7499</v>
      </c>
      <c r="Q143" s="2">
        <f t="shared" si="14"/>
        <v>8294</v>
      </c>
      <c r="R143" s="2">
        <f t="shared" si="15"/>
        <v>1488</v>
      </c>
      <c r="S143" s="2">
        <f t="shared" si="16"/>
        <v>1024</v>
      </c>
      <c r="T143" s="2">
        <f t="shared" si="17"/>
        <v>792</v>
      </c>
      <c r="U143" s="2">
        <f t="shared" si="18"/>
        <v>653</v>
      </c>
      <c r="V143" s="2">
        <f t="shared" si="19"/>
        <v>560</v>
      </c>
      <c r="W143" s="2" t="str">
        <f t="shared" si="20"/>
        <v>-</v>
      </c>
      <c r="X143" s="2">
        <f t="shared" si="21"/>
        <v>3000</v>
      </c>
      <c r="Y143" s="2">
        <f t="shared" si="22"/>
        <v>6999</v>
      </c>
      <c r="Z143" s="2">
        <f t="shared" si="23"/>
        <v>7794</v>
      </c>
      <c r="AA143" s="2">
        <f t="shared" si="24"/>
        <v>1399</v>
      </c>
      <c r="AB143" s="2">
        <f t="shared" si="25"/>
        <v>963</v>
      </c>
      <c r="AC143" s="2">
        <f t="shared" si="26"/>
        <v>745</v>
      </c>
      <c r="AD143" s="2">
        <f t="shared" si="27"/>
        <v>614</v>
      </c>
      <c r="AE143" s="2">
        <f t="shared" si="28"/>
        <v>527</v>
      </c>
      <c r="AF143" s="2" t="str">
        <f t="shared" si="29"/>
        <v>-</v>
      </c>
      <c r="AG143" s="2">
        <f t="shared" si="30"/>
        <v>3500</v>
      </c>
      <c r="AH143" s="2">
        <f t="shared" si="31"/>
        <v>6499</v>
      </c>
      <c r="AI143" s="2">
        <f t="shared" si="32"/>
        <v>7294</v>
      </c>
      <c r="AJ143" s="2">
        <f t="shared" si="33"/>
        <v>1310</v>
      </c>
      <c r="AK143" s="2">
        <f t="shared" si="34"/>
        <v>902</v>
      </c>
      <c r="AL143" s="2">
        <f t="shared" si="35"/>
        <v>697</v>
      </c>
      <c r="AM143" s="2">
        <f t="shared" si="36"/>
        <v>575</v>
      </c>
      <c r="AN143" s="2">
        <f t="shared" si="37"/>
        <v>493</v>
      </c>
      <c r="AO143" s="2" t="str">
        <f t="shared" si="38"/>
        <v>-</v>
      </c>
      <c r="AP143" s="2">
        <f t="shared" si="39"/>
        <v>4000</v>
      </c>
      <c r="AQ143" s="2">
        <f t="shared" si="40"/>
        <v>5999</v>
      </c>
      <c r="AR143" s="2">
        <f t="shared" si="41"/>
        <v>6794</v>
      </c>
      <c r="AS143" s="2">
        <f t="shared" si="42"/>
        <v>1221</v>
      </c>
      <c r="AT143" s="2">
        <f t="shared" si="43"/>
        <v>840</v>
      </c>
      <c r="AU143" s="2">
        <f t="shared" si="44"/>
        <v>650</v>
      </c>
      <c r="AV143" s="2">
        <f t="shared" si="45"/>
        <v>536</v>
      </c>
      <c r="AW143" s="2">
        <f t="shared" si="46"/>
        <v>460</v>
      </c>
      <c r="AX143" s="2" t="str">
        <f t="shared" si="47"/>
        <v>-</v>
      </c>
    </row>
    <row r="144" ht="14.25" customHeight="1">
      <c r="A144" s="2" t="str">
        <f t="array" ref="A144">IFERROR(INDEX('Product Price'!A:A,SMALL('Product Price'!$D:$D,142)),"")</f>
        <v>TECNO MEGAPAD Pro 8/128 GB</v>
      </c>
      <c r="B144" s="2">
        <f t="array" ref="B144">IFERROR(INDEX('Product Price'!B:B,SMALL('Product Price'!$D:$D,142)),"")</f>
        <v>9499</v>
      </c>
      <c r="C144" s="2">
        <f t="array" ref="C144">IFERROR(INDEX('Product Price'!C:C,SMALL('Product Price'!$D:$D,142)),"")</f>
        <v>129</v>
      </c>
      <c r="D144" s="2">
        <f t="shared" si="1"/>
        <v>795</v>
      </c>
      <c r="E144" s="2">
        <f t="shared" si="2"/>
        <v>10294</v>
      </c>
      <c r="F144" s="2">
        <f t="shared" si="3"/>
        <v>1900</v>
      </c>
      <c r="G144" s="2">
        <f t="shared" si="4"/>
        <v>7599</v>
      </c>
      <c r="H144" s="2">
        <f t="shared" si="5"/>
        <v>8394</v>
      </c>
      <c r="I144" s="2">
        <f t="shared" si="6"/>
        <v>1506</v>
      </c>
      <c r="J144" s="2">
        <f t="shared" si="7"/>
        <v>1037</v>
      </c>
      <c r="K144" s="2">
        <f t="shared" si="8"/>
        <v>802</v>
      </c>
      <c r="L144" s="2">
        <f t="shared" si="9"/>
        <v>661</v>
      </c>
      <c r="M144" s="2">
        <f t="shared" si="10"/>
        <v>567</v>
      </c>
      <c r="N144" s="2">
        <f t="shared" si="11"/>
        <v>450</v>
      </c>
      <c r="O144" s="2">
        <f t="shared" si="12"/>
        <v>2375</v>
      </c>
      <c r="P144" s="2">
        <f t="shared" si="13"/>
        <v>7124</v>
      </c>
      <c r="Q144" s="2">
        <f t="shared" si="14"/>
        <v>7919</v>
      </c>
      <c r="R144" s="2">
        <f t="shared" si="15"/>
        <v>1421</v>
      </c>
      <c r="S144" s="2">
        <f t="shared" si="16"/>
        <v>978</v>
      </c>
      <c r="T144" s="2">
        <f t="shared" si="17"/>
        <v>757</v>
      </c>
      <c r="U144" s="2">
        <f t="shared" si="18"/>
        <v>624</v>
      </c>
      <c r="V144" s="2">
        <f t="shared" si="19"/>
        <v>535</v>
      </c>
      <c r="W144" s="2" t="str">
        <f t="shared" si="20"/>
        <v>-</v>
      </c>
      <c r="X144" s="2">
        <f t="shared" si="21"/>
        <v>2850</v>
      </c>
      <c r="Y144" s="2">
        <f t="shared" si="22"/>
        <v>6649</v>
      </c>
      <c r="Z144" s="2">
        <f t="shared" si="23"/>
        <v>7444</v>
      </c>
      <c r="AA144" s="2">
        <f t="shared" si="24"/>
        <v>1337</v>
      </c>
      <c r="AB144" s="2">
        <f t="shared" si="25"/>
        <v>920</v>
      </c>
      <c r="AC144" s="2">
        <f t="shared" si="26"/>
        <v>712</v>
      </c>
      <c r="AD144" s="2">
        <f t="shared" si="27"/>
        <v>587</v>
      </c>
      <c r="AE144" s="2">
        <f t="shared" si="28"/>
        <v>503</v>
      </c>
      <c r="AF144" s="2" t="str">
        <f t="shared" si="29"/>
        <v>-</v>
      </c>
      <c r="AG144" s="2">
        <f t="shared" si="30"/>
        <v>3325</v>
      </c>
      <c r="AH144" s="2">
        <f t="shared" si="31"/>
        <v>6174</v>
      </c>
      <c r="AI144" s="2">
        <f t="shared" si="32"/>
        <v>6969</v>
      </c>
      <c r="AJ144" s="2">
        <f t="shared" si="33"/>
        <v>1252</v>
      </c>
      <c r="AK144" s="2">
        <f t="shared" si="34"/>
        <v>862</v>
      </c>
      <c r="AL144" s="2">
        <f t="shared" si="35"/>
        <v>667</v>
      </c>
      <c r="AM144" s="2">
        <f t="shared" si="36"/>
        <v>550</v>
      </c>
      <c r="AN144" s="2">
        <f t="shared" si="37"/>
        <v>472</v>
      </c>
      <c r="AO144" s="2" t="str">
        <f t="shared" si="38"/>
        <v>-</v>
      </c>
      <c r="AP144" s="2">
        <f t="shared" si="39"/>
        <v>3800</v>
      </c>
      <c r="AQ144" s="2">
        <f t="shared" si="40"/>
        <v>5699</v>
      </c>
      <c r="AR144" s="2">
        <f t="shared" si="41"/>
        <v>6494</v>
      </c>
      <c r="AS144" s="2">
        <f t="shared" si="42"/>
        <v>1167</v>
      </c>
      <c r="AT144" s="2">
        <f t="shared" si="43"/>
        <v>804</v>
      </c>
      <c r="AU144" s="2">
        <f t="shared" si="44"/>
        <v>622</v>
      </c>
      <c r="AV144" s="2">
        <f t="shared" si="45"/>
        <v>512</v>
      </c>
      <c r="AW144" s="2" t="str">
        <f t="shared" si="46"/>
        <v>-</v>
      </c>
      <c r="AX144" s="2" t="str">
        <f t="shared" si="47"/>
        <v>-</v>
      </c>
    </row>
    <row r="145" ht="14.25" customHeight="1">
      <c r="A145" s="2" t="str">
        <f t="array" ref="A145">IFERROR(INDEX('Product Price'!A:A,SMALL('Product Price'!$D:$D,143)),"")</f>
        <v>TECNO MEGAPAD SE 4/128 GB</v>
      </c>
      <c r="B145" s="2">
        <f t="array" ref="B145">IFERROR(INDEX('Product Price'!B:B,SMALL('Product Price'!$D:$D,143)),"")</f>
        <v>6499</v>
      </c>
      <c r="C145" s="2">
        <f t="array" ref="C145">IFERROR(INDEX('Product Price'!C:C,SMALL('Product Price'!$D:$D,143)),"")</f>
        <v>130</v>
      </c>
      <c r="D145" s="2">
        <f t="shared" si="1"/>
        <v>795</v>
      </c>
      <c r="E145" s="2">
        <f t="shared" si="2"/>
        <v>7294</v>
      </c>
      <c r="F145" s="2">
        <f t="shared" si="3"/>
        <v>1300</v>
      </c>
      <c r="G145" s="2">
        <f t="shared" si="4"/>
        <v>5199</v>
      </c>
      <c r="H145" s="2">
        <f t="shared" si="5"/>
        <v>5994</v>
      </c>
      <c r="I145" s="2">
        <f t="shared" si="6"/>
        <v>1078</v>
      </c>
      <c r="J145" s="2">
        <f t="shared" si="7"/>
        <v>742</v>
      </c>
      <c r="K145" s="2">
        <f t="shared" si="8"/>
        <v>574</v>
      </c>
      <c r="L145" s="2">
        <f t="shared" si="9"/>
        <v>473</v>
      </c>
      <c r="M145" s="2" t="str">
        <f t="shared" si="10"/>
        <v>-</v>
      </c>
      <c r="N145" s="2" t="str">
        <f t="shared" si="11"/>
        <v>-</v>
      </c>
      <c r="O145" s="2">
        <f t="shared" si="12"/>
        <v>1625</v>
      </c>
      <c r="P145" s="2">
        <f t="shared" si="13"/>
        <v>4874</v>
      </c>
      <c r="Q145" s="2">
        <f t="shared" si="14"/>
        <v>5669</v>
      </c>
      <c r="R145" s="2">
        <f t="shared" si="15"/>
        <v>1020</v>
      </c>
      <c r="S145" s="2">
        <f t="shared" si="16"/>
        <v>702</v>
      </c>
      <c r="T145" s="2">
        <f t="shared" si="17"/>
        <v>543</v>
      </c>
      <c r="U145" s="2" t="str">
        <f t="shared" si="18"/>
        <v>-</v>
      </c>
      <c r="V145" s="2" t="str">
        <f t="shared" si="19"/>
        <v>-</v>
      </c>
      <c r="W145" s="2" t="str">
        <f t="shared" si="20"/>
        <v>-</v>
      </c>
      <c r="X145" s="2">
        <f t="shared" si="21"/>
        <v>1950</v>
      </c>
      <c r="Y145" s="2">
        <f t="shared" si="22"/>
        <v>4549</v>
      </c>
      <c r="Z145" s="2">
        <f t="shared" si="23"/>
        <v>5344</v>
      </c>
      <c r="AA145" s="2">
        <f t="shared" si="24"/>
        <v>963</v>
      </c>
      <c r="AB145" s="2">
        <f t="shared" si="25"/>
        <v>663</v>
      </c>
      <c r="AC145" s="2">
        <f t="shared" si="26"/>
        <v>513</v>
      </c>
      <c r="AD145" s="2" t="str">
        <f t="shared" si="27"/>
        <v>-</v>
      </c>
      <c r="AE145" s="2" t="str">
        <f t="shared" si="28"/>
        <v>-</v>
      </c>
      <c r="AF145" s="2" t="str">
        <f t="shared" si="29"/>
        <v>-</v>
      </c>
      <c r="AG145" s="2">
        <f t="shared" si="30"/>
        <v>2275</v>
      </c>
      <c r="AH145" s="2">
        <f t="shared" si="31"/>
        <v>4224</v>
      </c>
      <c r="AI145" s="2">
        <f t="shared" si="32"/>
        <v>5019</v>
      </c>
      <c r="AJ145" s="2">
        <f t="shared" si="33"/>
        <v>905</v>
      </c>
      <c r="AK145" s="2">
        <f t="shared" si="34"/>
        <v>623</v>
      </c>
      <c r="AL145" s="2">
        <f t="shared" si="35"/>
        <v>482</v>
      </c>
      <c r="AM145" s="2" t="str">
        <f t="shared" si="36"/>
        <v>-</v>
      </c>
      <c r="AN145" s="2" t="str">
        <f t="shared" si="37"/>
        <v>-</v>
      </c>
      <c r="AO145" s="2" t="str">
        <f t="shared" si="38"/>
        <v>-</v>
      </c>
      <c r="AP145" s="2">
        <f t="shared" si="39"/>
        <v>2600</v>
      </c>
      <c r="AQ145" s="2">
        <f t="shared" si="40"/>
        <v>3899</v>
      </c>
      <c r="AR145" s="2">
        <f t="shared" si="41"/>
        <v>4694</v>
      </c>
      <c r="AS145" s="2">
        <f t="shared" si="42"/>
        <v>847</v>
      </c>
      <c r="AT145" s="2">
        <f t="shared" si="43"/>
        <v>583</v>
      </c>
      <c r="AU145" s="2" t="str">
        <f t="shared" si="44"/>
        <v>-</v>
      </c>
      <c r="AV145" s="2" t="str">
        <f t="shared" si="45"/>
        <v>-</v>
      </c>
      <c r="AW145" s="2" t="str">
        <f t="shared" si="46"/>
        <v>-</v>
      </c>
      <c r="AX145" s="2" t="str">
        <f t="shared" si="47"/>
        <v>-</v>
      </c>
    </row>
    <row r="146" ht="14.25" customHeight="1">
      <c r="A146" s="2" t="str">
        <f t="array" ref="A146">IFERROR(INDEX('Product Price'!A:A,SMALL('Product Price'!$D:$D,144)),"")</f>
        <v>REDMI Note 17 Pro Max 5G 8/512 GB</v>
      </c>
      <c r="B146" s="2">
        <f t="array" ref="B146">IFERROR(INDEX('Product Price'!B:B,SMALL('Product Price'!$D:$D,144)),"")</f>
        <v>19999</v>
      </c>
      <c r="C146" s="2">
        <f t="array" ref="C146">IFERROR(INDEX('Product Price'!C:C,SMALL('Product Price'!$D:$D,144)),"")</f>
        <v>163</v>
      </c>
      <c r="D146" s="2">
        <f t="shared" si="1"/>
        <v>1450</v>
      </c>
      <c r="E146" s="2">
        <f t="shared" si="2"/>
        <v>21449</v>
      </c>
      <c r="F146" s="2">
        <f t="shared" si="3"/>
        <v>4000</v>
      </c>
      <c r="G146" s="2">
        <f t="shared" si="4"/>
        <v>15999</v>
      </c>
      <c r="H146" s="2">
        <f t="shared" si="5"/>
        <v>17449</v>
      </c>
      <c r="I146" s="2">
        <f t="shared" si="6"/>
        <v>3127</v>
      </c>
      <c r="J146" s="2">
        <f t="shared" si="7"/>
        <v>2152</v>
      </c>
      <c r="K146" s="2">
        <f t="shared" si="8"/>
        <v>1665</v>
      </c>
      <c r="L146" s="2">
        <f t="shared" si="9"/>
        <v>1372</v>
      </c>
      <c r="M146" s="2">
        <f t="shared" si="10"/>
        <v>1177</v>
      </c>
      <c r="N146" s="2">
        <f t="shared" si="11"/>
        <v>934</v>
      </c>
      <c r="O146" s="2">
        <f t="shared" si="12"/>
        <v>5000</v>
      </c>
      <c r="P146" s="2">
        <f t="shared" si="13"/>
        <v>14999</v>
      </c>
      <c r="Q146" s="2">
        <f t="shared" si="14"/>
        <v>16449</v>
      </c>
      <c r="R146" s="2">
        <f t="shared" si="15"/>
        <v>2949</v>
      </c>
      <c r="S146" s="2">
        <f t="shared" si="16"/>
        <v>2030</v>
      </c>
      <c r="T146" s="2">
        <f t="shared" si="17"/>
        <v>1570</v>
      </c>
      <c r="U146" s="2">
        <f t="shared" si="18"/>
        <v>1294</v>
      </c>
      <c r="V146" s="2">
        <f t="shared" si="19"/>
        <v>1110</v>
      </c>
      <c r="W146" s="2">
        <f t="shared" si="20"/>
        <v>880</v>
      </c>
      <c r="X146" s="2">
        <f t="shared" si="21"/>
        <v>6000</v>
      </c>
      <c r="Y146" s="2">
        <f t="shared" si="22"/>
        <v>13999</v>
      </c>
      <c r="Z146" s="2">
        <f t="shared" si="23"/>
        <v>15449</v>
      </c>
      <c r="AA146" s="2">
        <f t="shared" si="24"/>
        <v>2771</v>
      </c>
      <c r="AB146" s="2">
        <f t="shared" si="25"/>
        <v>1907</v>
      </c>
      <c r="AC146" s="2">
        <f t="shared" si="26"/>
        <v>1475</v>
      </c>
      <c r="AD146" s="2">
        <f t="shared" si="27"/>
        <v>1216</v>
      </c>
      <c r="AE146" s="2">
        <f t="shared" si="28"/>
        <v>1043</v>
      </c>
      <c r="AF146" s="2">
        <f t="shared" si="29"/>
        <v>827</v>
      </c>
      <c r="AG146" s="2">
        <f t="shared" si="30"/>
        <v>7000</v>
      </c>
      <c r="AH146" s="2">
        <f t="shared" si="31"/>
        <v>12999</v>
      </c>
      <c r="AI146" s="2">
        <f t="shared" si="32"/>
        <v>14449</v>
      </c>
      <c r="AJ146" s="2">
        <f t="shared" si="33"/>
        <v>2593</v>
      </c>
      <c r="AK146" s="2">
        <f t="shared" si="34"/>
        <v>1785</v>
      </c>
      <c r="AL146" s="2">
        <f t="shared" si="35"/>
        <v>1380</v>
      </c>
      <c r="AM146" s="2">
        <f t="shared" si="36"/>
        <v>1138</v>
      </c>
      <c r="AN146" s="2">
        <f t="shared" si="37"/>
        <v>976</v>
      </c>
      <c r="AO146" s="2">
        <f t="shared" si="38"/>
        <v>774</v>
      </c>
      <c r="AP146" s="2">
        <f t="shared" si="39"/>
        <v>8000</v>
      </c>
      <c r="AQ146" s="2">
        <f t="shared" si="40"/>
        <v>11999</v>
      </c>
      <c r="AR146" s="2">
        <f t="shared" si="41"/>
        <v>13449</v>
      </c>
      <c r="AS146" s="2">
        <f t="shared" si="42"/>
        <v>2415</v>
      </c>
      <c r="AT146" s="2">
        <f t="shared" si="43"/>
        <v>1662</v>
      </c>
      <c r="AU146" s="2">
        <f t="shared" si="44"/>
        <v>1286</v>
      </c>
      <c r="AV146" s="2">
        <f t="shared" si="45"/>
        <v>1060</v>
      </c>
      <c r="AW146" s="2">
        <f t="shared" si="46"/>
        <v>909</v>
      </c>
      <c r="AX146" s="2">
        <f t="shared" si="47"/>
        <v>721</v>
      </c>
    </row>
    <row r="147" ht="14.25" customHeight="1">
      <c r="A147" s="2" t="str">
        <f t="array" ref="A147">IFERROR(INDEX('Product Price'!A:A,SMALL('Product Price'!$D:$D,145)),"")</f>
        <v>REDMI Note 17 Pro Max 5G 8/256 GB</v>
      </c>
      <c r="B147" s="2">
        <f t="array" ref="B147">IFERROR(INDEX('Product Price'!B:B,SMALL('Product Price'!$D:$D,145)),"")</f>
        <v>17999</v>
      </c>
      <c r="C147" s="2">
        <f t="array" ref="C147">IFERROR(INDEX('Product Price'!C:C,SMALL('Product Price'!$D:$D,145)),"")</f>
        <v>164</v>
      </c>
      <c r="D147" s="2">
        <f t="shared" si="1"/>
        <v>1450</v>
      </c>
      <c r="E147" s="2">
        <f t="shared" si="2"/>
        <v>19449</v>
      </c>
      <c r="F147" s="2">
        <f t="shared" si="3"/>
        <v>3600</v>
      </c>
      <c r="G147" s="2">
        <f t="shared" si="4"/>
        <v>14399</v>
      </c>
      <c r="H147" s="2">
        <f t="shared" si="5"/>
        <v>15849</v>
      </c>
      <c r="I147" s="2">
        <f t="shared" si="6"/>
        <v>2842</v>
      </c>
      <c r="J147" s="2">
        <f t="shared" si="7"/>
        <v>1956</v>
      </c>
      <c r="K147" s="2">
        <f t="shared" si="8"/>
        <v>1513</v>
      </c>
      <c r="L147" s="2">
        <f t="shared" si="9"/>
        <v>1247</v>
      </c>
      <c r="M147" s="2">
        <f t="shared" si="10"/>
        <v>1070</v>
      </c>
      <c r="N147" s="2">
        <f t="shared" si="11"/>
        <v>849</v>
      </c>
      <c r="O147" s="2">
        <f t="shared" si="12"/>
        <v>4500</v>
      </c>
      <c r="P147" s="2">
        <f t="shared" si="13"/>
        <v>13499</v>
      </c>
      <c r="Q147" s="2">
        <f t="shared" si="14"/>
        <v>14949</v>
      </c>
      <c r="R147" s="2">
        <f t="shared" si="15"/>
        <v>2682</v>
      </c>
      <c r="S147" s="2">
        <f t="shared" si="16"/>
        <v>1846</v>
      </c>
      <c r="T147" s="2">
        <f t="shared" si="17"/>
        <v>1428</v>
      </c>
      <c r="U147" s="2">
        <f t="shared" si="18"/>
        <v>1177</v>
      </c>
      <c r="V147" s="2">
        <f t="shared" si="19"/>
        <v>1010</v>
      </c>
      <c r="W147" s="2">
        <f t="shared" si="20"/>
        <v>801</v>
      </c>
      <c r="X147" s="2">
        <f t="shared" si="21"/>
        <v>5400</v>
      </c>
      <c r="Y147" s="2">
        <f t="shared" si="22"/>
        <v>12599</v>
      </c>
      <c r="Z147" s="2">
        <f t="shared" si="23"/>
        <v>14049</v>
      </c>
      <c r="AA147" s="2">
        <f t="shared" si="24"/>
        <v>2522</v>
      </c>
      <c r="AB147" s="2">
        <f t="shared" si="25"/>
        <v>1736</v>
      </c>
      <c r="AC147" s="2">
        <f t="shared" si="26"/>
        <v>1342</v>
      </c>
      <c r="AD147" s="2">
        <f t="shared" si="27"/>
        <v>1107</v>
      </c>
      <c r="AE147" s="2">
        <f t="shared" si="28"/>
        <v>949</v>
      </c>
      <c r="AF147" s="2">
        <f t="shared" si="29"/>
        <v>753</v>
      </c>
      <c r="AG147" s="2">
        <f t="shared" si="30"/>
        <v>6300</v>
      </c>
      <c r="AH147" s="2">
        <f t="shared" si="31"/>
        <v>11699</v>
      </c>
      <c r="AI147" s="2">
        <f t="shared" si="32"/>
        <v>13149</v>
      </c>
      <c r="AJ147" s="2">
        <f t="shared" si="33"/>
        <v>2361</v>
      </c>
      <c r="AK147" s="2">
        <f t="shared" si="34"/>
        <v>1625</v>
      </c>
      <c r="AL147" s="2">
        <f t="shared" si="35"/>
        <v>1257</v>
      </c>
      <c r="AM147" s="2">
        <f t="shared" si="36"/>
        <v>1036</v>
      </c>
      <c r="AN147" s="2">
        <f t="shared" si="37"/>
        <v>889</v>
      </c>
      <c r="AO147" s="2">
        <f t="shared" si="38"/>
        <v>705</v>
      </c>
      <c r="AP147" s="2">
        <f t="shared" si="39"/>
        <v>7200</v>
      </c>
      <c r="AQ147" s="2">
        <f t="shared" si="40"/>
        <v>10799</v>
      </c>
      <c r="AR147" s="2">
        <f t="shared" si="41"/>
        <v>12249</v>
      </c>
      <c r="AS147" s="2">
        <f t="shared" si="42"/>
        <v>2201</v>
      </c>
      <c r="AT147" s="2">
        <f t="shared" si="43"/>
        <v>1515</v>
      </c>
      <c r="AU147" s="2">
        <f t="shared" si="44"/>
        <v>1172</v>
      </c>
      <c r="AV147" s="2">
        <f t="shared" si="45"/>
        <v>966</v>
      </c>
      <c r="AW147" s="2">
        <f t="shared" si="46"/>
        <v>829</v>
      </c>
      <c r="AX147" s="2">
        <f t="shared" si="47"/>
        <v>657</v>
      </c>
    </row>
    <row r="148" ht="14.25" customHeight="1">
      <c r="A148" s="2" t="str">
        <f t="array" ref="A148">IFERROR(INDEX('Product Price'!A:A,SMALL('Product Price'!$D:$D,146)),"")</f>
        <v>REDMI Note 17 Pro 5G 8/256 GB</v>
      </c>
      <c r="B148" s="2">
        <f t="array" ref="B148">IFERROR(INDEX('Product Price'!B:B,SMALL('Product Price'!$D:$D,146)),"")</f>
        <v>15999</v>
      </c>
      <c r="C148" s="2">
        <f t="array" ref="C148">IFERROR(INDEX('Product Price'!C:C,SMALL('Product Price'!$D:$D,146)),"")</f>
        <v>165</v>
      </c>
      <c r="D148" s="2">
        <f t="shared" si="1"/>
        <v>1450</v>
      </c>
      <c r="E148" s="2">
        <f t="shared" si="2"/>
        <v>17449</v>
      </c>
      <c r="F148" s="2">
        <f t="shared" si="3"/>
        <v>3200</v>
      </c>
      <c r="G148" s="2">
        <f t="shared" si="4"/>
        <v>12799</v>
      </c>
      <c r="H148" s="2">
        <f t="shared" si="5"/>
        <v>14249</v>
      </c>
      <c r="I148" s="2">
        <f t="shared" si="6"/>
        <v>2557</v>
      </c>
      <c r="J148" s="2">
        <f t="shared" si="7"/>
        <v>1760</v>
      </c>
      <c r="K148" s="2">
        <f t="shared" si="8"/>
        <v>1361</v>
      </c>
      <c r="L148" s="2">
        <f t="shared" si="9"/>
        <v>1122</v>
      </c>
      <c r="M148" s="2">
        <f t="shared" si="10"/>
        <v>963</v>
      </c>
      <c r="N148" s="2">
        <f t="shared" si="11"/>
        <v>763</v>
      </c>
      <c r="O148" s="2">
        <f t="shared" si="12"/>
        <v>4000</v>
      </c>
      <c r="P148" s="2">
        <f t="shared" si="13"/>
        <v>11999</v>
      </c>
      <c r="Q148" s="2">
        <f t="shared" si="14"/>
        <v>13449</v>
      </c>
      <c r="R148" s="2">
        <f t="shared" si="15"/>
        <v>2415</v>
      </c>
      <c r="S148" s="2">
        <f t="shared" si="16"/>
        <v>1662</v>
      </c>
      <c r="T148" s="2">
        <f t="shared" si="17"/>
        <v>1286</v>
      </c>
      <c r="U148" s="2">
        <f t="shared" si="18"/>
        <v>1060</v>
      </c>
      <c r="V148" s="2">
        <f t="shared" si="19"/>
        <v>909</v>
      </c>
      <c r="W148" s="2">
        <f t="shared" si="20"/>
        <v>721</v>
      </c>
      <c r="X148" s="2">
        <f t="shared" si="21"/>
        <v>4800</v>
      </c>
      <c r="Y148" s="2">
        <f t="shared" si="22"/>
        <v>11199</v>
      </c>
      <c r="Z148" s="2">
        <f t="shared" si="23"/>
        <v>12649</v>
      </c>
      <c r="AA148" s="2">
        <f t="shared" si="24"/>
        <v>2272</v>
      </c>
      <c r="AB148" s="2">
        <f t="shared" si="25"/>
        <v>1564</v>
      </c>
      <c r="AC148" s="2">
        <f t="shared" si="26"/>
        <v>1210</v>
      </c>
      <c r="AD148" s="2">
        <f t="shared" si="27"/>
        <v>997</v>
      </c>
      <c r="AE148" s="2">
        <f t="shared" si="28"/>
        <v>855</v>
      </c>
      <c r="AF148" s="2">
        <f t="shared" si="29"/>
        <v>678</v>
      </c>
      <c r="AG148" s="2">
        <f t="shared" si="30"/>
        <v>5600</v>
      </c>
      <c r="AH148" s="2">
        <f t="shared" si="31"/>
        <v>10399</v>
      </c>
      <c r="AI148" s="2">
        <f t="shared" si="32"/>
        <v>11849</v>
      </c>
      <c r="AJ148" s="2">
        <f t="shared" si="33"/>
        <v>2130</v>
      </c>
      <c r="AK148" s="2">
        <f t="shared" si="34"/>
        <v>1466</v>
      </c>
      <c r="AL148" s="2">
        <f t="shared" si="35"/>
        <v>1134</v>
      </c>
      <c r="AM148" s="2">
        <f t="shared" si="36"/>
        <v>935</v>
      </c>
      <c r="AN148" s="2">
        <f t="shared" si="37"/>
        <v>802</v>
      </c>
      <c r="AO148" s="2">
        <f t="shared" si="38"/>
        <v>636</v>
      </c>
      <c r="AP148" s="2">
        <f t="shared" si="39"/>
        <v>6400</v>
      </c>
      <c r="AQ148" s="2">
        <f t="shared" si="40"/>
        <v>9599</v>
      </c>
      <c r="AR148" s="2">
        <f t="shared" si="41"/>
        <v>11049</v>
      </c>
      <c r="AS148" s="2">
        <f t="shared" si="42"/>
        <v>1987</v>
      </c>
      <c r="AT148" s="2">
        <f t="shared" si="43"/>
        <v>1368</v>
      </c>
      <c r="AU148" s="2">
        <f t="shared" si="44"/>
        <v>1058</v>
      </c>
      <c r="AV148" s="2">
        <f t="shared" si="45"/>
        <v>872</v>
      </c>
      <c r="AW148" s="2">
        <f t="shared" si="46"/>
        <v>748</v>
      </c>
      <c r="AX148" s="2">
        <f t="shared" si="47"/>
        <v>593</v>
      </c>
    </row>
    <row r="149" ht="14.25" customHeight="1">
      <c r="A149" s="2" t="str">
        <f t="array" ref="A149">IFERROR(INDEX('Product Price'!A:A,SMALL('Product Price'!$D:$D,147)),"")</f>
        <v>REDMI Note 17 Pro 5G 6/256 GB</v>
      </c>
      <c r="B149" s="2">
        <f t="array" ref="B149">IFERROR(INDEX('Product Price'!B:B,SMALL('Product Price'!$D:$D,147)),"")</f>
        <v>14999</v>
      </c>
      <c r="C149" s="2">
        <f t="array" ref="C149">IFERROR(INDEX('Product Price'!C:C,SMALL('Product Price'!$D:$D,147)),"")</f>
        <v>166</v>
      </c>
      <c r="D149" s="2">
        <f t="shared" si="1"/>
        <v>1450</v>
      </c>
      <c r="E149" s="2">
        <f t="shared" si="2"/>
        <v>16449</v>
      </c>
      <c r="F149" s="2">
        <f t="shared" si="3"/>
        <v>3000</v>
      </c>
      <c r="G149" s="2">
        <f t="shared" si="4"/>
        <v>11999</v>
      </c>
      <c r="H149" s="2">
        <f t="shared" si="5"/>
        <v>13449</v>
      </c>
      <c r="I149" s="2">
        <f t="shared" si="6"/>
        <v>2415</v>
      </c>
      <c r="J149" s="2">
        <f t="shared" si="7"/>
        <v>1662</v>
      </c>
      <c r="K149" s="2">
        <f t="shared" si="8"/>
        <v>1286</v>
      </c>
      <c r="L149" s="2">
        <f t="shared" si="9"/>
        <v>1060</v>
      </c>
      <c r="M149" s="2">
        <f t="shared" si="10"/>
        <v>909</v>
      </c>
      <c r="N149" s="2">
        <f t="shared" si="11"/>
        <v>721</v>
      </c>
      <c r="O149" s="2">
        <f t="shared" si="12"/>
        <v>3750</v>
      </c>
      <c r="P149" s="2">
        <f t="shared" si="13"/>
        <v>11249</v>
      </c>
      <c r="Q149" s="2">
        <f t="shared" si="14"/>
        <v>12699</v>
      </c>
      <c r="R149" s="2">
        <f t="shared" si="15"/>
        <v>2281</v>
      </c>
      <c r="S149" s="2">
        <f t="shared" si="16"/>
        <v>1570</v>
      </c>
      <c r="T149" s="2">
        <f t="shared" si="17"/>
        <v>1214</v>
      </c>
      <c r="U149" s="2">
        <f t="shared" si="18"/>
        <v>1001</v>
      </c>
      <c r="V149" s="2">
        <f t="shared" si="19"/>
        <v>859</v>
      </c>
      <c r="W149" s="2">
        <f t="shared" si="20"/>
        <v>681</v>
      </c>
      <c r="X149" s="2">
        <f t="shared" si="21"/>
        <v>4500</v>
      </c>
      <c r="Y149" s="2">
        <f t="shared" si="22"/>
        <v>10499</v>
      </c>
      <c r="Z149" s="2">
        <f t="shared" si="23"/>
        <v>11949</v>
      </c>
      <c r="AA149" s="2">
        <f t="shared" si="24"/>
        <v>2147</v>
      </c>
      <c r="AB149" s="2">
        <f t="shared" si="25"/>
        <v>1478</v>
      </c>
      <c r="AC149" s="2">
        <f t="shared" si="26"/>
        <v>1143</v>
      </c>
      <c r="AD149" s="2">
        <f t="shared" si="27"/>
        <v>942</v>
      </c>
      <c r="AE149" s="2">
        <f t="shared" si="28"/>
        <v>809</v>
      </c>
      <c r="AF149" s="2">
        <f t="shared" si="29"/>
        <v>641</v>
      </c>
      <c r="AG149" s="2">
        <f t="shared" si="30"/>
        <v>5250</v>
      </c>
      <c r="AH149" s="2">
        <f t="shared" si="31"/>
        <v>9749</v>
      </c>
      <c r="AI149" s="2">
        <f t="shared" si="32"/>
        <v>11199</v>
      </c>
      <c r="AJ149" s="2">
        <f t="shared" si="33"/>
        <v>2014</v>
      </c>
      <c r="AK149" s="2">
        <f t="shared" si="34"/>
        <v>1386</v>
      </c>
      <c r="AL149" s="2">
        <f t="shared" si="35"/>
        <v>1072</v>
      </c>
      <c r="AM149" s="2">
        <f t="shared" si="36"/>
        <v>884</v>
      </c>
      <c r="AN149" s="2">
        <f t="shared" si="37"/>
        <v>758</v>
      </c>
      <c r="AO149" s="2">
        <f t="shared" si="38"/>
        <v>601</v>
      </c>
      <c r="AP149" s="2">
        <f t="shared" si="39"/>
        <v>6000</v>
      </c>
      <c r="AQ149" s="2">
        <f t="shared" si="40"/>
        <v>8999</v>
      </c>
      <c r="AR149" s="2">
        <f t="shared" si="41"/>
        <v>10449</v>
      </c>
      <c r="AS149" s="2">
        <f t="shared" si="42"/>
        <v>1880</v>
      </c>
      <c r="AT149" s="2">
        <f t="shared" si="43"/>
        <v>1294</v>
      </c>
      <c r="AU149" s="2">
        <f t="shared" si="44"/>
        <v>1001</v>
      </c>
      <c r="AV149" s="2">
        <f t="shared" si="45"/>
        <v>825</v>
      </c>
      <c r="AW149" s="2">
        <f t="shared" si="46"/>
        <v>708</v>
      </c>
      <c r="AX149" s="2">
        <f t="shared" si="47"/>
        <v>561</v>
      </c>
    </row>
    <row r="150" ht="14.25" customHeight="1">
      <c r="A150" s="2" t="str">
        <f t="array" ref="A150">IFERROR(INDEX('Product Price'!A:A,SMALL('Product Price'!$D:$D,148)),"")</f>
        <v>REDMI Note 17 5G 8/256 GB</v>
      </c>
      <c r="B150" s="2">
        <f t="array" ref="B150">IFERROR(INDEX('Product Price'!B:B,SMALL('Product Price'!$D:$D,148)),"")</f>
        <v>12999</v>
      </c>
      <c r="C150" s="2">
        <f t="array" ref="C150">IFERROR(INDEX('Product Price'!C:C,SMALL('Product Price'!$D:$D,148)),"")</f>
        <v>167</v>
      </c>
      <c r="D150" s="2">
        <f t="shared" si="1"/>
        <v>1450</v>
      </c>
      <c r="E150" s="2">
        <f t="shared" si="2"/>
        <v>14449</v>
      </c>
      <c r="F150" s="2">
        <f t="shared" si="3"/>
        <v>2600</v>
      </c>
      <c r="G150" s="2">
        <f t="shared" si="4"/>
        <v>10399</v>
      </c>
      <c r="H150" s="2">
        <f t="shared" si="5"/>
        <v>11849</v>
      </c>
      <c r="I150" s="2">
        <f t="shared" si="6"/>
        <v>2130</v>
      </c>
      <c r="J150" s="2">
        <f t="shared" si="7"/>
        <v>1466</v>
      </c>
      <c r="K150" s="2">
        <f t="shared" si="8"/>
        <v>1134</v>
      </c>
      <c r="L150" s="2">
        <f t="shared" si="9"/>
        <v>935</v>
      </c>
      <c r="M150" s="2">
        <f t="shared" si="10"/>
        <v>802</v>
      </c>
      <c r="N150" s="2">
        <f t="shared" si="11"/>
        <v>636</v>
      </c>
      <c r="O150" s="2">
        <f t="shared" si="12"/>
        <v>3250</v>
      </c>
      <c r="P150" s="2">
        <f t="shared" si="13"/>
        <v>9749</v>
      </c>
      <c r="Q150" s="2">
        <f t="shared" si="14"/>
        <v>11199</v>
      </c>
      <c r="R150" s="2">
        <f t="shared" si="15"/>
        <v>2014</v>
      </c>
      <c r="S150" s="2">
        <f t="shared" si="16"/>
        <v>1386</v>
      </c>
      <c r="T150" s="2">
        <f t="shared" si="17"/>
        <v>1072</v>
      </c>
      <c r="U150" s="2">
        <f t="shared" si="18"/>
        <v>884</v>
      </c>
      <c r="V150" s="2">
        <f t="shared" si="19"/>
        <v>758</v>
      </c>
      <c r="W150" s="2">
        <f t="shared" si="20"/>
        <v>601</v>
      </c>
      <c r="X150" s="2">
        <f t="shared" si="21"/>
        <v>3900</v>
      </c>
      <c r="Y150" s="2">
        <f t="shared" si="22"/>
        <v>9099</v>
      </c>
      <c r="Z150" s="2">
        <f t="shared" si="23"/>
        <v>10549</v>
      </c>
      <c r="AA150" s="2">
        <f t="shared" si="24"/>
        <v>1898</v>
      </c>
      <c r="AB150" s="2">
        <f t="shared" si="25"/>
        <v>1306</v>
      </c>
      <c r="AC150" s="2">
        <f t="shared" si="26"/>
        <v>1011</v>
      </c>
      <c r="AD150" s="2">
        <f t="shared" si="27"/>
        <v>833</v>
      </c>
      <c r="AE150" s="2">
        <f t="shared" si="28"/>
        <v>715</v>
      </c>
      <c r="AF150" s="2">
        <f t="shared" si="29"/>
        <v>567</v>
      </c>
      <c r="AG150" s="2">
        <f t="shared" si="30"/>
        <v>4550</v>
      </c>
      <c r="AH150" s="2">
        <f t="shared" si="31"/>
        <v>8449</v>
      </c>
      <c r="AI150" s="2">
        <f t="shared" si="32"/>
        <v>9899</v>
      </c>
      <c r="AJ150" s="2">
        <f t="shared" si="33"/>
        <v>1782</v>
      </c>
      <c r="AK150" s="2">
        <f t="shared" si="34"/>
        <v>1227</v>
      </c>
      <c r="AL150" s="2">
        <f t="shared" si="35"/>
        <v>949</v>
      </c>
      <c r="AM150" s="2">
        <f t="shared" si="36"/>
        <v>782</v>
      </c>
      <c r="AN150" s="2">
        <f t="shared" si="37"/>
        <v>671</v>
      </c>
      <c r="AO150" s="2">
        <f t="shared" si="38"/>
        <v>532</v>
      </c>
      <c r="AP150" s="2">
        <f t="shared" si="39"/>
        <v>5200</v>
      </c>
      <c r="AQ150" s="2">
        <f t="shared" si="40"/>
        <v>7799</v>
      </c>
      <c r="AR150" s="2">
        <f t="shared" si="41"/>
        <v>9249</v>
      </c>
      <c r="AS150" s="2">
        <f t="shared" si="42"/>
        <v>1666</v>
      </c>
      <c r="AT150" s="2">
        <f t="shared" si="43"/>
        <v>1147</v>
      </c>
      <c r="AU150" s="2">
        <f t="shared" si="44"/>
        <v>887</v>
      </c>
      <c r="AV150" s="2">
        <f t="shared" si="45"/>
        <v>731</v>
      </c>
      <c r="AW150" s="2">
        <f t="shared" si="46"/>
        <v>628</v>
      </c>
      <c r="AX150" s="2">
        <f t="shared" si="47"/>
        <v>498</v>
      </c>
    </row>
    <row r="151" ht="14.25" customHeight="1">
      <c r="A151" s="2" t="str">
        <f t="array" ref="A151">IFERROR(INDEX('Product Price'!A:A,SMALL('Product Price'!$D:$D,149)),"")</f>
        <v>REDMI Note 17 5G 6/256 GB</v>
      </c>
      <c r="B151" s="2">
        <f t="array" ref="B151">IFERROR(INDEX('Product Price'!B:B,SMALL('Product Price'!$D:$D,149)),"")</f>
        <v>11999</v>
      </c>
      <c r="C151" s="2">
        <f t="array" ref="C151">IFERROR(INDEX('Product Price'!C:C,SMALL('Product Price'!$D:$D,149)),"")</f>
        <v>168</v>
      </c>
      <c r="D151" s="2">
        <f t="shared" si="1"/>
        <v>1450</v>
      </c>
      <c r="E151" s="2">
        <f t="shared" si="2"/>
        <v>13449</v>
      </c>
      <c r="F151" s="2">
        <f t="shared" si="3"/>
        <v>2400</v>
      </c>
      <c r="G151" s="2">
        <f t="shared" si="4"/>
        <v>9599</v>
      </c>
      <c r="H151" s="2">
        <f t="shared" si="5"/>
        <v>11049</v>
      </c>
      <c r="I151" s="2">
        <f t="shared" si="6"/>
        <v>1987</v>
      </c>
      <c r="J151" s="2">
        <f t="shared" si="7"/>
        <v>1368</v>
      </c>
      <c r="K151" s="2">
        <f t="shared" si="8"/>
        <v>1058</v>
      </c>
      <c r="L151" s="2">
        <f t="shared" si="9"/>
        <v>872</v>
      </c>
      <c r="M151" s="2">
        <f t="shared" si="10"/>
        <v>748</v>
      </c>
      <c r="N151" s="2">
        <f t="shared" si="11"/>
        <v>593</v>
      </c>
      <c r="O151" s="2">
        <f t="shared" si="12"/>
        <v>3000</v>
      </c>
      <c r="P151" s="2">
        <f t="shared" si="13"/>
        <v>8999</v>
      </c>
      <c r="Q151" s="2">
        <f t="shared" si="14"/>
        <v>10449</v>
      </c>
      <c r="R151" s="2">
        <f t="shared" si="15"/>
        <v>1880</v>
      </c>
      <c r="S151" s="2">
        <f t="shared" si="16"/>
        <v>1294</v>
      </c>
      <c r="T151" s="2">
        <f t="shared" si="17"/>
        <v>1001</v>
      </c>
      <c r="U151" s="2">
        <f t="shared" si="18"/>
        <v>825</v>
      </c>
      <c r="V151" s="2">
        <f t="shared" si="19"/>
        <v>708</v>
      </c>
      <c r="W151" s="2">
        <f t="shared" si="20"/>
        <v>561</v>
      </c>
      <c r="X151" s="2">
        <f t="shared" si="21"/>
        <v>3600</v>
      </c>
      <c r="Y151" s="2">
        <f t="shared" si="22"/>
        <v>8399</v>
      </c>
      <c r="Z151" s="2">
        <f t="shared" si="23"/>
        <v>9849</v>
      </c>
      <c r="AA151" s="2">
        <f t="shared" si="24"/>
        <v>1773</v>
      </c>
      <c r="AB151" s="2">
        <f t="shared" si="25"/>
        <v>1221</v>
      </c>
      <c r="AC151" s="2">
        <f t="shared" si="26"/>
        <v>944</v>
      </c>
      <c r="AD151" s="2">
        <f t="shared" si="27"/>
        <v>778</v>
      </c>
      <c r="AE151" s="2">
        <f t="shared" si="28"/>
        <v>668</v>
      </c>
      <c r="AF151" s="2">
        <f t="shared" si="29"/>
        <v>530</v>
      </c>
      <c r="AG151" s="2">
        <f t="shared" si="30"/>
        <v>4200</v>
      </c>
      <c r="AH151" s="2">
        <f t="shared" si="31"/>
        <v>7799</v>
      </c>
      <c r="AI151" s="2">
        <f t="shared" si="32"/>
        <v>9249</v>
      </c>
      <c r="AJ151" s="2">
        <f t="shared" si="33"/>
        <v>1666</v>
      </c>
      <c r="AK151" s="2">
        <f t="shared" si="34"/>
        <v>1147</v>
      </c>
      <c r="AL151" s="2">
        <f t="shared" si="35"/>
        <v>887</v>
      </c>
      <c r="AM151" s="2">
        <f t="shared" si="36"/>
        <v>731</v>
      </c>
      <c r="AN151" s="2">
        <f t="shared" si="37"/>
        <v>628</v>
      </c>
      <c r="AO151" s="2">
        <f t="shared" si="38"/>
        <v>498</v>
      </c>
      <c r="AP151" s="2">
        <f t="shared" si="39"/>
        <v>4800</v>
      </c>
      <c r="AQ151" s="2">
        <f t="shared" si="40"/>
        <v>7199</v>
      </c>
      <c r="AR151" s="2">
        <f t="shared" si="41"/>
        <v>8649</v>
      </c>
      <c r="AS151" s="2">
        <f t="shared" si="42"/>
        <v>1560</v>
      </c>
      <c r="AT151" s="2">
        <f t="shared" si="43"/>
        <v>1073</v>
      </c>
      <c r="AU151" s="2">
        <f t="shared" si="44"/>
        <v>830</v>
      </c>
      <c r="AV151" s="2">
        <f t="shared" si="45"/>
        <v>684</v>
      </c>
      <c r="AW151" s="2">
        <f t="shared" si="46"/>
        <v>587</v>
      </c>
      <c r="AX151" s="2" t="str">
        <f t="shared" si="47"/>
        <v>-</v>
      </c>
    </row>
    <row r="152" ht="14.25" customHeight="1">
      <c r="A152" s="2" t="str">
        <f t="array" ref="A152">IFERROR(INDEX('Product Price'!A:A,SMALL('Product Price'!$D:$D,150)),"")</f>
        <v>REDMI Note 17 6/128 GB</v>
      </c>
      <c r="B152" s="2">
        <f t="array" ref="B152">IFERROR(INDEX('Product Price'!B:B,SMALL('Product Price'!$D:$D,150)),"")</f>
        <v>8499</v>
      </c>
      <c r="C152" s="2">
        <f t="array" ref="C152">IFERROR(INDEX('Product Price'!C:C,SMALL('Product Price'!$D:$D,150)),"")</f>
        <v>169</v>
      </c>
      <c r="D152" s="2">
        <f t="shared" si="1"/>
        <v>795</v>
      </c>
      <c r="E152" s="2">
        <f t="shared" si="2"/>
        <v>9294</v>
      </c>
      <c r="F152" s="2">
        <f t="shared" si="3"/>
        <v>1700</v>
      </c>
      <c r="G152" s="2">
        <f t="shared" si="4"/>
        <v>6799</v>
      </c>
      <c r="H152" s="2">
        <f t="shared" si="5"/>
        <v>7594</v>
      </c>
      <c r="I152" s="2">
        <f t="shared" si="6"/>
        <v>1363</v>
      </c>
      <c r="J152" s="2">
        <f t="shared" si="7"/>
        <v>938</v>
      </c>
      <c r="K152" s="2">
        <f t="shared" si="8"/>
        <v>726</v>
      </c>
      <c r="L152" s="2">
        <f t="shared" si="9"/>
        <v>598</v>
      </c>
      <c r="M152" s="2">
        <f t="shared" si="10"/>
        <v>513</v>
      </c>
      <c r="N152" s="2" t="str">
        <f t="shared" si="11"/>
        <v>-</v>
      </c>
      <c r="O152" s="2">
        <f t="shared" si="12"/>
        <v>2125</v>
      </c>
      <c r="P152" s="2">
        <f t="shared" si="13"/>
        <v>6374</v>
      </c>
      <c r="Q152" s="2">
        <f t="shared" si="14"/>
        <v>7169</v>
      </c>
      <c r="R152" s="2">
        <f t="shared" si="15"/>
        <v>1288</v>
      </c>
      <c r="S152" s="2">
        <f t="shared" si="16"/>
        <v>886</v>
      </c>
      <c r="T152" s="2">
        <f t="shared" si="17"/>
        <v>686</v>
      </c>
      <c r="U152" s="2">
        <f t="shared" si="18"/>
        <v>565</v>
      </c>
      <c r="V152" s="2">
        <f t="shared" si="19"/>
        <v>485</v>
      </c>
      <c r="W152" s="2" t="str">
        <f t="shared" si="20"/>
        <v>-</v>
      </c>
      <c r="X152" s="2">
        <f t="shared" si="21"/>
        <v>2550</v>
      </c>
      <c r="Y152" s="2">
        <f t="shared" si="22"/>
        <v>5949</v>
      </c>
      <c r="Z152" s="2">
        <f t="shared" si="23"/>
        <v>6744</v>
      </c>
      <c r="AA152" s="2">
        <f t="shared" si="24"/>
        <v>1212</v>
      </c>
      <c r="AB152" s="2">
        <f t="shared" si="25"/>
        <v>834</v>
      </c>
      <c r="AC152" s="2">
        <f t="shared" si="26"/>
        <v>645</v>
      </c>
      <c r="AD152" s="2">
        <f t="shared" si="27"/>
        <v>532</v>
      </c>
      <c r="AE152" s="2" t="str">
        <f t="shared" si="28"/>
        <v>-</v>
      </c>
      <c r="AF152" s="2" t="str">
        <f t="shared" si="29"/>
        <v>-</v>
      </c>
      <c r="AG152" s="2">
        <f t="shared" si="30"/>
        <v>2975</v>
      </c>
      <c r="AH152" s="2">
        <f t="shared" si="31"/>
        <v>5524</v>
      </c>
      <c r="AI152" s="2">
        <f t="shared" si="32"/>
        <v>6319</v>
      </c>
      <c r="AJ152" s="2">
        <f t="shared" si="33"/>
        <v>1136</v>
      </c>
      <c r="AK152" s="2">
        <f t="shared" si="34"/>
        <v>782</v>
      </c>
      <c r="AL152" s="2">
        <f t="shared" si="35"/>
        <v>605</v>
      </c>
      <c r="AM152" s="2">
        <f t="shared" si="36"/>
        <v>499</v>
      </c>
      <c r="AN152" s="2" t="str">
        <f t="shared" si="37"/>
        <v>-</v>
      </c>
      <c r="AO152" s="2" t="str">
        <f t="shared" si="38"/>
        <v>-</v>
      </c>
      <c r="AP152" s="2">
        <f t="shared" si="39"/>
        <v>3400</v>
      </c>
      <c r="AQ152" s="2">
        <f t="shared" si="40"/>
        <v>5099</v>
      </c>
      <c r="AR152" s="2">
        <f t="shared" si="41"/>
        <v>5894</v>
      </c>
      <c r="AS152" s="2">
        <f t="shared" si="42"/>
        <v>1061</v>
      </c>
      <c r="AT152" s="2">
        <f t="shared" si="43"/>
        <v>730</v>
      </c>
      <c r="AU152" s="2">
        <f t="shared" si="44"/>
        <v>565</v>
      </c>
      <c r="AV152" s="2" t="str">
        <f t="shared" si="45"/>
        <v>-</v>
      </c>
      <c r="AW152" s="2" t="str">
        <f t="shared" si="46"/>
        <v>-</v>
      </c>
      <c r="AX152" s="2" t="str">
        <f t="shared" si="47"/>
        <v>-</v>
      </c>
    </row>
    <row r="153" ht="14.25" customHeight="1">
      <c r="A153" s="2" t="str">
        <f t="array" ref="A153">IFERROR(INDEX('Product Price'!A:A,SMALL('Product Price'!$D:$D,151)),"")</f>
        <v>REDMI Note 15 Pro+ 5G 12/512 GB</v>
      </c>
      <c r="B153" s="2">
        <f t="array" ref="B153">IFERROR(INDEX('Product Price'!B:B,SMALL('Product Price'!$D:$D,151)),"")</f>
        <v>16990</v>
      </c>
      <c r="C153" s="2">
        <f t="array" ref="C153">IFERROR(INDEX('Product Price'!C:C,SMALL('Product Price'!$D:$D,151)),"")</f>
        <v>131</v>
      </c>
      <c r="D153" s="2">
        <f t="shared" si="1"/>
        <v>1450</v>
      </c>
      <c r="E153" s="2">
        <f t="shared" si="2"/>
        <v>18440</v>
      </c>
      <c r="F153" s="2">
        <f t="shared" si="3"/>
        <v>3398</v>
      </c>
      <c r="G153" s="2">
        <f t="shared" si="4"/>
        <v>13592</v>
      </c>
      <c r="H153" s="2">
        <f t="shared" si="5"/>
        <v>15042</v>
      </c>
      <c r="I153" s="2">
        <f t="shared" si="6"/>
        <v>2699</v>
      </c>
      <c r="J153" s="2">
        <f t="shared" si="7"/>
        <v>1857</v>
      </c>
      <c r="K153" s="2">
        <f t="shared" si="8"/>
        <v>1437</v>
      </c>
      <c r="L153" s="2">
        <f t="shared" si="9"/>
        <v>1184</v>
      </c>
      <c r="M153" s="2">
        <f t="shared" si="10"/>
        <v>1016</v>
      </c>
      <c r="N153" s="2">
        <f t="shared" si="11"/>
        <v>806</v>
      </c>
      <c r="O153" s="2">
        <f t="shared" si="12"/>
        <v>4248</v>
      </c>
      <c r="P153" s="2">
        <f t="shared" si="13"/>
        <v>12742</v>
      </c>
      <c r="Q153" s="2">
        <f t="shared" si="14"/>
        <v>14192</v>
      </c>
      <c r="R153" s="2">
        <f t="shared" si="15"/>
        <v>2547</v>
      </c>
      <c r="S153" s="2">
        <f t="shared" si="16"/>
        <v>1753</v>
      </c>
      <c r="T153" s="2">
        <f t="shared" si="17"/>
        <v>1356</v>
      </c>
      <c r="U153" s="2">
        <f t="shared" si="18"/>
        <v>1118</v>
      </c>
      <c r="V153" s="2">
        <f t="shared" si="19"/>
        <v>959</v>
      </c>
      <c r="W153" s="2">
        <f t="shared" si="20"/>
        <v>760</v>
      </c>
      <c r="X153" s="2">
        <f t="shared" si="21"/>
        <v>5097</v>
      </c>
      <c r="Y153" s="2">
        <f t="shared" si="22"/>
        <v>11893</v>
      </c>
      <c r="Z153" s="2">
        <f t="shared" si="23"/>
        <v>13343</v>
      </c>
      <c r="AA153" s="2">
        <f t="shared" si="24"/>
        <v>2396</v>
      </c>
      <c r="AB153" s="2">
        <f t="shared" si="25"/>
        <v>1649</v>
      </c>
      <c r="AC153" s="2">
        <f t="shared" si="26"/>
        <v>1275</v>
      </c>
      <c r="AD153" s="2">
        <f t="shared" si="27"/>
        <v>1051</v>
      </c>
      <c r="AE153" s="2">
        <f t="shared" si="28"/>
        <v>902</v>
      </c>
      <c r="AF153" s="2">
        <f t="shared" si="29"/>
        <v>715</v>
      </c>
      <c r="AG153" s="2">
        <f t="shared" si="30"/>
        <v>5947</v>
      </c>
      <c r="AH153" s="2">
        <f t="shared" si="31"/>
        <v>11043</v>
      </c>
      <c r="AI153" s="2">
        <f t="shared" si="32"/>
        <v>12493</v>
      </c>
      <c r="AJ153" s="2">
        <f t="shared" si="33"/>
        <v>2244</v>
      </c>
      <c r="AK153" s="2">
        <f t="shared" si="34"/>
        <v>1545</v>
      </c>
      <c r="AL153" s="2">
        <f t="shared" si="35"/>
        <v>1195</v>
      </c>
      <c r="AM153" s="2">
        <f t="shared" si="36"/>
        <v>985</v>
      </c>
      <c r="AN153" s="2">
        <f t="shared" si="37"/>
        <v>845</v>
      </c>
      <c r="AO153" s="2">
        <f t="shared" si="38"/>
        <v>670</v>
      </c>
      <c r="AP153" s="2">
        <f t="shared" si="39"/>
        <v>6796</v>
      </c>
      <c r="AQ153" s="2">
        <f t="shared" si="40"/>
        <v>10194</v>
      </c>
      <c r="AR153" s="2">
        <f t="shared" si="41"/>
        <v>11644</v>
      </c>
      <c r="AS153" s="2">
        <f t="shared" si="42"/>
        <v>2093</v>
      </c>
      <c r="AT153" s="2">
        <f t="shared" si="43"/>
        <v>1441</v>
      </c>
      <c r="AU153" s="2">
        <f t="shared" si="44"/>
        <v>1114</v>
      </c>
      <c r="AV153" s="2">
        <f t="shared" si="45"/>
        <v>919</v>
      </c>
      <c r="AW153" s="2">
        <f t="shared" si="46"/>
        <v>788</v>
      </c>
      <c r="AX153" s="2">
        <f t="shared" si="47"/>
        <v>625</v>
      </c>
    </row>
    <row r="154" ht="14.25" customHeight="1">
      <c r="A154" s="2" t="str">
        <f t="array" ref="A154">IFERROR(INDEX('Product Price'!A:A,SMALL('Product Price'!$D:$D,152)),"")</f>
        <v>REDMI Note 15 Pro+ 5G 12/256 GB</v>
      </c>
      <c r="B154" s="2">
        <f t="array" ref="B154">IFERROR(INDEX('Product Price'!B:B,SMALL('Product Price'!$D:$D,152)),"")</f>
        <v>14990</v>
      </c>
      <c r="C154" s="2">
        <f t="array" ref="C154">IFERROR(INDEX('Product Price'!C:C,SMALL('Product Price'!$D:$D,152)),"")</f>
        <v>132</v>
      </c>
      <c r="D154" s="2">
        <f t="shared" si="1"/>
        <v>1450</v>
      </c>
      <c r="E154" s="2">
        <f t="shared" si="2"/>
        <v>16440</v>
      </c>
      <c r="F154" s="2">
        <f t="shared" si="3"/>
        <v>2998</v>
      </c>
      <c r="G154" s="2">
        <f t="shared" si="4"/>
        <v>11992</v>
      </c>
      <c r="H154" s="2">
        <f t="shared" si="5"/>
        <v>13442</v>
      </c>
      <c r="I154" s="2">
        <f t="shared" si="6"/>
        <v>2414</v>
      </c>
      <c r="J154" s="2">
        <f t="shared" si="7"/>
        <v>1661</v>
      </c>
      <c r="K154" s="2">
        <f t="shared" si="8"/>
        <v>1285</v>
      </c>
      <c r="L154" s="2">
        <f t="shared" si="9"/>
        <v>1059</v>
      </c>
      <c r="M154" s="2">
        <f t="shared" si="10"/>
        <v>909</v>
      </c>
      <c r="N154" s="2">
        <f t="shared" si="11"/>
        <v>721</v>
      </c>
      <c r="O154" s="2">
        <f t="shared" si="12"/>
        <v>3748</v>
      </c>
      <c r="P154" s="2">
        <f t="shared" si="13"/>
        <v>11242</v>
      </c>
      <c r="Q154" s="2">
        <f t="shared" si="14"/>
        <v>12692</v>
      </c>
      <c r="R154" s="2">
        <f t="shared" si="15"/>
        <v>2280</v>
      </c>
      <c r="S154" s="2">
        <f t="shared" si="16"/>
        <v>1569</v>
      </c>
      <c r="T154" s="2">
        <f t="shared" si="17"/>
        <v>1214</v>
      </c>
      <c r="U154" s="2">
        <f t="shared" si="18"/>
        <v>1001</v>
      </c>
      <c r="V154" s="2">
        <f t="shared" si="19"/>
        <v>858</v>
      </c>
      <c r="W154" s="2">
        <f t="shared" si="20"/>
        <v>681</v>
      </c>
      <c r="X154" s="2">
        <f t="shared" si="21"/>
        <v>4497</v>
      </c>
      <c r="Y154" s="2">
        <f t="shared" si="22"/>
        <v>10493</v>
      </c>
      <c r="Z154" s="2">
        <f t="shared" si="23"/>
        <v>11943</v>
      </c>
      <c r="AA154" s="2">
        <f t="shared" si="24"/>
        <v>2146</v>
      </c>
      <c r="AB154" s="2">
        <f t="shared" si="25"/>
        <v>1477</v>
      </c>
      <c r="AC154" s="2">
        <f t="shared" si="26"/>
        <v>1143</v>
      </c>
      <c r="AD154" s="2">
        <f t="shared" si="27"/>
        <v>942</v>
      </c>
      <c r="AE154" s="2">
        <f t="shared" si="28"/>
        <v>808</v>
      </c>
      <c r="AF154" s="2">
        <f t="shared" si="29"/>
        <v>641</v>
      </c>
      <c r="AG154" s="2">
        <f t="shared" si="30"/>
        <v>5247</v>
      </c>
      <c r="AH154" s="2">
        <f t="shared" si="31"/>
        <v>9743</v>
      </c>
      <c r="AI154" s="2">
        <f t="shared" si="32"/>
        <v>11193</v>
      </c>
      <c r="AJ154" s="2">
        <f t="shared" si="33"/>
        <v>2013</v>
      </c>
      <c r="AK154" s="2">
        <f t="shared" si="34"/>
        <v>1385</v>
      </c>
      <c r="AL154" s="2">
        <f t="shared" si="35"/>
        <v>1072</v>
      </c>
      <c r="AM154" s="2">
        <f t="shared" si="36"/>
        <v>883</v>
      </c>
      <c r="AN154" s="2">
        <f t="shared" si="37"/>
        <v>758</v>
      </c>
      <c r="AO154" s="2">
        <f t="shared" si="38"/>
        <v>601</v>
      </c>
      <c r="AP154" s="2">
        <f t="shared" si="39"/>
        <v>5996</v>
      </c>
      <c r="AQ154" s="2">
        <f t="shared" si="40"/>
        <v>8994</v>
      </c>
      <c r="AR154" s="2">
        <f t="shared" si="41"/>
        <v>10444</v>
      </c>
      <c r="AS154" s="2">
        <f t="shared" si="42"/>
        <v>1879</v>
      </c>
      <c r="AT154" s="2">
        <f t="shared" si="43"/>
        <v>1293</v>
      </c>
      <c r="AU154" s="2">
        <f t="shared" si="44"/>
        <v>1001</v>
      </c>
      <c r="AV154" s="2">
        <f t="shared" si="45"/>
        <v>825</v>
      </c>
      <c r="AW154" s="2">
        <f t="shared" si="46"/>
        <v>708</v>
      </c>
      <c r="AX154" s="2">
        <f t="shared" si="47"/>
        <v>561</v>
      </c>
    </row>
    <row r="155" ht="14.25" customHeight="1">
      <c r="A155" s="2" t="str">
        <f t="array" ref="A155">IFERROR(INDEX('Product Price'!A:A,SMALL('Product Price'!$D:$D,153)),"")</f>
        <v>REDMI Note 15 Pro 5G 12/512 GB</v>
      </c>
      <c r="B155" s="2">
        <f t="array" ref="B155">IFERROR(INDEX('Product Price'!B:B,SMALL('Product Price'!$D:$D,153)),"")</f>
        <v>14990</v>
      </c>
      <c r="C155" s="2">
        <f t="array" ref="C155">IFERROR(INDEX('Product Price'!C:C,SMALL('Product Price'!$D:$D,153)),"")</f>
        <v>133</v>
      </c>
      <c r="D155" s="2">
        <f t="shared" si="1"/>
        <v>1450</v>
      </c>
      <c r="E155" s="2">
        <f t="shared" si="2"/>
        <v>16440</v>
      </c>
      <c r="F155" s="2">
        <f t="shared" si="3"/>
        <v>2998</v>
      </c>
      <c r="G155" s="2">
        <f t="shared" si="4"/>
        <v>11992</v>
      </c>
      <c r="H155" s="2">
        <f t="shared" si="5"/>
        <v>13442</v>
      </c>
      <c r="I155" s="2">
        <f t="shared" si="6"/>
        <v>2414</v>
      </c>
      <c r="J155" s="2">
        <f t="shared" si="7"/>
        <v>1661</v>
      </c>
      <c r="K155" s="2">
        <f t="shared" si="8"/>
        <v>1285</v>
      </c>
      <c r="L155" s="2">
        <f t="shared" si="9"/>
        <v>1059</v>
      </c>
      <c r="M155" s="2">
        <f t="shared" si="10"/>
        <v>909</v>
      </c>
      <c r="N155" s="2">
        <f t="shared" si="11"/>
        <v>721</v>
      </c>
      <c r="O155" s="2">
        <f t="shared" si="12"/>
        <v>3748</v>
      </c>
      <c r="P155" s="2">
        <f t="shared" si="13"/>
        <v>11242</v>
      </c>
      <c r="Q155" s="2">
        <f t="shared" si="14"/>
        <v>12692</v>
      </c>
      <c r="R155" s="2">
        <f t="shared" si="15"/>
        <v>2280</v>
      </c>
      <c r="S155" s="2">
        <f t="shared" si="16"/>
        <v>1569</v>
      </c>
      <c r="T155" s="2">
        <f t="shared" si="17"/>
        <v>1214</v>
      </c>
      <c r="U155" s="2">
        <f t="shared" si="18"/>
        <v>1001</v>
      </c>
      <c r="V155" s="2">
        <f t="shared" si="19"/>
        <v>858</v>
      </c>
      <c r="W155" s="2">
        <f t="shared" si="20"/>
        <v>681</v>
      </c>
      <c r="X155" s="2">
        <f t="shared" si="21"/>
        <v>4497</v>
      </c>
      <c r="Y155" s="2">
        <f t="shared" si="22"/>
        <v>10493</v>
      </c>
      <c r="Z155" s="2">
        <f t="shared" si="23"/>
        <v>11943</v>
      </c>
      <c r="AA155" s="2">
        <f t="shared" si="24"/>
        <v>2146</v>
      </c>
      <c r="AB155" s="2">
        <f t="shared" si="25"/>
        <v>1477</v>
      </c>
      <c r="AC155" s="2">
        <f t="shared" si="26"/>
        <v>1143</v>
      </c>
      <c r="AD155" s="2">
        <f t="shared" si="27"/>
        <v>942</v>
      </c>
      <c r="AE155" s="2">
        <f t="shared" si="28"/>
        <v>808</v>
      </c>
      <c r="AF155" s="2">
        <f t="shared" si="29"/>
        <v>641</v>
      </c>
      <c r="AG155" s="2">
        <f t="shared" si="30"/>
        <v>5247</v>
      </c>
      <c r="AH155" s="2">
        <f t="shared" si="31"/>
        <v>9743</v>
      </c>
      <c r="AI155" s="2">
        <f t="shared" si="32"/>
        <v>11193</v>
      </c>
      <c r="AJ155" s="2">
        <f t="shared" si="33"/>
        <v>2013</v>
      </c>
      <c r="AK155" s="2">
        <f t="shared" si="34"/>
        <v>1385</v>
      </c>
      <c r="AL155" s="2">
        <f t="shared" si="35"/>
        <v>1072</v>
      </c>
      <c r="AM155" s="2">
        <f t="shared" si="36"/>
        <v>883</v>
      </c>
      <c r="AN155" s="2">
        <f t="shared" si="37"/>
        <v>758</v>
      </c>
      <c r="AO155" s="2">
        <f t="shared" si="38"/>
        <v>601</v>
      </c>
      <c r="AP155" s="2">
        <f t="shared" si="39"/>
        <v>5996</v>
      </c>
      <c r="AQ155" s="2">
        <f t="shared" si="40"/>
        <v>8994</v>
      </c>
      <c r="AR155" s="2">
        <f t="shared" si="41"/>
        <v>10444</v>
      </c>
      <c r="AS155" s="2">
        <f t="shared" si="42"/>
        <v>1879</v>
      </c>
      <c r="AT155" s="2">
        <f t="shared" si="43"/>
        <v>1293</v>
      </c>
      <c r="AU155" s="2">
        <f t="shared" si="44"/>
        <v>1001</v>
      </c>
      <c r="AV155" s="2">
        <f t="shared" si="45"/>
        <v>825</v>
      </c>
      <c r="AW155" s="2">
        <f t="shared" si="46"/>
        <v>708</v>
      </c>
      <c r="AX155" s="2">
        <f t="shared" si="47"/>
        <v>561</v>
      </c>
    </row>
    <row r="156" ht="14.25" customHeight="1">
      <c r="A156" s="2" t="str">
        <f t="array" ref="A156">IFERROR(INDEX('Product Price'!A:A,SMALL('Product Price'!$D:$D,154)),"")</f>
        <v>REDMI Note 15 Pro 5G 8/256 GB</v>
      </c>
      <c r="B156" s="2">
        <f t="array" ref="B156">IFERROR(INDEX('Product Price'!B:B,SMALL('Product Price'!$D:$D,154)),"")</f>
        <v>11990</v>
      </c>
      <c r="C156" s="2">
        <f t="array" ref="C156">IFERROR(INDEX('Product Price'!C:C,SMALL('Product Price'!$D:$D,154)),"")</f>
        <v>134</v>
      </c>
      <c r="D156" s="2">
        <f t="shared" si="1"/>
        <v>1450</v>
      </c>
      <c r="E156" s="2">
        <f t="shared" si="2"/>
        <v>13440</v>
      </c>
      <c r="F156" s="2">
        <f t="shared" si="3"/>
        <v>2398</v>
      </c>
      <c r="G156" s="2">
        <f t="shared" si="4"/>
        <v>9592</v>
      </c>
      <c r="H156" s="2">
        <f t="shared" si="5"/>
        <v>11042</v>
      </c>
      <c r="I156" s="2">
        <f t="shared" si="6"/>
        <v>1986</v>
      </c>
      <c r="J156" s="2">
        <f t="shared" si="7"/>
        <v>1367</v>
      </c>
      <c r="K156" s="2">
        <f t="shared" si="8"/>
        <v>1057</v>
      </c>
      <c r="L156" s="2">
        <f t="shared" si="9"/>
        <v>872</v>
      </c>
      <c r="M156" s="2">
        <f t="shared" si="10"/>
        <v>748</v>
      </c>
      <c r="N156" s="2">
        <f t="shared" si="11"/>
        <v>593</v>
      </c>
      <c r="O156" s="2">
        <f t="shared" si="12"/>
        <v>2998</v>
      </c>
      <c r="P156" s="2">
        <f t="shared" si="13"/>
        <v>8992</v>
      </c>
      <c r="Q156" s="2">
        <f t="shared" si="14"/>
        <v>10442</v>
      </c>
      <c r="R156" s="2">
        <f t="shared" si="15"/>
        <v>1879</v>
      </c>
      <c r="S156" s="2">
        <f t="shared" si="16"/>
        <v>1293</v>
      </c>
      <c r="T156" s="2">
        <f t="shared" si="17"/>
        <v>1000</v>
      </c>
      <c r="U156" s="2">
        <f t="shared" si="18"/>
        <v>825</v>
      </c>
      <c r="V156" s="2">
        <f t="shared" si="19"/>
        <v>708</v>
      </c>
      <c r="W156" s="2">
        <f t="shared" si="20"/>
        <v>561</v>
      </c>
      <c r="X156" s="2">
        <f t="shared" si="21"/>
        <v>3597</v>
      </c>
      <c r="Y156" s="2">
        <f t="shared" si="22"/>
        <v>8393</v>
      </c>
      <c r="Z156" s="2">
        <f t="shared" si="23"/>
        <v>9843</v>
      </c>
      <c r="AA156" s="2">
        <f t="shared" si="24"/>
        <v>1772</v>
      </c>
      <c r="AB156" s="2">
        <f t="shared" si="25"/>
        <v>1220</v>
      </c>
      <c r="AC156" s="2">
        <f t="shared" si="26"/>
        <v>944</v>
      </c>
      <c r="AD156" s="2">
        <f t="shared" si="27"/>
        <v>778</v>
      </c>
      <c r="AE156" s="2">
        <f t="shared" si="28"/>
        <v>667</v>
      </c>
      <c r="AF156" s="2">
        <f t="shared" si="29"/>
        <v>529</v>
      </c>
      <c r="AG156" s="2">
        <f t="shared" si="30"/>
        <v>4197</v>
      </c>
      <c r="AH156" s="2">
        <f t="shared" si="31"/>
        <v>7793</v>
      </c>
      <c r="AI156" s="2">
        <f t="shared" si="32"/>
        <v>9243</v>
      </c>
      <c r="AJ156" s="2">
        <f t="shared" si="33"/>
        <v>1665</v>
      </c>
      <c r="AK156" s="2">
        <f t="shared" si="34"/>
        <v>1146</v>
      </c>
      <c r="AL156" s="2">
        <f t="shared" si="35"/>
        <v>887</v>
      </c>
      <c r="AM156" s="2">
        <f t="shared" si="36"/>
        <v>731</v>
      </c>
      <c r="AN156" s="2">
        <f t="shared" si="37"/>
        <v>627</v>
      </c>
      <c r="AO156" s="2">
        <f t="shared" si="38"/>
        <v>497</v>
      </c>
      <c r="AP156" s="2">
        <f t="shared" si="39"/>
        <v>4796</v>
      </c>
      <c r="AQ156" s="2">
        <f t="shared" si="40"/>
        <v>7194</v>
      </c>
      <c r="AR156" s="2">
        <f t="shared" si="41"/>
        <v>8644</v>
      </c>
      <c r="AS156" s="2">
        <f t="shared" si="42"/>
        <v>1559</v>
      </c>
      <c r="AT156" s="2">
        <f t="shared" si="43"/>
        <v>1073</v>
      </c>
      <c r="AU156" s="2">
        <f t="shared" si="44"/>
        <v>830</v>
      </c>
      <c r="AV156" s="2">
        <f t="shared" si="45"/>
        <v>684</v>
      </c>
      <c r="AW156" s="2">
        <f t="shared" si="46"/>
        <v>587</v>
      </c>
      <c r="AX156" s="2" t="str">
        <f t="shared" si="47"/>
        <v>-</v>
      </c>
    </row>
    <row r="157" ht="14.25" customHeight="1">
      <c r="A157" s="2" t="str">
        <f t="array" ref="A157">IFERROR(INDEX('Product Price'!A:A,SMALL('Product Price'!$D:$D,155)),"")</f>
        <v>REDMI Note 15 5G 8/256 GB</v>
      </c>
      <c r="B157" s="2">
        <f t="array" ref="B157">IFERROR(INDEX('Product Price'!B:B,SMALL('Product Price'!$D:$D,155)),"")</f>
        <v>8499</v>
      </c>
      <c r="C157" s="2">
        <f t="array" ref="C157">IFERROR(INDEX('Product Price'!C:C,SMALL('Product Price'!$D:$D,155)),"")</f>
        <v>135</v>
      </c>
      <c r="D157" s="2">
        <f t="shared" si="1"/>
        <v>795</v>
      </c>
      <c r="E157" s="2">
        <f t="shared" si="2"/>
        <v>9294</v>
      </c>
      <c r="F157" s="2">
        <f t="shared" si="3"/>
        <v>1700</v>
      </c>
      <c r="G157" s="2">
        <f t="shared" si="4"/>
        <v>6799</v>
      </c>
      <c r="H157" s="2">
        <f t="shared" si="5"/>
        <v>7594</v>
      </c>
      <c r="I157" s="2">
        <f t="shared" si="6"/>
        <v>1363</v>
      </c>
      <c r="J157" s="2">
        <f t="shared" si="7"/>
        <v>938</v>
      </c>
      <c r="K157" s="2">
        <f t="shared" si="8"/>
        <v>726</v>
      </c>
      <c r="L157" s="2">
        <f t="shared" si="9"/>
        <v>598</v>
      </c>
      <c r="M157" s="2">
        <f t="shared" si="10"/>
        <v>513</v>
      </c>
      <c r="N157" s="2" t="str">
        <f t="shared" si="11"/>
        <v>-</v>
      </c>
      <c r="O157" s="2">
        <f t="shared" si="12"/>
        <v>2125</v>
      </c>
      <c r="P157" s="2">
        <f t="shared" si="13"/>
        <v>6374</v>
      </c>
      <c r="Q157" s="2">
        <f t="shared" si="14"/>
        <v>7169</v>
      </c>
      <c r="R157" s="2">
        <f t="shared" si="15"/>
        <v>1288</v>
      </c>
      <c r="S157" s="2">
        <f t="shared" si="16"/>
        <v>886</v>
      </c>
      <c r="T157" s="2">
        <f t="shared" si="17"/>
        <v>686</v>
      </c>
      <c r="U157" s="2">
        <f t="shared" si="18"/>
        <v>565</v>
      </c>
      <c r="V157" s="2">
        <f t="shared" si="19"/>
        <v>485</v>
      </c>
      <c r="W157" s="2" t="str">
        <f t="shared" si="20"/>
        <v>-</v>
      </c>
      <c r="X157" s="2">
        <f t="shared" si="21"/>
        <v>2550</v>
      </c>
      <c r="Y157" s="2">
        <f t="shared" si="22"/>
        <v>5949</v>
      </c>
      <c r="Z157" s="2">
        <f t="shared" si="23"/>
        <v>6744</v>
      </c>
      <c r="AA157" s="2">
        <f t="shared" si="24"/>
        <v>1212</v>
      </c>
      <c r="AB157" s="2">
        <f t="shared" si="25"/>
        <v>834</v>
      </c>
      <c r="AC157" s="2">
        <f t="shared" si="26"/>
        <v>645</v>
      </c>
      <c r="AD157" s="2">
        <f t="shared" si="27"/>
        <v>532</v>
      </c>
      <c r="AE157" s="2" t="str">
        <f t="shared" si="28"/>
        <v>-</v>
      </c>
      <c r="AF157" s="2" t="str">
        <f t="shared" si="29"/>
        <v>-</v>
      </c>
      <c r="AG157" s="2">
        <f t="shared" si="30"/>
        <v>2975</v>
      </c>
      <c r="AH157" s="2">
        <f t="shared" si="31"/>
        <v>5524</v>
      </c>
      <c r="AI157" s="2">
        <f t="shared" si="32"/>
        <v>6319</v>
      </c>
      <c r="AJ157" s="2">
        <f t="shared" si="33"/>
        <v>1136</v>
      </c>
      <c r="AK157" s="2">
        <f t="shared" si="34"/>
        <v>782</v>
      </c>
      <c r="AL157" s="2">
        <f t="shared" si="35"/>
        <v>605</v>
      </c>
      <c r="AM157" s="2">
        <f t="shared" si="36"/>
        <v>499</v>
      </c>
      <c r="AN157" s="2" t="str">
        <f t="shared" si="37"/>
        <v>-</v>
      </c>
      <c r="AO157" s="2" t="str">
        <f t="shared" si="38"/>
        <v>-</v>
      </c>
      <c r="AP157" s="2">
        <f t="shared" si="39"/>
        <v>3400</v>
      </c>
      <c r="AQ157" s="2">
        <f t="shared" si="40"/>
        <v>5099</v>
      </c>
      <c r="AR157" s="2">
        <f t="shared" si="41"/>
        <v>5894</v>
      </c>
      <c r="AS157" s="2">
        <f t="shared" si="42"/>
        <v>1061</v>
      </c>
      <c r="AT157" s="2">
        <f t="shared" si="43"/>
        <v>730</v>
      </c>
      <c r="AU157" s="2">
        <f t="shared" si="44"/>
        <v>565</v>
      </c>
      <c r="AV157" s="2" t="str">
        <f t="shared" si="45"/>
        <v>-</v>
      </c>
      <c r="AW157" s="2" t="str">
        <f t="shared" si="46"/>
        <v>-</v>
      </c>
      <c r="AX157" s="2" t="str">
        <f t="shared" si="47"/>
        <v>-</v>
      </c>
    </row>
    <row r="158" ht="14.25" customHeight="1">
      <c r="A158" s="2" t="str">
        <f t="array" ref="A158">IFERROR(INDEX('Product Price'!A:A,SMALL('Product Price'!$D:$D,156)),"")</f>
        <v>REDMI Note 15 4G 8/256 GB</v>
      </c>
      <c r="B158" s="2">
        <f t="array" ref="B158">IFERROR(INDEX('Product Price'!B:B,SMALL('Product Price'!$D:$D,156)),"")</f>
        <v>6699</v>
      </c>
      <c r="C158" s="2">
        <f t="array" ref="C158">IFERROR(INDEX('Product Price'!C:C,SMALL('Product Price'!$D:$D,156)),"")</f>
        <v>136</v>
      </c>
      <c r="D158" s="2">
        <f t="shared" si="1"/>
        <v>795</v>
      </c>
      <c r="E158" s="2">
        <f t="shared" si="2"/>
        <v>7494</v>
      </c>
      <c r="F158" s="2">
        <f t="shared" si="3"/>
        <v>1340</v>
      </c>
      <c r="G158" s="2">
        <f t="shared" si="4"/>
        <v>5359</v>
      </c>
      <c r="H158" s="2">
        <f t="shared" si="5"/>
        <v>6154</v>
      </c>
      <c r="I158" s="2">
        <f t="shared" si="6"/>
        <v>1107</v>
      </c>
      <c r="J158" s="2">
        <f t="shared" si="7"/>
        <v>762</v>
      </c>
      <c r="K158" s="2">
        <f t="shared" si="8"/>
        <v>589</v>
      </c>
      <c r="L158" s="2">
        <f t="shared" si="9"/>
        <v>486</v>
      </c>
      <c r="M158" s="2" t="str">
        <f t="shared" si="10"/>
        <v>-</v>
      </c>
      <c r="N158" s="2" t="str">
        <f t="shared" si="11"/>
        <v>-</v>
      </c>
      <c r="O158" s="2">
        <f t="shared" si="12"/>
        <v>1675</v>
      </c>
      <c r="P158" s="2">
        <f t="shared" si="13"/>
        <v>5024</v>
      </c>
      <c r="Q158" s="2">
        <f t="shared" si="14"/>
        <v>5819</v>
      </c>
      <c r="R158" s="2">
        <f t="shared" si="15"/>
        <v>1047</v>
      </c>
      <c r="S158" s="2">
        <f t="shared" si="16"/>
        <v>721</v>
      </c>
      <c r="T158" s="2">
        <f t="shared" si="17"/>
        <v>558</v>
      </c>
      <c r="U158" s="2" t="str">
        <f t="shared" si="18"/>
        <v>-</v>
      </c>
      <c r="V158" s="2" t="str">
        <f t="shared" si="19"/>
        <v>-</v>
      </c>
      <c r="W158" s="2" t="str">
        <f t="shared" si="20"/>
        <v>-</v>
      </c>
      <c r="X158" s="2">
        <f t="shared" si="21"/>
        <v>2010</v>
      </c>
      <c r="Y158" s="2">
        <f t="shared" si="22"/>
        <v>4689</v>
      </c>
      <c r="Z158" s="2">
        <f t="shared" si="23"/>
        <v>5484</v>
      </c>
      <c r="AA158" s="2">
        <f t="shared" si="24"/>
        <v>987</v>
      </c>
      <c r="AB158" s="2">
        <f t="shared" si="25"/>
        <v>680</v>
      </c>
      <c r="AC158" s="2">
        <f t="shared" si="26"/>
        <v>526</v>
      </c>
      <c r="AD158" s="2" t="str">
        <f t="shared" si="27"/>
        <v>-</v>
      </c>
      <c r="AE158" s="2" t="str">
        <f t="shared" si="28"/>
        <v>-</v>
      </c>
      <c r="AF158" s="2" t="str">
        <f t="shared" si="29"/>
        <v>-</v>
      </c>
      <c r="AG158" s="2">
        <f t="shared" si="30"/>
        <v>2345</v>
      </c>
      <c r="AH158" s="2">
        <f t="shared" si="31"/>
        <v>4354</v>
      </c>
      <c r="AI158" s="2">
        <f t="shared" si="32"/>
        <v>5149</v>
      </c>
      <c r="AJ158" s="2">
        <f t="shared" si="33"/>
        <v>928</v>
      </c>
      <c r="AK158" s="2">
        <f t="shared" si="34"/>
        <v>639</v>
      </c>
      <c r="AL158" s="2">
        <f t="shared" si="35"/>
        <v>494</v>
      </c>
      <c r="AM158" s="2" t="str">
        <f t="shared" si="36"/>
        <v>-</v>
      </c>
      <c r="AN158" s="2" t="str">
        <f t="shared" si="37"/>
        <v>-</v>
      </c>
      <c r="AO158" s="2" t="str">
        <f t="shared" si="38"/>
        <v>-</v>
      </c>
      <c r="AP158" s="2">
        <f t="shared" si="39"/>
        <v>2680</v>
      </c>
      <c r="AQ158" s="2">
        <f t="shared" si="40"/>
        <v>4019</v>
      </c>
      <c r="AR158" s="2">
        <f t="shared" si="41"/>
        <v>4814</v>
      </c>
      <c r="AS158" s="2">
        <f t="shared" si="42"/>
        <v>868</v>
      </c>
      <c r="AT158" s="2">
        <f t="shared" si="43"/>
        <v>598</v>
      </c>
      <c r="AU158" s="2" t="str">
        <f t="shared" si="44"/>
        <v>-</v>
      </c>
      <c r="AV158" s="2" t="str">
        <f t="shared" si="45"/>
        <v>-</v>
      </c>
      <c r="AW158" s="2" t="str">
        <f t="shared" si="46"/>
        <v>-</v>
      </c>
      <c r="AX158" s="2" t="str">
        <f t="shared" si="47"/>
        <v>-</v>
      </c>
    </row>
    <row r="159" ht="14.25" customHeight="1">
      <c r="A159" s="2" t="str">
        <f t="array" ref="A159">IFERROR(INDEX('Product Price'!A:A,SMALL('Product Price'!$D:$D,157)),"")</f>
        <v>XIAOMI 17T Pro 12/512 GB</v>
      </c>
      <c r="B159" s="2">
        <f t="array" ref="B159">IFERROR(INDEX('Product Price'!B:B,SMALL('Product Price'!$D:$D,157)),"")</f>
        <v>27999</v>
      </c>
      <c r="C159" s="2">
        <f t="array" ref="C159">IFERROR(INDEX('Product Price'!C:C,SMALL('Product Price'!$D:$D,157)),"")</f>
        <v>137</v>
      </c>
      <c r="D159" s="2">
        <f t="shared" si="1"/>
        <v>1900</v>
      </c>
      <c r="E159" s="2">
        <f t="shared" si="2"/>
        <v>29899</v>
      </c>
      <c r="F159" s="2">
        <f t="shared" si="3"/>
        <v>5600</v>
      </c>
      <c r="G159" s="2">
        <f t="shared" si="4"/>
        <v>22399</v>
      </c>
      <c r="H159" s="2">
        <f t="shared" si="5"/>
        <v>24299</v>
      </c>
      <c r="I159" s="2">
        <f t="shared" si="6"/>
        <v>4353</v>
      </c>
      <c r="J159" s="2">
        <f t="shared" si="7"/>
        <v>2996</v>
      </c>
      <c r="K159" s="2">
        <f t="shared" si="8"/>
        <v>2317</v>
      </c>
      <c r="L159" s="2">
        <f t="shared" si="9"/>
        <v>1910</v>
      </c>
      <c r="M159" s="2">
        <f t="shared" si="10"/>
        <v>1639</v>
      </c>
      <c r="N159" s="2">
        <f t="shared" si="11"/>
        <v>1299</v>
      </c>
      <c r="O159" s="2">
        <f t="shared" si="12"/>
        <v>7000</v>
      </c>
      <c r="P159" s="2">
        <f t="shared" si="13"/>
        <v>20999</v>
      </c>
      <c r="Q159" s="2">
        <f t="shared" si="14"/>
        <v>22899</v>
      </c>
      <c r="R159" s="2">
        <f t="shared" si="15"/>
        <v>4104</v>
      </c>
      <c r="S159" s="2">
        <f t="shared" si="16"/>
        <v>2824</v>
      </c>
      <c r="T159" s="2">
        <f t="shared" si="17"/>
        <v>2185</v>
      </c>
      <c r="U159" s="2">
        <f t="shared" si="18"/>
        <v>1801</v>
      </c>
      <c r="V159" s="2">
        <f t="shared" si="19"/>
        <v>1545</v>
      </c>
      <c r="W159" s="2">
        <f t="shared" si="20"/>
        <v>1225</v>
      </c>
      <c r="X159" s="2">
        <f t="shared" si="21"/>
        <v>8400</v>
      </c>
      <c r="Y159" s="2">
        <f t="shared" si="22"/>
        <v>19599</v>
      </c>
      <c r="Z159" s="2">
        <f t="shared" si="23"/>
        <v>21499</v>
      </c>
      <c r="AA159" s="2">
        <f t="shared" si="24"/>
        <v>3855</v>
      </c>
      <c r="AB159" s="2">
        <f t="shared" si="25"/>
        <v>2653</v>
      </c>
      <c r="AC159" s="2">
        <f t="shared" si="26"/>
        <v>2052</v>
      </c>
      <c r="AD159" s="2">
        <f t="shared" si="27"/>
        <v>1691</v>
      </c>
      <c r="AE159" s="2">
        <f t="shared" si="28"/>
        <v>1451</v>
      </c>
      <c r="AF159" s="2">
        <f t="shared" si="29"/>
        <v>1151</v>
      </c>
      <c r="AG159" s="2">
        <f t="shared" si="30"/>
        <v>9800</v>
      </c>
      <c r="AH159" s="2">
        <f t="shared" si="31"/>
        <v>18199</v>
      </c>
      <c r="AI159" s="2">
        <f t="shared" si="32"/>
        <v>20099</v>
      </c>
      <c r="AJ159" s="2">
        <f t="shared" si="33"/>
        <v>3605</v>
      </c>
      <c r="AK159" s="2">
        <f t="shared" si="34"/>
        <v>2481</v>
      </c>
      <c r="AL159" s="2">
        <f t="shared" si="35"/>
        <v>1919</v>
      </c>
      <c r="AM159" s="2">
        <f t="shared" si="36"/>
        <v>1582</v>
      </c>
      <c r="AN159" s="2">
        <f t="shared" si="37"/>
        <v>1357</v>
      </c>
      <c r="AO159" s="2">
        <f t="shared" si="38"/>
        <v>1076</v>
      </c>
      <c r="AP159" s="2">
        <f t="shared" si="39"/>
        <v>11200</v>
      </c>
      <c r="AQ159" s="2">
        <f t="shared" si="40"/>
        <v>16799</v>
      </c>
      <c r="AR159" s="2">
        <f t="shared" si="41"/>
        <v>18699</v>
      </c>
      <c r="AS159" s="2">
        <f t="shared" si="42"/>
        <v>3356</v>
      </c>
      <c r="AT159" s="2">
        <f t="shared" si="43"/>
        <v>2310</v>
      </c>
      <c r="AU159" s="2">
        <f t="shared" si="44"/>
        <v>1786</v>
      </c>
      <c r="AV159" s="2">
        <f t="shared" si="45"/>
        <v>1473</v>
      </c>
      <c r="AW159" s="2">
        <f t="shared" si="46"/>
        <v>1263</v>
      </c>
      <c r="AX159" s="2">
        <f t="shared" si="47"/>
        <v>1002</v>
      </c>
    </row>
    <row r="160" ht="14.25" customHeight="1">
      <c r="A160" s="2" t="str">
        <f t="array" ref="A160">IFERROR(INDEX('Product Price'!A:A,SMALL('Product Price'!$D:$D,158)),"")</f>
        <v>XIAOMI 17T Pro 12/256 GB</v>
      </c>
      <c r="B160" s="2">
        <f t="array" ref="B160">IFERROR(INDEX('Product Price'!B:B,SMALL('Product Price'!$D:$D,158)),"")</f>
        <v>25999</v>
      </c>
      <c r="C160" s="2">
        <f t="array" ref="C160">IFERROR(INDEX('Product Price'!C:C,SMALL('Product Price'!$D:$D,158)),"")</f>
        <v>138</v>
      </c>
      <c r="D160" s="2">
        <f t="shared" si="1"/>
        <v>1900</v>
      </c>
      <c r="E160" s="2">
        <f t="shared" si="2"/>
        <v>27899</v>
      </c>
      <c r="F160" s="2">
        <f t="shared" si="3"/>
        <v>5200</v>
      </c>
      <c r="G160" s="2">
        <f t="shared" si="4"/>
        <v>20799</v>
      </c>
      <c r="H160" s="2">
        <f t="shared" si="5"/>
        <v>22699</v>
      </c>
      <c r="I160" s="2">
        <f t="shared" si="6"/>
        <v>4068</v>
      </c>
      <c r="J160" s="2">
        <f t="shared" si="7"/>
        <v>2800</v>
      </c>
      <c r="K160" s="2">
        <f t="shared" si="8"/>
        <v>2166</v>
      </c>
      <c r="L160" s="2">
        <f t="shared" si="9"/>
        <v>1785</v>
      </c>
      <c r="M160" s="2">
        <f t="shared" si="10"/>
        <v>1532</v>
      </c>
      <c r="N160" s="2">
        <f t="shared" si="11"/>
        <v>1214</v>
      </c>
      <c r="O160" s="2">
        <f t="shared" si="12"/>
        <v>6500</v>
      </c>
      <c r="P160" s="2">
        <f t="shared" si="13"/>
        <v>19499</v>
      </c>
      <c r="Q160" s="2">
        <f t="shared" si="14"/>
        <v>21399</v>
      </c>
      <c r="R160" s="2">
        <f t="shared" si="15"/>
        <v>3837</v>
      </c>
      <c r="S160" s="2">
        <f t="shared" si="16"/>
        <v>2641</v>
      </c>
      <c r="T160" s="2">
        <f t="shared" si="17"/>
        <v>2042</v>
      </c>
      <c r="U160" s="2">
        <f t="shared" si="18"/>
        <v>1684</v>
      </c>
      <c r="V160" s="2">
        <f t="shared" si="19"/>
        <v>1444</v>
      </c>
      <c r="W160" s="2">
        <f t="shared" si="20"/>
        <v>1145</v>
      </c>
      <c r="X160" s="2">
        <f t="shared" si="21"/>
        <v>7800</v>
      </c>
      <c r="Y160" s="2">
        <f t="shared" si="22"/>
        <v>18199</v>
      </c>
      <c r="Z160" s="2">
        <f t="shared" si="23"/>
        <v>20099</v>
      </c>
      <c r="AA160" s="2">
        <f t="shared" si="24"/>
        <v>3605</v>
      </c>
      <c r="AB160" s="2">
        <f t="shared" si="25"/>
        <v>2481</v>
      </c>
      <c r="AC160" s="2">
        <f t="shared" si="26"/>
        <v>1919</v>
      </c>
      <c r="AD160" s="2">
        <f t="shared" si="27"/>
        <v>1582</v>
      </c>
      <c r="AE160" s="2">
        <f t="shared" si="28"/>
        <v>1357</v>
      </c>
      <c r="AF160" s="2">
        <f t="shared" si="29"/>
        <v>1076</v>
      </c>
      <c r="AG160" s="2">
        <f t="shared" si="30"/>
        <v>9100</v>
      </c>
      <c r="AH160" s="2">
        <f t="shared" si="31"/>
        <v>16899</v>
      </c>
      <c r="AI160" s="2">
        <f t="shared" si="32"/>
        <v>18799</v>
      </c>
      <c r="AJ160" s="2">
        <f t="shared" si="33"/>
        <v>3374</v>
      </c>
      <c r="AK160" s="2">
        <f t="shared" si="34"/>
        <v>2322</v>
      </c>
      <c r="AL160" s="2">
        <f t="shared" si="35"/>
        <v>1796</v>
      </c>
      <c r="AM160" s="2">
        <f t="shared" si="36"/>
        <v>1480</v>
      </c>
      <c r="AN160" s="2">
        <f t="shared" si="37"/>
        <v>1270</v>
      </c>
      <c r="AO160" s="2">
        <f t="shared" si="38"/>
        <v>1007</v>
      </c>
      <c r="AP160" s="2">
        <f t="shared" si="39"/>
        <v>10400</v>
      </c>
      <c r="AQ160" s="2">
        <f t="shared" si="40"/>
        <v>15599</v>
      </c>
      <c r="AR160" s="2">
        <f t="shared" si="41"/>
        <v>17499</v>
      </c>
      <c r="AS160" s="2">
        <f t="shared" si="42"/>
        <v>3142</v>
      </c>
      <c r="AT160" s="2">
        <f t="shared" si="43"/>
        <v>2162</v>
      </c>
      <c r="AU160" s="2">
        <f t="shared" si="44"/>
        <v>1673</v>
      </c>
      <c r="AV160" s="2">
        <f t="shared" si="45"/>
        <v>1379</v>
      </c>
      <c r="AW160" s="2">
        <f t="shared" si="46"/>
        <v>1183</v>
      </c>
      <c r="AX160" s="2">
        <f t="shared" si="47"/>
        <v>938</v>
      </c>
    </row>
    <row r="161" ht="14.25" customHeight="1">
      <c r="A161" s="2" t="str">
        <f t="array" ref="A161">IFERROR(INDEX('Product Price'!A:A,SMALL('Product Price'!$D:$D,159)),"")</f>
        <v>XIAOMI 17T 12/512 GB</v>
      </c>
      <c r="B161" s="2">
        <f t="array" ref="B161">IFERROR(INDEX('Product Price'!B:B,SMALL('Product Price'!$D:$D,159)),"")</f>
        <v>22999</v>
      </c>
      <c r="C161" s="2">
        <f t="array" ref="C161">IFERROR(INDEX('Product Price'!C:C,SMALL('Product Price'!$D:$D,159)),"")</f>
        <v>139</v>
      </c>
      <c r="D161" s="2">
        <f t="shared" si="1"/>
        <v>1900</v>
      </c>
      <c r="E161" s="2">
        <f t="shared" si="2"/>
        <v>24899</v>
      </c>
      <c r="F161" s="2">
        <f t="shared" si="3"/>
        <v>4600</v>
      </c>
      <c r="G161" s="2">
        <f t="shared" si="4"/>
        <v>18399</v>
      </c>
      <c r="H161" s="2">
        <f t="shared" si="5"/>
        <v>20299</v>
      </c>
      <c r="I161" s="2">
        <f t="shared" si="6"/>
        <v>3641</v>
      </c>
      <c r="J161" s="2">
        <f t="shared" si="7"/>
        <v>2506</v>
      </c>
      <c r="K161" s="2">
        <f t="shared" si="8"/>
        <v>1938</v>
      </c>
      <c r="L161" s="2">
        <f t="shared" si="9"/>
        <v>1598</v>
      </c>
      <c r="M161" s="2">
        <f t="shared" si="10"/>
        <v>1371</v>
      </c>
      <c r="N161" s="2">
        <f t="shared" si="11"/>
        <v>1087</v>
      </c>
      <c r="O161" s="2">
        <f t="shared" si="12"/>
        <v>5750</v>
      </c>
      <c r="P161" s="2">
        <f t="shared" si="13"/>
        <v>17249</v>
      </c>
      <c r="Q161" s="2">
        <f t="shared" si="14"/>
        <v>19149</v>
      </c>
      <c r="R161" s="2">
        <f t="shared" si="15"/>
        <v>3436</v>
      </c>
      <c r="S161" s="2">
        <f t="shared" si="16"/>
        <v>2365</v>
      </c>
      <c r="T161" s="2">
        <f t="shared" si="17"/>
        <v>1829</v>
      </c>
      <c r="U161" s="2">
        <f t="shared" si="18"/>
        <v>1508</v>
      </c>
      <c r="V161" s="2">
        <f t="shared" si="19"/>
        <v>1293</v>
      </c>
      <c r="W161" s="2">
        <f t="shared" si="20"/>
        <v>1026</v>
      </c>
      <c r="X161" s="2">
        <f t="shared" si="21"/>
        <v>6900</v>
      </c>
      <c r="Y161" s="2">
        <f t="shared" si="22"/>
        <v>16099</v>
      </c>
      <c r="Z161" s="2">
        <f t="shared" si="23"/>
        <v>17999</v>
      </c>
      <c r="AA161" s="2">
        <f t="shared" si="24"/>
        <v>3231</v>
      </c>
      <c r="AB161" s="2">
        <f t="shared" si="25"/>
        <v>2224</v>
      </c>
      <c r="AC161" s="2">
        <f t="shared" si="26"/>
        <v>1720</v>
      </c>
      <c r="AD161" s="2">
        <f t="shared" si="27"/>
        <v>1418</v>
      </c>
      <c r="AE161" s="2">
        <f t="shared" si="28"/>
        <v>1216</v>
      </c>
      <c r="AF161" s="2">
        <f t="shared" si="29"/>
        <v>965</v>
      </c>
      <c r="AG161" s="2">
        <f t="shared" si="30"/>
        <v>8050</v>
      </c>
      <c r="AH161" s="2">
        <f t="shared" si="31"/>
        <v>14949</v>
      </c>
      <c r="AI161" s="2">
        <f t="shared" si="32"/>
        <v>16849</v>
      </c>
      <c r="AJ161" s="2">
        <f t="shared" si="33"/>
        <v>3026</v>
      </c>
      <c r="AK161" s="2">
        <f t="shared" si="34"/>
        <v>2083</v>
      </c>
      <c r="AL161" s="2">
        <f t="shared" si="35"/>
        <v>1611</v>
      </c>
      <c r="AM161" s="2">
        <f t="shared" si="36"/>
        <v>1328</v>
      </c>
      <c r="AN161" s="2">
        <f t="shared" si="37"/>
        <v>1139</v>
      </c>
      <c r="AO161" s="2">
        <f t="shared" si="38"/>
        <v>903</v>
      </c>
      <c r="AP161" s="2">
        <f t="shared" si="39"/>
        <v>9200</v>
      </c>
      <c r="AQ161" s="2">
        <f t="shared" si="40"/>
        <v>13799</v>
      </c>
      <c r="AR161" s="2">
        <f t="shared" si="41"/>
        <v>15699</v>
      </c>
      <c r="AS161" s="2">
        <f t="shared" si="42"/>
        <v>2821</v>
      </c>
      <c r="AT161" s="2">
        <f t="shared" si="43"/>
        <v>1942</v>
      </c>
      <c r="AU161" s="2">
        <f t="shared" si="44"/>
        <v>1502</v>
      </c>
      <c r="AV161" s="2">
        <f t="shared" si="45"/>
        <v>1238</v>
      </c>
      <c r="AW161" s="2">
        <f t="shared" si="46"/>
        <v>1062</v>
      </c>
      <c r="AX161" s="2">
        <f t="shared" si="47"/>
        <v>842</v>
      </c>
    </row>
    <row r="162" ht="14.25" customHeight="1">
      <c r="A162" s="2" t="str">
        <f t="array" ref="A162">IFERROR(INDEX('Product Price'!A:A,SMALL('Product Price'!$D:$D,160)),"")</f>
        <v>XIAOMI 17T 12/256 GB</v>
      </c>
      <c r="B162" s="2">
        <f t="array" ref="B162">IFERROR(INDEX('Product Price'!B:B,SMALL('Product Price'!$D:$D,160)),"")</f>
        <v>19999</v>
      </c>
      <c r="C162" s="2">
        <f t="array" ref="C162">IFERROR(INDEX('Product Price'!C:C,SMALL('Product Price'!$D:$D,160)),"")</f>
        <v>140</v>
      </c>
      <c r="D162" s="2">
        <f t="shared" si="1"/>
        <v>1450</v>
      </c>
      <c r="E162" s="2">
        <f t="shared" si="2"/>
        <v>21449</v>
      </c>
      <c r="F162" s="2">
        <f t="shared" si="3"/>
        <v>4000</v>
      </c>
      <c r="G162" s="2">
        <f t="shared" si="4"/>
        <v>15999</v>
      </c>
      <c r="H162" s="2">
        <f t="shared" si="5"/>
        <v>17449</v>
      </c>
      <c r="I162" s="2">
        <f t="shared" si="6"/>
        <v>3127</v>
      </c>
      <c r="J162" s="2">
        <f t="shared" si="7"/>
        <v>2152</v>
      </c>
      <c r="K162" s="2">
        <f t="shared" si="8"/>
        <v>1665</v>
      </c>
      <c r="L162" s="2">
        <f t="shared" si="9"/>
        <v>1372</v>
      </c>
      <c r="M162" s="2">
        <f t="shared" si="10"/>
        <v>1177</v>
      </c>
      <c r="N162" s="2">
        <f t="shared" si="11"/>
        <v>934</v>
      </c>
      <c r="O162" s="2">
        <f t="shared" si="12"/>
        <v>5000</v>
      </c>
      <c r="P162" s="2">
        <f t="shared" si="13"/>
        <v>14999</v>
      </c>
      <c r="Q162" s="2">
        <f t="shared" si="14"/>
        <v>16449</v>
      </c>
      <c r="R162" s="2">
        <f t="shared" si="15"/>
        <v>2949</v>
      </c>
      <c r="S162" s="2">
        <f t="shared" si="16"/>
        <v>2030</v>
      </c>
      <c r="T162" s="2">
        <f t="shared" si="17"/>
        <v>1570</v>
      </c>
      <c r="U162" s="2">
        <f t="shared" si="18"/>
        <v>1294</v>
      </c>
      <c r="V162" s="2">
        <f t="shared" si="19"/>
        <v>1110</v>
      </c>
      <c r="W162" s="2">
        <f t="shared" si="20"/>
        <v>880</v>
      </c>
      <c r="X162" s="2">
        <f t="shared" si="21"/>
        <v>6000</v>
      </c>
      <c r="Y162" s="2">
        <f t="shared" si="22"/>
        <v>13999</v>
      </c>
      <c r="Z162" s="2">
        <f t="shared" si="23"/>
        <v>15449</v>
      </c>
      <c r="AA162" s="2">
        <f t="shared" si="24"/>
        <v>2771</v>
      </c>
      <c r="AB162" s="2">
        <f t="shared" si="25"/>
        <v>1907</v>
      </c>
      <c r="AC162" s="2">
        <f t="shared" si="26"/>
        <v>1475</v>
      </c>
      <c r="AD162" s="2">
        <f t="shared" si="27"/>
        <v>1216</v>
      </c>
      <c r="AE162" s="2">
        <f t="shared" si="28"/>
        <v>1043</v>
      </c>
      <c r="AF162" s="2">
        <f t="shared" si="29"/>
        <v>827</v>
      </c>
      <c r="AG162" s="2">
        <f t="shared" si="30"/>
        <v>7000</v>
      </c>
      <c r="AH162" s="2">
        <f t="shared" si="31"/>
        <v>12999</v>
      </c>
      <c r="AI162" s="2">
        <f t="shared" si="32"/>
        <v>14449</v>
      </c>
      <c r="AJ162" s="2">
        <f t="shared" si="33"/>
        <v>2593</v>
      </c>
      <c r="AK162" s="2">
        <f t="shared" si="34"/>
        <v>1785</v>
      </c>
      <c r="AL162" s="2">
        <f t="shared" si="35"/>
        <v>1380</v>
      </c>
      <c r="AM162" s="2">
        <f t="shared" si="36"/>
        <v>1138</v>
      </c>
      <c r="AN162" s="2">
        <f t="shared" si="37"/>
        <v>976</v>
      </c>
      <c r="AO162" s="2">
        <f t="shared" si="38"/>
        <v>774</v>
      </c>
      <c r="AP162" s="2">
        <f t="shared" si="39"/>
        <v>8000</v>
      </c>
      <c r="AQ162" s="2">
        <f t="shared" si="40"/>
        <v>11999</v>
      </c>
      <c r="AR162" s="2">
        <f t="shared" si="41"/>
        <v>13449</v>
      </c>
      <c r="AS162" s="2">
        <f t="shared" si="42"/>
        <v>2415</v>
      </c>
      <c r="AT162" s="2">
        <f t="shared" si="43"/>
        <v>1662</v>
      </c>
      <c r="AU162" s="2">
        <f t="shared" si="44"/>
        <v>1286</v>
      </c>
      <c r="AV162" s="2">
        <f t="shared" si="45"/>
        <v>1060</v>
      </c>
      <c r="AW162" s="2">
        <f t="shared" si="46"/>
        <v>909</v>
      </c>
      <c r="AX162" s="2">
        <f t="shared" si="47"/>
        <v>721</v>
      </c>
    </row>
    <row r="163" ht="14.25" customHeight="1">
      <c r="A163" s="2" t="str">
        <f t="array" ref="A163">IFERROR(INDEX('Product Price'!A:A,SMALL('Product Price'!$D:$D,161)),"")</f>
        <v>REDMI Pad 2 9.7 4G 4/128 GB</v>
      </c>
      <c r="B163" s="2">
        <f t="array" ref="B163">IFERROR(INDEX('Product Price'!B:B,SMALL('Product Price'!$D:$D,161)),"")</f>
        <v>5999</v>
      </c>
      <c r="C163" s="2">
        <f t="array" ref="C163">IFERROR(INDEX('Product Price'!C:C,SMALL('Product Price'!$D:$D,161)),"")</f>
        <v>141</v>
      </c>
      <c r="D163" s="2">
        <f t="shared" si="1"/>
        <v>795</v>
      </c>
      <c r="E163" s="2">
        <f t="shared" si="2"/>
        <v>6794</v>
      </c>
      <c r="F163" s="2">
        <f t="shared" si="3"/>
        <v>1200</v>
      </c>
      <c r="G163" s="2">
        <f t="shared" si="4"/>
        <v>4799</v>
      </c>
      <c r="H163" s="2">
        <f t="shared" si="5"/>
        <v>5594</v>
      </c>
      <c r="I163" s="2">
        <f t="shared" si="6"/>
        <v>1007</v>
      </c>
      <c r="J163" s="2">
        <f t="shared" si="7"/>
        <v>693</v>
      </c>
      <c r="K163" s="2">
        <f t="shared" si="8"/>
        <v>536</v>
      </c>
      <c r="L163" s="2" t="str">
        <f t="shared" si="9"/>
        <v>-</v>
      </c>
      <c r="M163" s="2" t="str">
        <f t="shared" si="10"/>
        <v>-</v>
      </c>
      <c r="N163" s="2" t="str">
        <f t="shared" si="11"/>
        <v>-</v>
      </c>
      <c r="O163" s="2">
        <f t="shared" si="12"/>
        <v>1500</v>
      </c>
      <c r="P163" s="2">
        <f t="shared" si="13"/>
        <v>4499</v>
      </c>
      <c r="Q163" s="2">
        <f t="shared" si="14"/>
        <v>5294</v>
      </c>
      <c r="R163" s="2">
        <f t="shared" si="15"/>
        <v>954</v>
      </c>
      <c r="S163" s="2">
        <f t="shared" si="16"/>
        <v>656</v>
      </c>
      <c r="T163" s="2">
        <f t="shared" si="17"/>
        <v>508</v>
      </c>
      <c r="U163" s="2" t="str">
        <f t="shared" si="18"/>
        <v>-</v>
      </c>
      <c r="V163" s="2" t="str">
        <f t="shared" si="19"/>
        <v>-</v>
      </c>
      <c r="W163" s="2" t="str">
        <f t="shared" si="20"/>
        <v>-</v>
      </c>
      <c r="X163" s="2">
        <f t="shared" si="21"/>
        <v>1800</v>
      </c>
      <c r="Y163" s="2">
        <f t="shared" si="22"/>
        <v>4199</v>
      </c>
      <c r="Z163" s="2">
        <f t="shared" si="23"/>
        <v>4994</v>
      </c>
      <c r="AA163" s="2">
        <f t="shared" si="24"/>
        <v>900</v>
      </c>
      <c r="AB163" s="2">
        <f t="shared" si="25"/>
        <v>620</v>
      </c>
      <c r="AC163" s="2" t="str">
        <f t="shared" si="26"/>
        <v>-</v>
      </c>
      <c r="AD163" s="2" t="str">
        <f t="shared" si="27"/>
        <v>-</v>
      </c>
      <c r="AE163" s="2" t="str">
        <f t="shared" si="28"/>
        <v>-</v>
      </c>
      <c r="AF163" s="2" t="str">
        <f t="shared" si="29"/>
        <v>-</v>
      </c>
      <c r="AG163" s="2">
        <f t="shared" si="30"/>
        <v>2100</v>
      </c>
      <c r="AH163" s="2">
        <f t="shared" si="31"/>
        <v>3899</v>
      </c>
      <c r="AI163" s="2">
        <f t="shared" si="32"/>
        <v>4694</v>
      </c>
      <c r="AJ163" s="2">
        <f t="shared" si="33"/>
        <v>847</v>
      </c>
      <c r="AK163" s="2">
        <f t="shared" si="34"/>
        <v>583</v>
      </c>
      <c r="AL163" s="2" t="str">
        <f t="shared" si="35"/>
        <v>-</v>
      </c>
      <c r="AM163" s="2" t="str">
        <f t="shared" si="36"/>
        <v>-</v>
      </c>
      <c r="AN163" s="2" t="str">
        <f t="shared" si="37"/>
        <v>-</v>
      </c>
      <c r="AO163" s="2" t="str">
        <f t="shared" si="38"/>
        <v>-</v>
      </c>
      <c r="AP163" s="2">
        <f t="shared" si="39"/>
        <v>2400</v>
      </c>
      <c r="AQ163" s="2">
        <f t="shared" si="40"/>
        <v>3599</v>
      </c>
      <c r="AR163" s="2">
        <f t="shared" si="41"/>
        <v>4394</v>
      </c>
      <c r="AS163" s="2">
        <f t="shared" si="42"/>
        <v>793</v>
      </c>
      <c r="AT163" s="2">
        <f t="shared" si="43"/>
        <v>546</v>
      </c>
      <c r="AU163" s="2" t="str">
        <f t="shared" si="44"/>
        <v>-</v>
      </c>
      <c r="AV163" s="2" t="str">
        <f t="shared" si="45"/>
        <v>-</v>
      </c>
      <c r="AW163" s="2" t="str">
        <f t="shared" si="46"/>
        <v>-</v>
      </c>
      <c r="AX163" s="2" t="str">
        <f t="shared" si="47"/>
        <v>-</v>
      </c>
    </row>
    <row r="164" ht="14.25" customHeight="1">
      <c r="A164" s="2" t="str">
        <f t="array" ref="A164">IFERROR(INDEX('Product Price'!A:A,SMALL('Product Price'!$D:$D,162)),"")</f>
        <v>REDMI Pad 2 9.7 4G 4/64 GB</v>
      </c>
      <c r="B164" s="2">
        <f t="array" ref="B164">IFERROR(INDEX('Product Price'!B:B,SMALL('Product Price'!$D:$D,162)),"")</f>
        <v>5499</v>
      </c>
      <c r="C164" s="2">
        <f t="array" ref="C164">IFERROR(INDEX('Product Price'!C:C,SMALL('Product Price'!$D:$D,162)),"")</f>
        <v>142</v>
      </c>
      <c r="D164" s="2">
        <f t="shared" si="1"/>
        <v>795</v>
      </c>
      <c r="E164" s="2">
        <f t="shared" si="2"/>
        <v>6294</v>
      </c>
      <c r="F164" s="2">
        <f t="shared" si="3"/>
        <v>1100</v>
      </c>
      <c r="G164" s="2">
        <f t="shared" si="4"/>
        <v>4399</v>
      </c>
      <c r="H164" s="2">
        <f t="shared" si="5"/>
        <v>5194</v>
      </c>
      <c r="I164" s="2">
        <f t="shared" si="6"/>
        <v>936</v>
      </c>
      <c r="J164" s="2">
        <f t="shared" si="7"/>
        <v>644</v>
      </c>
      <c r="K164" s="2">
        <f t="shared" si="8"/>
        <v>498</v>
      </c>
      <c r="L164" s="2" t="str">
        <f t="shared" si="9"/>
        <v>-</v>
      </c>
      <c r="M164" s="2" t="str">
        <f t="shared" si="10"/>
        <v>-</v>
      </c>
      <c r="N164" s="2" t="str">
        <f t="shared" si="11"/>
        <v>-</v>
      </c>
      <c r="O164" s="2">
        <f t="shared" si="12"/>
        <v>1375</v>
      </c>
      <c r="P164" s="2">
        <f t="shared" si="13"/>
        <v>4124</v>
      </c>
      <c r="Q164" s="2">
        <f t="shared" si="14"/>
        <v>4919</v>
      </c>
      <c r="R164" s="2">
        <f t="shared" si="15"/>
        <v>887</v>
      </c>
      <c r="S164" s="2">
        <f t="shared" si="16"/>
        <v>610</v>
      </c>
      <c r="T164" s="2" t="str">
        <f t="shared" si="17"/>
        <v>-</v>
      </c>
      <c r="U164" s="2" t="str">
        <f t="shared" si="18"/>
        <v>-</v>
      </c>
      <c r="V164" s="2" t="str">
        <f t="shared" si="19"/>
        <v>-</v>
      </c>
      <c r="W164" s="2" t="str">
        <f t="shared" si="20"/>
        <v>-</v>
      </c>
      <c r="X164" s="2">
        <f t="shared" si="21"/>
        <v>1650</v>
      </c>
      <c r="Y164" s="2">
        <f t="shared" si="22"/>
        <v>3849</v>
      </c>
      <c r="Z164" s="2">
        <f t="shared" si="23"/>
        <v>4644</v>
      </c>
      <c r="AA164" s="2">
        <f t="shared" si="24"/>
        <v>838</v>
      </c>
      <c r="AB164" s="2">
        <f t="shared" si="25"/>
        <v>577</v>
      </c>
      <c r="AC164" s="2" t="str">
        <f t="shared" si="26"/>
        <v>-</v>
      </c>
      <c r="AD164" s="2" t="str">
        <f t="shared" si="27"/>
        <v>-</v>
      </c>
      <c r="AE164" s="2" t="str">
        <f t="shared" si="28"/>
        <v>-</v>
      </c>
      <c r="AF164" s="2" t="str">
        <f t="shared" si="29"/>
        <v>-</v>
      </c>
      <c r="AG164" s="2">
        <f t="shared" si="30"/>
        <v>1925</v>
      </c>
      <c r="AH164" s="2">
        <f t="shared" si="31"/>
        <v>3574</v>
      </c>
      <c r="AI164" s="2">
        <f t="shared" si="32"/>
        <v>4369</v>
      </c>
      <c r="AJ164" s="2">
        <f t="shared" si="33"/>
        <v>789</v>
      </c>
      <c r="AK164" s="2">
        <f t="shared" si="34"/>
        <v>543</v>
      </c>
      <c r="AL164" s="2" t="str">
        <f t="shared" si="35"/>
        <v>-</v>
      </c>
      <c r="AM164" s="2" t="str">
        <f t="shared" si="36"/>
        <v>-</v>
      </c>
      <c r="AN164" s="2" t="str">
        <f t="shared" si="37"/>
        <v>-</v>
      </c>
      <c r="AO164" s="2" t="str">
        <f t="shared" si="38"/>
        <v>-</v>
      </c>
      <c r="AP164" s="2">
        <f t="shared" si="39"/>
        <v>2200</v>
      </c>
      <c r="AQ164" s="2">
        <f t="shared" si="40"/>
        <v>3299</v>
      </c>
      <c r="AR164" s="2">
        <f t="shared" si="41"/>
        <v>4094</v>
      </c>
      <c r="AS164" s="2">
        <f t="shared" si="42"/>
        <v>740</v>
      </c>
      <c r="AT164" s="2">
        <f t="shared" si="43"/>
        <v>509</v>
      </c>
      <c r="AU164" s="2" t="str">
        <f t="shared" si="44"/>
        <v>-</v>
      </c>
      <c r="AV164" s="2" t="str">
        <f t="shared" si="45"/>
        <v>-</v>
      </c>
      <c r="AW164" s="2" t="str">
        <f t="shared" si="46"/>
        <v>-</v>
      </c>
      <c r="AX164" s="2" t="str">
        <f t="shared" si="47"/>
        <v>-</v>
      </c>
    </row>
    <row r="165" ht="14.25" customHeight="1">
      <c r="A165" s="2" t="str">
        <f t="array" ref="A165">IFERROR(INDEX('Product Price'!A:A,SMALL('Product Price'!$D:$D,163)),"")</f>
        <v>REDMI 17 5G 4/256 GB</v>
      </c>
      <c r="B165" s="2">
        <f t="array" ref="B165">IFERROR(INDEX('Product Price'!B:B,SMALL('Product Price'!$D:$D,163)),"")</f>
        <v>8999</v>
      </c>
      <c r="C165" s="2">
        <f t="array" ref="C165">IFERROR(INDEX('Product Price'!C:C,SMALL('Product Price'!$D:$D,163)),"")</f>
        <v>150</v>
      </c>
      <c r="D165" s="2">
        <f t="shared" si="1"/>
        <v>795</v>
      </c>
      <c r="E165" s="2">
        <f t="shared" si="2"/>
        <v>9794</v>
      </c>
      <c r="F165" s="2">
        <f t="shared" si="3"/>
        <v>1800</v>
      </c>
      <c r="G165" s="2">
        <f t="shared" si="4"/>
        <v>7199</v>
      </c>
      <c r="H165" s="2">
        <f t="shared" si="5"/>
        <v>7994</v>
      </c>
      <c r="I165" s="2">
        <f t="shared" si="6"/>
        <v>1435</v>
      </c>
      <c r="J165" s="2">
        <f t="shared" si="7"/>
        <v>987</v>
      </c>
      <c r="K165" s="2">
        <f t="shared" si="8"/>
        <v>764</v>
      </c>
      <c r="L165" s="2">
        <f t="shared" si="9"/>
        <v>630</v>
      </c>
      <c r="M165" s="2">
        <f t="shared" si="10"/>
        <v>540</v>
      </c>
      <c r="N165" s="2" t="str">
        <f t="shared" si="11"/>
        <v>-</v>
      </c>
      <c r="O165" s="2">
        <f t="shared" si="12"/>
        <v>2250</v>
      </c>
      <c r="P165" s="2">
        <f t="shared" si="13"/>
        <v>6749</v>
      </c>
      <c r="Q165" s="2">
        <f t="shared" si="14"/>
        <v>7544</v>
      </c>
      <c r="R165" s="2">
        <f t="shared" si="15"/>
        <v>1355</v>
      </c>
      <c r="S165" s="2">
        <f t="shared" si="16"/>
        <v>932</v>
      </c>
      <c r="T165" s="2">
        <f t="shared" si="17"/>
        <v>721</v>
      </c>
      <c r="U165" s="2">
        <f t="shared" si="18"/>
        <v>595</v>
      </c>
      <c r="V165" s="2">
        <f t="shared" si="19"/>
        <v>510</v>
      </c>
      <c r="W165" s="2" t="str">
        <f t="shared" si="20"/>
        <v>-</v>
      </c>
      <c r="X165" s="2">
        <f t="shared" si="21"/>
        <v>2700</v>
      </c>
      <c r="Y165" s="2">
        <f t="shared" si="22"/>
        <v>6299</v>
      </c>
      <c r="Z165" s="2">
        <f t="shared" si="23"/>
        <v>7094</v>
      </c>
      <c r="AA165" s="2">
        <f t="shared" si="24"/>
        <v>1274</v>
      </c>
      <c r="AB165" s="2">
        <f t="shared" si="25"/>
        <v>877</v>
      </c>
      <c r="AC165" s="2">
        <f t="shared" si="26"/>
        <v>679</v>
      </c>
      <c r="AD165" s="2">
        <f t="shared" si="27"/>
        <v>559</v>
      </c>
      <c r="AE165" s="2">
        <f t="shared" si="28"/>
        <v>480</v>
      </c>
      <c r="AF165" s="2" t="str">
        <f t="shared" si="29"/>
        <v>-</v>
      </c>
      <c r="AG165" s="2">
        <f t="shared" si="30"/>
        <v>3150</v>
      </c>
      <c r="AH165" s="2">
        <f t="shared" si="31"/>
        <v>5849</v>
      </c>
      <c r="AI165" s="2">
        <f t="shared" si="32"/>
        <v>6644</v>
      </c>
      <c r="AJ165" s="2">
        <f t="shared" si="33"/>
        <v>1194</v>
      </c>
      <c r="AK165" s="2">
        <f t="shared" si="34"/>
        <v>822</v>
      </c>
      <c r="AL165" s="2">
        <f t="shared" si="35"/>
        <v>636</v>
      </c>
      <c r="AM165" s="2">
        <f t="shared" si="36"/>
        <v>524</v>
      </c>
      <c r="AN165" s="2" t="str">
        <f t="shared" si="37"/>
        <v>-</v>
      </c>
      <c r="AO165" s="2" t="str">
        <f t="shared" si="38"/>
        <v>-</v>
      </c>
      <c r="AP165" s="2">
        <f t="shared" si="39"/>
        <v>3600</v>
      </c>
      <c r="AQ165" s="2">
        <f t="shared" si="40"/>
        <v>5399</v>
      </c>
      <c r="AR165" s="2">
        <f t="shared" si="41"/>
        <v>6194</v>
      </c>
      <c r="AS165" s="2">
        <f t="shared" si="42"/>
        <v>1114</v>
      </c>
      <c r="AT165" s="2">
        <f t="shared" si="43"/>
        <v>767</v>
      </c>
      <c r="AU165" s="2">
        <f t="shared" si="44"/>
        <v>593</v>
      </c>
      <c r="AV165" s="2">
        <f t="shared" si="45"/>
        <v>489</v>
      </c>
      <c r="AW165" s="2" t="str">
        <f t="shared" si="46"/>
        <v>-</v>
      </c>
      <c r="AX165" s="2" t="str">
        <f t="shared" si="47"/>
        <v>-</v>
      </c>
    </row>
    <row r="166" ht="14.25" customHeight="1">
      <c r="A166" s="2" t="str">
        <f t="array" ref="A166">IFERROR(INDEX('Product Price'!A:A,SMALL('Product Price'!$D:$D,164)),"")</f>
        <v>REDMI 17 5G 4/128 GB</v>
      </c>
      <c r="B166" s="2">
        <f t="array" ref="B166">IFERROR(INDEX('Product Price'!B:B,SMALL('Product Price'!$D:$D,164)),"")</f>
        <v>7999</v>
      </c>
      <c r="C166" s="2">
        <f t="array" ref="C166">IFERROR(INDEX('Product Price'!C:C,SMALL('Product Price'!$D:$D,164)),"")</f>
        <v>151</v>
      </c>
      <c r="D166" s="2">
        <f t="shared" si="1"/>
        <v>795</v>
      </c>
      <c r="E166" s="2">
        <f t="shared" si="2"/>
        <v>8794</v>
      </c>
      <c r="F166" s="2">
        <f t="shared" si="3"/>
        <v>1600</v>
      </c>
      <c r="G166" s="2">
        <f t="shared" si="4"/>
        <v>6399</v>
      </c>
      <c r="H166" s="2">
        <f t="shared" si="5"/>
        <v>7194</v>
      </c>
      <c r="I166" s="2">
        <f t="shared" si="6"/>
        <v>1292</v>
      </c>
      <c r="J166" s="2">
        <f t="shared" si="7"/>
        <v>889</v>
      </c>
      <c r="K166" s="2">
        <f t="shared" si="8"/>
        <v>688</v>
      </c>
      <c r="L166" s="2">
        <f t="shared" si="9"/>
        <v>567</v>
      </c>
      <c r="M166" s="2">
        <f t="shared" si="10"/>
        <v>487</v>
      </c>
      <c r="N166" s="2" t="str">
        <f t="shared" si="11"/>
        <v>-</v>
      </c>
      <c r="O166" s="2">
        <f t="shared" si="12"/>
        <v>2000</v>
      </c>
      <c r="P166" s="2">
        <f t="shared" si="13"/>
        <v>5999</v>
      </c>
      <c r="Q166" s="2">
        <f t="shared" si="14"/>
        <v>6794</v>
      </c>
      <c r="R166" s="2">
        <f t="shared" si="15"/>
        <v>1221</v>
      </c>
      <c r="S166" s="2">
        <f t="shared" si="16"/>
        <v>840</v>
      </c>
      <c r="T166" s="2">
        <f t="shared" si="17"/>
        <v>650</v>
      </c>
      <c r="U166" s="2">
        <f t="shared" si="18"/>
        <v>536</v>
      </c>
      <c r="V166" s="2">
        <f t="shared" si="19"/>
        <v>460</v>
      </c>
      <c r="W166" s="2" t="str">
        <f t="shared" si="20"/>
        <v>-</v>
      </c>
      <c r="X166" s="2">
        <f t="shared" si="21"/>
        <v>2400</v>
      </c>
      <c r="Y166" s="2">
        <f t="shared" si="22"/>
        <v>5599</v>
      </c>
      <c r="Z166" s="2">
        <f t="shared" si="23"/>
        <v>6394</v>
      </c>
      <c r="AA166" s="2">
        <f t="shared" si="24"/>
        <v>1150</v>
      </c>
      <c r="AB166" s="2">
        <f t="shared" si="25"/>
        <v>791</v>
      </c>
      <c r="AC166" s="2">
        <f t="shared" si="26"/>
        <v>612</v>
      </c>
      <c r="AD166" s="2">
        <f t="shared" si="27"/>
        <v>505</v>
      </c>
      <c r="AE166" s="2" t="str">
        <f t="shared" si="28"/>
        <v>-</v>
      </c>
      <c r="AF166" s="2" t="str">
        <f t="shared" si="29"/>
        <v>-</v>
      </c>
      <c r="AG166" s="2">
        <f t="shared" si="30"/>
        <v>2800</v>
      </c>
      <c r="AH166" s="2">
        <f t="shared" si="31"/>
        <v>5199</v>
      </c>
      <c r="AI166" s="2">
        <f t="shared" si="32"/>
        <v>5994</v>
      </c>
      <c r="AJ166" s="2">
        <f t="shared" si="33"/>
        <v>1078</v>
      </c>
      <c r="AK166" s="2">
        <f t="shared" si="34"/>
        <v>742</v>
      </c>
      <c r="AL166" s="2">
        <f t="shared" si="35"/>
        <v>574</v>
      </c>
      <c r="AM166" s="2">
        <f t="shared" si="36"/>
        <v>473</v>
      </c>
      <c r="AN166" s="2" t="str">
        <f t="shared" si="37"/>
        <v>-</v>
      </c>
      <c r="AO166" s="2" t="str">
        <f t="shared" si="38"/>
        <v>-</v>
      </c>
      <c r="AP166" s="2">
        <f t="shared" si="39"/>
        <v>3200</v>
      </c>
      <c r="AQ166" s="2">
        <f t="shared" si="40"/>
        <v>4799</v>
      </c>
      <c r="AR166" s="2">
        <f t="shared" si="41"/>
        <v>5594</v>
      </c>
      <c r="AS166" s="2">
        <f t="shared" si="42"/>
        <v>1007</v>
      </c>
      <c r="AT166" s="2">
        <f t="shared" si="43"/>
        <v>693</v>
      </c>
      <c r="AU166" s="2">
        <f t="shared" si="44"/>
        <v>536</v>
      </c>
      <c r="AV166" s="2" t="str">
        <f t="shared" si="45"/>
        <v>-</v>
      </c>
      <c r="AW166" s="2" t="str">
        <f t="shared" si="46"/>
        <v>-</v>
      </c>
      <c r="AX166" s="2" t="str">
        <f t="shared" si="47"/>
        <v>-</v>
      </c>
    </row>
    <row r="167" ht="14.25" customHeight="1">
      <c r="A167" s="2" t="str">
        <f t="array" ref="A167">IFERROR(INDEX('Product Price'!A:A,SMALL('Product Price'!$D:$D,165)),"")</f>
        <v>REDMI 17 4/256 GB</v>
      </c>
      <c r="B167" s="2">
        <f t="array" ref="B167">IFERROR(INDEX('Product Price'!B:B,SMALL('Product Price'!$D:$D,165)),"")</f>
        <v>7999</v>
      </c>
      <c r="C167" s="2">
        <f t="array" ref="C167">IFERROR(INDEX('Product Price'!C:C,SMALL('Product Price'!$D:$D,165)),"")</f>
        <v>152</v>
      </c>
      <c r="D167" s="2">
        <f t="shared" si="1"/>
        <v>795</v>
      </c>
      <c r="E167" s="2">
        <f t="shared" si="2"/>
        <v>8794</v>
      </c>
      <c r="F167" s="2">
        <f t="shared" si="3"/>
        <v>1600</v>
      </c>
      <c r="G167" s="2">
        <f t="shared" si="4"/>
        <v>6399</v>
      </c>
      <c r="H167" s="2">
        <f t="shared" si="5"/>
        <v>7194</v>
      </c>
      <c r="I167" s="2">
        <f t="shared" si="6"/>
        <v>1292</v>
      </c>
      <c r="J167" s="2">
        <f t="shared" si="7"/>
        <v>889</v>
      </c>
      <c r="K167" s="2">
        <f t="shared" si="8"/>
        <v>688</v>
      </c>
      <c r="L167" s="2">
        <f t="shared" si="9"/>
        <v>567</v>
      </c>
      <c r="M167" s="2">
        <f t="shared" si="10"/>
        <v>487</v>
      </c>
      <c r="N167" s="2" t="str">
        <f t="shared" si="11"/>
        <v>-</v>
      </c>
      <c r="O167" s="2">
        <f t="shared" si="12"/>
        <v>2000</v>
      </c>
      <c r="P167" s="2">
        <f t="shared" si="13"/>
        <v>5999</v>
      </c>
      <c r="Q167" s="2">
        <f t="shared" si="14"/>
        <v>6794</v>
      </c>
      <c r="R167" s="2">
        <f t="shared" si="15"/>
        <v>1221</v>
      </c>
      <c r="S167" s="2">
        <f t="shared" si="16"/>
        <v>840</v>
      </c>
      <c r="T167" s="2">
        <f t="shared" si="17"/>
        <v>650</v>
      </c>
      <c r="U167" s="2">
        <f t="shared" si="18"/>
        <v>536</v>
      </c>
      <c r="V167" s="2">
        <f t="shared" si="19"/>
        <v>460</v>
      </c>
      <c r="W167" s="2" t="str">
        <f t="shared" si="20"/>
        <v>-</v>
      </c>
      <c r="X167" s="2">
        <f t="shared" si="21"/>
        <v>2400</v>
      </c>
      <c r="Y167" s="2">
        <f t="shared" si="22"/>
        <v>5599</v>
      </c>
      <c r="Z167" s="2">
        <f t="shared" si="23"/>
        <v>6394</v>
      </c>
      <c r="AA167" s="2">
        <f t="shared" si="24"/>
        <v>1150</v>
      </c>
      <c r="AB167" s="2">
        <f t="shared" si="25"/>
        <v>791</v>
      </c>
      <c r="AC167" s="2">
        <f t="shared" si="26"/>
        <v>612</v>
      </c>
      <c r="AD167" s="2">
        <f t="shared" si="27"/>
        <v>505</v>
      </c>
      <c r="AE167" s="2" t="str">
        <f t="shared" si="28"/>
        <v>-</v>
      </c>
      <c r="AF167" s="2" t="str">
        <f t="shared" si="29"/>
        <v>-</v>
      </c>
      <c r="AG167" s="2">
        <f t="shared" si="30"/>
        <v>2800</v>
      </c>
      <c r="AH167" s="2">
        <f t="shared" si="31"/>
        <v>5199</v>
      </c>
      <c r="AI167" s="2">
        <f t="shared" si="32"/>
        <v>5994</v>
      </c>
      <c r="AJ167" s="2">
        <f t="shared" si="33"/>
        <v>1078</v>
      </c>
      <c r="AK167" s="2">
        <f t="shared" si="34"/>
        <v>742</v>
      </c>
      <c r="AL167" s="2">
        <f t="shared" si="35"/>
        <v>574</v>
      </c>
      <c r="AM167" s="2">
        <f t="shared" si="36"/>
        <v>473</v>
      </c>
      <c r="AN167" s="2" t="str">
        <f t="shared" si="37"/>
        <v>-</v>
      </c>
      <c r="AO167" s="2" t="str">
        <f t="shared" si="38"/>
        <v>-</v>
      </c>
      <c r="AP167" s="2">
        <f t="shared" si="39"/>
        <v>3200</v>
      </c>
      <c r="AQ167" s="2">
        <f t="shared" si="40"/>
        <v>4799</v>
      </c>
      <c r="AR167" s="2">
        <f t="shared" si="41"/>
        <v>5594</v>
      </c>
      <c r="AS167" s="2">
        <f t="shared" si="42"/>
        <v>1007</v>
      </c>
      <c r="AT167" s="2">
        <f t="shared" si="43"/>
        <v>693</v>
      </c>
      <c r="AU167" s="2">
        <f t="shared" si="44"/>
        <v>536</v>
      </c>
      <c r="AV167" s="2" t="str">
        <f t="shared" si="45"/>
        <v>-</v>
      </c>
      <c r="AW167" s="2" t="str">
        <f t="shared" si="46"/>
        <v>-</v>
      </c>
      <c r="AX167" s="2" t="str">
        <f t="shared" si="47"/>
        <v>-</v>
      </c>
    </row>
    <row r="168" ht="14.25" customHeight="1">
      <c r="A168" s="2" t="str">
        <f t="array" ref="A168">IFERROR(INDEX('Product Price'!A:A,SMALL('Product Price'!$D:$D,166)),"")</f>
        <v>REDMI 17 4/128 GB</v>
      </c>
      <c r="B168" s="2">
        <f t="array" ref="B168">IFERROR(INDEX('Product Price'!B:B,SMALL('Product Price'!$D:$D,166)),"")</f>
        <v>6999</v>
      </c>
      <c r="C168" s="2">
        <f t="array" ref="C168">IFERROR(INDEX('Product Price'!C:C,SMALL('Product Price'!$D:$D,166)),"")</f>
        <v>153</v>
      </c>
      <c r="D168" s="2">
        <f t="shared" si="1"/>
        <v>795</v>
      </c>
      <c r="E168" s="2">
        <f t="shared" si="2"/>
        <v>7794</v>
      </c>
      <c r="F168" s="2">
        <f t="shared" si="3"/>
        <v>1400</v>
      </c>
      <c r="G168" s="2">
        <f t="shared" si="4"/>
        <v>5599</v>
      </c>
      <c r="H168" s="2">
        <f t="shared" si="5"/>
        <v>6394</v>
      </c>
      <c r="I168" s="2">
        <f t="shared" si="6"/>
        <v>1150</v>
      </c>
      <c r="J168" s="2">
        <f t="shared" si="7"/>
        <v>791</v>
      </c>
      <c r="K168" s="2">
        <f t="shared" si="8"/>
        <v>612</v>
      </c>
      <c r="L168" s="2">
        <f t="shared" si="9"/>
        <v>505</v>
      </c>
      <c r="M168" s="2" t="str">
        <f t="shared" si="10"/>
        <v>-</v>
      </c>
      <c r="N168" s="2" t="str">
        <f t="shared" si="11"/>
        <v>-</v>
      </c>
      <c r="O168" s="2">
        <f t="shared" si="12"/>
        <v>1750</v>
      </c>
      <c r="P168" s="2">
        <f t="shared" si="13"/>
        <v>5249</v>
      </c>
      <c r="Q168" s="2">
        <f t="shared" si="14"/>
        <v>6044</v>
      </c>
      <c r="R168" s="2">
        <f t="shared" si="15"/>
        <v>1087</v>
      </c>
      <c r="S168" s="2">
        <f t="shared" si="16"/>
        <v>748</v>
      </c>
      <c r="T168" s="2">
        <f t="shared" si="17"/>
        <v>579</v>
      </c>
      <c r="U168" s="2">
        <f t="shared" si="18"/>
        <v>477</v>
      </c>
      <c r="V168" s="2" t="str">
        <f t="shared" si="19"/>
        <v>-</v>
      </c>
      <c r="W168" s="2" t="str">
        <f t="shared" si="20"/>
        <v>-</v>
      </c>
      <c r="X168" s="2">
        <f t="shared" si="21"/>
        <v>2100</v>
      </c>
      <c r="Y168" s="2">
        <f t="shared" si="22"/>
        <v>4899</v>
      </c>
      <c r="Z168" s="2">
        <f t="shared" si="23"/>
        <v>5694</v>
      </c>
      <c r="AA168" s="2">
        <f t="shared" si="24"/>
        <v>1025</v>
      </c>
      <c r="AB168" s="2">
        <f t="shared" si="25"/>
        <v>705</v>
      </c>
      <c r="AC168" s="2">
        <f t="shared" si="26"/>
        <v>546</v>
      </c>
      <c r="AD168" s="2" t="str">
        <f t="shared" si="27"/>
        <v>-</v>
      </c>
      <c r="AE168" s="2" t="str">
        <f t="shared" si="28"/>
        <v>-</v>
      </c>
      <c r="AF168" s="2" t="str">
        <f t="shared" si="29"/>
        <v>-</v>
      </c>
      <c r="AG168" s="2">
        <f t="shared" si="30"/>
        <v>2450</v>
      </c>
      <c r="AH168" s="2">
        <f t="shared" si="31"/>
        <v>4549</v>
      </c>
      <c r="AI168" s="2">
        <f t="shared" si="32"/>
        <v>5344</v>
      </c>
      <c r="AJ168" s="2">
        <f t="shared" si="33"/>
        <v>963</v>
      </c>
      <c r="AK168" s="2">
        <f t="shared" si="34"/>
        <v>663</v>
      </c>
      <c r="AL168" s="2">
        <f t="shared" si="35"/>
        <v>513</v>
      </c>
      <c r="AM168" s="2" t="str">
        <f t="shared" si="36"/>
        <v>-</v>
      </c>
      <c r="AN168" s="2" t="str">
        <f t="shared" si="37"/>
        <v>-</v>
      </c>
      <c r="AO168" s="2" t="str">
        <f t="shared" si="38"/>
        <v>-</v>
      </c>
      <c r="AP168" s="2">
        <f t="shared" si="39"/>
        <v>2800</v>
      </c>
      <c r="AQ168" s="2">
        <f t="shared" si="40"/>
        <v>4199</v>
      </c>
      <c r="AR168" s="2">
        <f t="shared" si="41"/>
        <v>4994</v>
      </c>
      <c r="AS168" s="2">
        <f t="shared" si="42"/>
        <v>900</v>
      </c>
      <c r="AT168" s="2">
        <f t="shared" si="43"/>
        <v>620</v>
      </c>
      <c r="AU168" s="2" t="str">
        <f t="shared" si="44"/>
        <v>-</v>
      </c>
      <c r="AV168" s="2" t="str">
        <f t="shared" si="45"/>
        <v>-</v>
      </c>
      <c r="AW168" s="2" t="str">
        <f t="shared" si="46"/>
        <v>-</v>
      </c>
      <c r="AX168" s="2" t="str">
        <f t="shared" si="47"/>
        <v>-</v>
      </c>
    </row>
    <row r="169" ht="14.25" customHeight="1">
      <c r="A169" s="2" t="str">
        <f t="array" ref="A169">IFERROR(INDEX('Product Price'!A:A,SMALL('Product Price'!$D:$D,167)),"")</f>
        <v>XIAOMI Bundle 17T Pro 12/512 GB &amp; Redmi Watch 6</v>
      </c>
      <c r="B169" s="2">
        <f t="array" ref="B169">IFERROR(INDEX('Product Price'!B:B,SMALL('Product Price'!$D:$D,167)),"")</f>
        <v>31189</v>
      </c>
      <c r="C169" s="2">
        <f t="array" ref="C169">IFERROR(INDEX('Product Price'!C:C,SMALL('Product Price'!$D:$D,167)),"")</f>
        <v>154</v>
      </c>
      <c r="D169" s="2">
        <f t="shared" si="1"/>
        <v>1900</v>
      </c>
      <c r="E169" s="2">
        <f t="shared" si="2"/>
        <v>33089</v>
      </c>
      <c r="F169" s="2">
        <f t="shared" si="3"/>
        <v>6238</v>
      </c>
      <c r="G169" s="2">
        <f t="shared" si="4"/>
        <v>24951</v>
      </c>
      <c r="H169" s="2">
        <f t="shared" si="5"/>
        <v>26851</v>
      </c>
      <c r="I169" s="2">
        <f t="shared" si="6"/>
        <v>4808</v>
      </c>
      <c r="J169" s="2">
        <f t="shared" si="7"/>
        <v>3309</v>
      </c>
      <c r="K169" s="2">
        <f t="shared" si="8"/>
        <v>2559</v>
      </c>
      <c r="L169" s="2">
        <f t="shared" si="9"/>
        <v>2110</v>
      </c>
      <c r="M169" s="2">
        <f t="shared" si="10"/>
        <v>1810</v>
      </c>
      <c r="N169" s="2">
        <f t="shared" si="11"/>
        <v>1435</v>
      </c>
      <c r="O169" s="2">
        <f t="shared" si="12"/>
        <v>7798</v>
      </c>
      <c r="P169" s="2">
        <f t="shared" si="13"/>
        <v>23391</v>
      </c>
      <c r="Q169" s="2">
        <f t="shared" si="14"/>
        <v>25291</v>
      </c>
      <c r="R169" s="2">
        <f t="shared" si="15"/>
        <v>4530</v>
      </c>
      <c r="S169" s="2">
        <f t="shared" si="16"/>
        <v>3118</v>
      </c>
      <c r="T169" s="2">
        <f t="shared" si="17"/>
        <v>2412</v>
      </c>
      <c r="U169" s="2">
        <f t="shared" si="18"/>
        <v>1988</v>
      </c>
      <c r="V169" s="2">
        <f t="shared" si="19"/>
        <v>1705</v>
      </c>
      <c r="W169" s="2">
        <f t="shared" si="20"/>
        <v>1352</v>
      </c>
      <c r="X169" s="2">
        <f t="shared" si="21"/>
        <v>9357</v>
      </c>
      <c r="Y169" s="2">
        <f t="shared" si="22"/>
        <v>21832</v>
      </c>
      <c r="Z169" s="2">
        <f t="shared" si="23"/>
        <v>23732</v>
      </c>
      <c r="AA169" s="2">
        <f t="shared" si="24"/>
        <v>4252</v>
      </c>
      <c r="AB169" s="2">
        <f t="shared" si="25"/>
        <v>2927</v>
      </c>
      <c r="AC169" s="2">
        <f t="shared" si="26"/>
        <v>2264</v>
      </c>
      <c r="AD169" s="2">
        <f t="shared" si="27"/>
        <v>1866</v>
      </c>
      <c r="AE169" s="2">
        <f t="shared" si="28"/>
        <v>1601</v>
      </c>
      <c r="AF169" s="2">
        <f t="shared" si="29"/>
        <v>1269</v>
      </c>
      <c r="AG169" s="2">
        <f t="shared" si="30"/>
        <v>10917</v>
      </c>
      <c r="AH169" s="2">
        <f t="shared" si="31"/>
        <v>20272</v>
      </c>
      <c r="AI169" s="2">
        <f t="shared" si="32"/>
        <v>22172</v>
      </c>
      <c r="AJ169" s="2">
        <f t="shared" si="33"/>
        <v>3975</v>
      </c>
      <c r="AK169" s="2">
        <f t="shared" si="34"/>
        <v>2735</v>
      </c>
      <c r="AL169" s="2">
        <f t="shared" si="35"/>
        <v>2116</v>
      </c>
      <c r="AM169" s="2">
        <f t="shared" si="36"/>
        <v>1744</v>
      </c>
      <c r="AN169" s="2">
        <f t="shared" si="37"/>
        <v>1496</v>
      </c>
      <c r="AO169" s="2">
        <f t="shared" si="38"/>
        <v>1186</v>
      </c>
      <c r="AP169" s="2">
        <f t="shared" si="39"/>
        <v>12476</v>
      </c>
      <c r="AQ169" s="2">
        <f t="shared" si="40"/>
        <v>18713</v>
      </c>
      <c r="AR169" s="2">
        <f t="shared" si="41"/>
        <v>20613</v>
      </c>
      <c r="AS169" s="2">
        <f t="shared" si="42"/>
        <v>3697</v>
      </c>
      <c r="AT169" s="2">
        <f t="shared" si="43"/>
        <v>2544</v>
      </c>
      <c r="AU169" s="2">
        <f t="shared" si="44"/>
        <v>1968</v>
      </c>
      <c r="AV169" s="2">
        <f t="shared" si="45"/>
        <v>1622</v>
      </c>
      <c r="AW169" s="2">
        <f t="shared" si="46"/>
        <v>1392</v>
      </c>
      <c r="AX169" s="2">
        <f t="shared" si="47"/>
        <v>1103</v>
      </c>
    </row>
    <row r="170" ht="14.25" customHeight="1">
      <c r="A170" s="2" t="str">
        <f t="array" ref="A170">IFERROR(INDEX('Product Price'!A:A,SMALL('Product Price'!$D:$D,168)),"")</f>
        <v>XIAOMI Bundle 17T Pro 12/256 GB &amp; Redmi Watch 6</v>
      </c>
      <c r="B170" s="2">
        <f t="array" ref="B170">IFERROR(INDEX('Product Price'!B:B,SMALL('Product Price'!$D:$D,168)),"")</f>
        <v>29189</v>
      </c>
      <c r="C170" s="2">
        <f t="array" ref="C170">IFERROR(INDEX('Product Price'!C:C,SMALL('Product Price'!$D:$D,168)),"")</f>
        <v>155</v>
      </c>
      <c r="D170" s="2">
        <f t="shared" si="1"/>
        <v>1900</v>
      </c>
      <c r="E170" s="2">
        <f t="shared" si="2"/>
        <v>31089</v>
      </c>
      <c r="F170" s="2">
        <f t="shared" si="3"/>
        <v>5838</v>
      </c>
      <c r="G170" s="2">
        <f t="shared" si="4"/>
        <v>23351</v>
      </c>
      <c r="H170" s="2">
        <f t="shared" si="5"/>
        <v>25251</v>
      </c>
      <c r="I170" s="2">
        <f t="shared" si="6"/>
        <v>4523</v>
      </c>
      <c r="J170" s="2">
        <f t="shared" si="7"/>
        <v>3113</v>
      </c>
      <c r="K170" s="2">
        <f t="shared" si="8"/>
        <v>2408</v>
      </c>
      <c r="L170" s="2">
        <f t="shared" si="9"/>
        <v>1985</v>
      </c>
      <c r="M170" s="2">
        <f t="shared" si="10"/>
        <v>1703</v>
      </c>
      <c r="N170" s="2">
        <f t="shared" si="11"/>
        <v>1350</v>
      </c>
      <c r="O170" s="2">
        <f t="shared" si="12"/>
        <v>7298</v>
      </c>
      <c r="P170" s="2">
        <f t="shared" si="13"/>
        <v>21891</v>
      </c>
      <c r="Q170" s="2">
        <f t="shared" si="14"/>
        <v>23791</v>
      </c>
      <c r="R170" s="2">
        <f t="shared" si="15"/>
        <v>4263</v>
      </c>
      <c r="S170" s="2">
        <f t="shared" si="16"/>
        <v>2934</v>
      </c>
      <c r="T170" s="2">
        <f t="shared" si="17"/>
        <v>2269</v>
      </c>
      <c r="U170" s="2">
        <f t="shared" si="18"/>
        <v>1871</v>
      </c>
      <c r="V170" s="2">
        <f t="shared" si="19"/>
        <v>1605</v>
      </c>
      <c r="W170" s="2">
        <f t="shared" si="20"/>
        <v>1272</v>
      </c>
      <c r="X170" s="2">
        <f t="shared" si="21"/>
        <v>8757</v>
      </c>
      <c r="Y170" s="2">
        <f t="shared" si="22"/>
        <v>20432</v>
      </c>
      <c r="Z170" s="2">
        <f t="shared" si="23"/>
        <v>22332</v>
      </c>
      <c r="AA170" s="2">
        <f t="shared" si="24"/>
        <v>4003</v>
      </c>
      <c r="AB170" s="2">
        <f t="shared" si="25"/>
        <v>2755</v>
      </c>
      <c r="AC170" s="2">
        <f t="shared" si="26"/>
        <v>2131</v>
      </c>
      <c r="AD170" s="2">
        <f t="shared" si="27"/>
        <v>1757</v>
      </c>
      <c r="AE170" s="2">
        <f t="shared" si="28"/>
        <v>1507</v>
      </c>
      <c r="AF170" s="2">
        <f t="shared" si="29"/>
        <v>1195</v>
      </c>
      <c r="AG170" s="2">
        <f t="shared" si="30"/>
        <v>10217</v>
      </c>
      <c r="AH170" s="2">
        <f t="shared" si="31"/>
        <v>18972</v>
      </c>
      <c r="AI170" s="2">
        <f t="shared" si="32"/>
        <v>20872</v>
      </c>
      <c r="AJ170" s="2">
        <f t="shared" si="33"/>
        <v>3743</v>
      </c>
      <c r="AK170" s="2">
        <f t="shared" si="34"/>
        <v>2576</v>
      </c>
      <c r="AL170" s="2">
        <f t="shared" si="35"/>
        <v>1992</v>
      </c>
      <c r="AM170" s="2">
        <f t="shared" si="36"/>
        <v>1642</v>
      </c>
      <c r="AN170" s="2">
        <f t="shared" si="37"/>
        <v>1409</v>
      </c>
      <c r="AO170" s="2">
        <f t="shared" si="38"/>
        <v>1117</v>
      </c>
      <c r="AP170" s="2">
        <f t="shared" si="39"/>
        <v>11676</v>
      </c>
      <c r="AQ170" s="2">
        <f t="shared" si="40"/>
        <v>17513</v>
      </c>
      <c r="AR170" s="2">
        <f t="shared" si="41"/>
        <v>19413</v>
      </c>
      <c r="AS170" s="2">
        <f t="shared" si="42"/>
        <v>3483</v>
      </c>
      <c r="AT170" s="2">
        <f t="shared" si="43"/>
        <v>2397</v>
      </c>
      <c r="AU170" s="2">
        <f t="shared" si="44"/>
        <v>1854</v>
      </c>
      <c r="AV170" s="2">
        <f t="shared" si="45"/>
        <v>1528</v>
      </c>
      <c r="AW170" s="2">
        <f t="shared" si="46"/>
        <v>1311</v>
      </c>
      <c r="AX170" s="2">
        <f t="shared" si="47"/>
        <v>1040</v>
      </c>
    </row>
    <row r="171" ht="14.25" customHeight="1">
      <c r="A171" s="2" t="str">
        <f t="array" ref="A171">IFERROR(INDEX('Product Price'!A:A,SMALL('Product Price'!$D:$D,169)),"")</f>
        <v>XIAOMI Bundle 17T 12/512 GB &amp; Redmi Watch 6</v>
      </c>
      <c r="B171" s="2">
        <f t="array" ref="B171">IFERROR(INDEX('Product Price'!B:B,SMALL('Product Price'!$D:$D,169)),"")</f>
        <v>26189</v>
      </c>
      <c r="C171" s="2">
        <f t="array" ref="C171">IFERROR(INDEX('Product Price'!C:C,SMALL('Product Price'!$D:$D,169)),"")</f>
        <v>156</v>
      </c>
      <c r="D171" s="2">
        <f t="shared" si="1"/>
        <v>1900</v>
      </c>
      <c r="E171" s="2">
        <f t="shared" si="2"/>
        <v>28089</v>
      </c>
      <c r="F171" s="2">
        <f t="shared" si="3"/>
        <v>5238</v>
      </c>
      <c r="G171" s="2">
        <f t="shared" si="4"/>
        <v>20951</v>
      </c>
      <c r="H171" s="2">
        <f t="shared" si="5"/>
        <v>22851</v>
      </c>
      <c r="I171" s="2">
        <f t="shared" si="6"/>
        <v>4095</v>
      </c>
      <c r="J171" s="2">
        <f t="shared" si="7"/>
        <v>2819</v>
      </c>
      <c r="K171" s="2">
        <f t="shared" si="8"/>
        <v>2180</v>
      </c>
      <c r="L171" s="2">
        <f t="shared" si="9"/>
        <v>1797</v>
      </c>
      <c r="M171" s="2">
        <f t="shared" si="10"/>
        <v>1542</v>
      </c>
      <c r="N171" s="2">
        <f t="shared" si="11"/>
        <v>1222</v>
      </c>
      <c r="O171" s="2">
        <f t="shared" si="12"/>
        <v>6548</v>
      </c>
      <c r="P171" s="2">
        <f t="shared" si="13"/>
        <v>19641</v>
      </c>
      <c r="Q171" s="2">
        <f t="shared" si="14"/>
        <v>21541</v>
      </c>
      <c r="R171" s="2">
        <f t="shared" si="15"/>
        <v>3862</v>
      </c>
      <c r="S171" s="2">
        <f t="shared" si="16"/>
        <v>2658</v>
      </c>
      <c r="T171" s="2">
        <f t="shared" si="17"/>
        <v>2056</v>
      </c>
      <c r="U171" s="2">
        <f t="shared" si="18"/>
        <v>1695</v>
      </c>
      <c r="V171" s="2">
        <f t="shared" si="19"/>
        <v>1454</v>
      </c>
      <c r="W171" s="2">
        <f t="shared" si="20"/>
        <v>1153</v>
      </c>
      <c r="X171" s="2">
        <f t="shared" si="21"/>
        <v>7857</v>
      </c>
      <c r="Y171" s="2">
        <f t="shared" si="22"/>
        <v>18332</v>
      </c>
      <c r="Z171" s="2">
        <f t="shared" si="23"/>
        <v>20232</v>
      </c>
      <c r="AA171" s="2">
        <f t="shared" si="24"/>
        <v>3629</v>
      </c>
      <c r="AB171" s="2">
        <f t="shared" si="25"/>
        <v>2497</v>
      </c>
      <c r="AC171" s="2">
        <f t="shared" si="26"/>
        <v>1932</v>
      </c>
      <c r="AD171" s="2">
        <f t="shared" si="27"/>
        <v>1592</v>
      </c>
      <c r="AE171" s="2">
        <f t="shared" si="28"/>
        <v>1366</v>
      </c>
      <c r="AF171" s="2">
        <f t="shared" si="29"/>
        <v>1083</v>
      </c>
      <c r="AG171" s="2">
        <f t="shared" si="30"/>
        <v>9167</v>
      </c>
      <c r="AH171" s="2">
        <f t="shared" si="31"/>
        <v>17022</v>
      </c>
      <c r="AI171" s="2">
        <f t="shared" si="32"/>
        <v>18922</v>
      </c>
      <c r="AJ171" s="2">
        <f t="shared" si="33"/>
        <v>3395</v>
      </c>
      <c r="AK171" s="2">
        <f t="shared" si="34"/>
        <v>2337</v>
      </c>
      <c r="AL171" s="2">
        <f t="shared" si="35"/>
        <v>1808</v>
      </c>
      <c r="AM171" s="2">
        <f t="shared" si="36"/>
        <v>1490</v>
      </c>
      <c r="AN171" s="2">
        <f t="shared" si="37"/>
        <v>1278</v>
      </c>
      <c r="AO171" s="2">
        <f t="shared" si="38"/>
        <v>1014</v>
      </c>
      <c r="AP171" s="2">
        <f t="shared" si="39"/>
        <v>10476</v>
      </c>
      <c r="AQ171" s="2">
        <f t="shared" si="40"/>
        <v>15713</v>
      </c>
      <c r="AR171" s="2">
        <f t="shared" si="41"/>
        <v>17613</v>
      </c>
      <c r="AS171" s="2">
        <f t="shared" si="42"/>
        <v>3162</v>
      </c>
      <c r="AT171" s="2">
        <f t="shared" si="43"/>
        <v>2176</v>
      </c>
      <c r="AU171" s="2">
        <f t="shared" si="44"/>
        <v>1683</v>
      </c>
      <c r="AV171" s="2">
        <f t="shared" si="45"/>
        <v>1388</v>
      </c>
      <c r="AW171" s="2">
        <f t="shared" si="46"/>
        <v>1190</v>
      </c>
      <c r="AX171" s="2">
        <f t="shared" si="47"/>
        <v>944</v>
      </c>
    </row>
    <row r="172" ht="14.25" customHeight="1">
      <c r="A172" s="2" t="str">
        <f t="array" ref="A172">IFERROR(INDEX('Product Price'!A:A,SMALL('Product Price'!$D:$D,170)),"")</f>
        <v>XIAOMI Bundle 17T 12/256 GB &amp; Redmi Watch 6</v>
      </c>
      <c r="B172" s="2">
        <f t="array" ref="B172">IFERROR(INDEX('Product Price'!B:B,SMALL('Product Price'!$D:$D,170)),"")</f>
        <v>23189</v>
      </c>
      <c r="C172" s="2">
        <f t="array" ref="C172">IFERROR(INDEX('Product Price'!C:C,SMALL('Product Price'!$D:$D,170)),"")</f>
        <v>157</v>
      </c>
      <c r="D172" s="2">
        <f t="shared" si="1"/>
        <v>1900</v>
      </c>
      <c r="E172" s="2">
        <f t="shared" si="2"/>
        <v>25089</v>
      </c>
      <c r="F172" s="2">
        <f t="shared" si="3"/>
        <v>4638</v>
      </c>
      <c r="G172" s="2">
        <f t="shared" si="4"/>
        <v>18551</v>
      </c>
      <c r="H172" s="2">
        <f t="shared" si="5"/>
        <v>20451</v>
      </c>
      <c r="I172" s="2">
        <f t="shared" si="6"/>
        <v>3668</v>
      </c>
      <c r="J172" s="2">
        <f t="shared" si="7"/>
        <v>2524</v>
      </c>
      <c r="K172" s="2">
        <f t="shared" si="8"/>
        <v>1953</v>
      </c>
      <c r="L172" s="2">
        <f t="shared" si="9"/>
        <v>1609</v>
      </c>
      <c r="M172" s="2">
        <f t="shared" si="10"/>
        <v>1381</v>
      </c>
      <c r="N172" s="2">
        <f t="shared" si="11"/>
        <v>1095</v>
      </c>
      <c r="O172" s="2">
        <f t="shared" si="12"/>
        <v>5798</v>
      </c>
      <c r="P172" s="2">
        <f t="shared" si="13"/>
        <v>17391</v>
      </c>
      <c r="Q172" s="2">
        <f t="shared" si="14"/>
        <v>19291</v>
      </c>
      <c r="R172" s="2">
        <f t="shared" si="15"/>
        <v>3461</v>
      </c>
      <c r="S172" s="2">
        <f t="shared" si="16"/>
        <v>2382</v>
      </c>
      <c r="T172" s="2">
        <f t="shared" si="17"/>
        <v>1843</v>
      </c>
      <c r="U172" s="2">
        <f t="shared" si="18"/>
        <v>1519</v>
      </c>
      <c r="V172" s="2">
        <f t="shared" si="19"/>
        <v>1303</v>
      </c>
      <c r="W172" s="2">
        <f t="shared" si="20"/>
        <v>1033</v>
      </c>
      <c r="X172" s="2">
        <f t="shared" si="21"/>
        <v>6957</v>
      </c>
      <c r="Y172" s="2">
        <f t="shared" si="22"/>
        <v>16232</v>
      </c>
      <c r="Z172" s="2">
        <f t="shared" si="23"/>
        <v>18132</v>
      </c>
      <c r="AA172" s="2">
        <f t="shared" si="24"/>
        <v>3255</v>
      </c>
      <c r="AB172" s="2">
        <f t="shared" si="25"/>
        <v>2240</v>
      </c>
      <c r="AC172" s="2">
        <f t="shared" si="26"/>
        <v>1733</v>
      </c>
      <c r="AD172" s="2">
        <f t="shared" si="27"/>
        <v>1428</v>
      </c>
      <c r="AE172" s="2">
        <f t="shared" si="28"/>
        <v>1225</v>
      </c>
      <c r="AF172" s="2">
        <f t="shared" si="29"/>
        <v>972</v>
      </c>
      <c r="AG172" s="2">
        <f t="shared" si="30"/>
        <v>8117</v>
      </c>
      <c r="AH172" s="2">
        <f t="shared" si="31"/>
        <v>15072</v>
      </c>
      <c r="AI172" s="2">
        <f t="shared" si="32"/>
        <v>16972</v>
      </c>
      <c r="AJ172" s="2">
        <f t="shared" si="33"/>
        <v>3048</v>
      </c>
      <c r="AK172" s="2">
        <f t="shared" si="34"/>
        <v>2098</v>
      </c>
      <c r="AL172" s="2">
        <f t="shared" si="35"/>
        <v>1623</v>
      </c>
      <c r="AM172" s="2">
        <f t="shared" si="36"/>
        <v>1338</v>
      </c>
      <c r="AN172" s="2">
        <f t="shared" si="37"/>
        <v>1147</v>
      </c>
      <c r="AO172" s="2">
        <f t="shared" si="38"/>
        <v>910</v>
      </c>
      <c r="AP172" s="2">
        <f t="shared" si="39"/>
        <v>9276</v>
      </c>
      <c r="AQ172" s="2">
        <f t="shared" si="40"/>
        <v>13913</v>
      </c>
      <c r="AR172" s="2">
        <f t="shared" si="41"/>
        <v>15813</v>
      </c>
      <c r="AS172" s="2">
        <f t="shared" si="42"/>
        <v>2842</v>
      </c>
      <c r="AT172" s="2">
        <f t="shared" si="43"/>
        <v>1956</v>
      </c>
      <c r="AU172" s="2">
        <f t="shared" si="44"/>
        <v>1513</v>
      </c>
      <c r="AV172" s="2">
        <f t="shared" si="45"/>
        <v>1247</v>
      </c>
      <c r="AW172" s="2">
        <f t="shared" si="46"/>
        <v>1070</v>
      </c>
      <c r="AX172" s="2">
        <f t="shared" si="47"/>
        <v>848</v>
      </c>
    </row>
    <row r="173" ht="14.25" customHeight="1">
      <c r="A173" s="2" t="str">
        <f t="array" ref="A173">IFERROR(INDEX('Product Price'!A:A,SMALL('Product Price'!$D:$D,171)),"")</f>
        <v>INFINIX HOT 70 4/128 GB</v>
      </c>
      <c r="B173" s="2">
        <f t="array" ref="B173">IFERROR(INDEX('Product Price'!B:B,SMALL('Product Price'!$D:$D,171)),"")</f>
        <v>5799</v>
      </c>
      <c r="C173" s="2">
        <f t="array" ref="C173">IFERROR(INDEX('Product Price'!C:C,SMALL('Product Price'!$D:$D,171)),"")</f>
        <v>161</v>
      </c>
      <c r="D173" s="2">
        <f t="shared" si="1"/>
        <v>795</v>
      </c>
      <c r="E173" s="2">
        <f t="shared" si="2"/>
        <v>6594</v>
      </c>
      <c r="F173" s="2">
        <f t="shared" si="3"/>
        <v>1160</v>
      </c>
      <c r="G173" s="2">
        <f t="shared" si="4"/>
        <v>4639</v>
      </c>
      <c r="H173" s="2">
        <f t="shared" si="5"/>
        <v>5434</v>
      </c>
      <c r="I173" s="2">
        <f t="shared" si="6"/>
        <v>979</v>
      </c>
      <c r="J173" s="2">
        <f t="shared" si="7"/>
        <v>674</v>
      </c>
      <c r="K173" s="2">
        <f t="shared" si="8"/>
        <v>521</v>
      </c>
      <c r="L173" s="2" t="str">
        <f t="shared" si="9"/>
        <v>-</v>
      </c>
      <c r="M173" s="2" t="str">
        <f t="shared" si="10"/>
        <v>-</v>
      </c>
      <c r="N173" s="2" t="str">
        <f t="shared" si="11"/>
        <v>-</v>
      </c>
      <c r="O173" s="2">
        <f t="shared" si="12"/>
        <v>1450</v>
      </c>
      <c r="P173" s="2">
        <f t="shared" si="13"/>
        <v>4349</v>
      </c>
      <c r="Q173" s="2">
        <f t="shared" si="14"/>
        <v>5144</v>
      </c>
      <c r="R173" s="2">
        <f t="shared" si="15"/>
        <v>927</v>
      </c>
      <c r="S173" s="2">
        <f t="shared" si="16"/>
        <v>638</v>
      </c>
      <c r="T173" s="2">
        <f t="shared" si="17"/>
        <v>494</v>
      </c>
      <c r="U173" s="2" t="str">
        <f t="shared" si="18"/>
        <v>-</v>
      </c>
      <c r="V173" s="2" t="str">
        <f t="shared" si="19"/>
        <v>-</v>
      </c>
      <c r="W173" s="2" t="str">
        <f t="shared" si="20"/>
        <v>-</v>
      </c>
      <c r="X173" s="2">
        <f t="shared" si="21"/>
        <v>1740</v>
      </c>
      <c r="Y173" s="2">
        <f t="shared" si="22"/>
        <v>4059</v>
      </c>
      <c r="Z173" s="2">
        <f t="shared" si="23"/>
        <v>4854</v>
      </c>
      <c r="AA173" s="2">
        <f t="shared" si="24"/>
        <v>875</v>
      </c>
      <c r="AB173" s="2">
        <f t="shared" si="25"/>
        <v>602</v>
      </c>
      <c r="AC173" s="2" t="str">
        <f t="shared" si="26"/>
        <v>-</v>
      </c>
      <c r="AD173" s="2" t="str">
        <f t="shared" si="27"/>
        <v>-</v>
      </c>
      <c r="AE173" s="2" t="str">
        <f t="shared" si="28"/>
        <v>-</v>
      </c>
      <c r="AF173" s="2" t="str">
        <f t="shared" si="29"/>
        <v>-</v>
      </c>
      <c r="AG173" s="2">
        <f t="shared" si="30"/>
        <v>2030</v>
      </c>
      <c r="AH173" s="2">
        <f t="shared" si="31"/>
        <v>3769</v>
      </c>
      <c r="AI173" s="2">
        <f t="shared" si="32"/>
        <v>4564</v>
      </c>
      <c r="AJ173" s="2">
        <f t="shared" si="33"/>
        <v>824</v>
      </c>
      <c r="AK173" s="2">
        <f t="shared" si="34"/>
        <v>567</v>
      </c>
      <c r="AL173" s="2" t="str">
        <f t="shared" si="35"/>
        <v>-</v>
      </c>
      <c r="AM173" s="2" t="str">
        <f t="shared" si="36"/>
        <v>-</v>
      </c>
      <c r="AN173" s="2" t="str">
        <f t="shared" si="37"/>
        <v>-</v>
      </c>
      <c r="AO173" s="2" t="str">
        <f t="shared" si="38"/>
        <v>-</v>
      </c>
      <c r="AP173" s="2">
        <f t="shared" si="39"/>
        <v>2320</v>
      </c>
      <c r="AQ173" s="2">
        <f t="shared" si="40"/>
        <v>3479</v>
      </c>
      <c r="AR173" s="2">
        <f t="shared" si="41"/>
        <v>4274</v>
      </c>
      <c r="AS173" s="2">
        <f t="shared" si="42"/>
        <v>772</v>
      </c>
      <c r="AT173" s="2">
        <f t="shared" si="43"/>
        <v>531</v>
      </c>
      <c r="AU173" s="2" t="str">
        <f t="shared" si="44"/>
        <v>-</v>
      </c>
      <c r="AV173" s="2" t="str">
        <f t="shared" si="45"/>
        <v>-</v>
      </c>
      <c r="AW173" s="2" t="str">
        <f t="shared" si="46"/>
        <v>-</v>
      </c>
      <c r="AX173" s="2" t="str">
        <f t="shared" si="47"/>
        <v>-</v>
      </c>
    </row>
    <row r="174" ht="14.25" customHeight="1">
      <c r="A174" s="2" t="str">
        <f t="array" ref="A174">IFERROR(INDEX('Product Price'!A:A,SMALL('Product Price'!$D:$D,172)),"")</f>
        <v>realme Bundle 16 Pro+ 5G 12/512 GB &amp; realme Watch S5</v>
      </c>
      <c r="B174" s="2">
        <f t="array" ref="B174">IFERROR(INDEX('Product Price'!B:B,SMALL('Product Price'!$D:$D,172)),"")</f>
        <v>27998</v>
      </c>
      <c r="C174" s="2">
        <f t="array" ref="C174">IFERROR(INDEX('Product Price'!C:C,SMALL('Product Price'!$D:$D,172)),"")</f>
        <v>170</v>
      </c>
      <c r="D174" s="2">
        <f t="shared" si="1"/>
        <v>1900</v>
      </c>
      <c r="E174" s="2">
        <f t="shared" si="2"/>
        <v>29898</v>
      </c>
      <c r="F174" s="2">
        <f t="shared" si="3"/>
        <v>5600</v>
      </c>
      <c r="G174" s="2">
        <f t="shared" si="4"/>
        <v>22398</v>
      </c>
      <c r="H174" s="2">
        <f t="shared" si="5"/>
        <v>24298</v>
      </c>
      <c r="I174" s="2">
        <f t="shared" si="6"/>
        <v>4353</v>
      </c>
      <c r="J174" s="2">
        <f t="shared" si="7"/>
        <v>2996</v>
      </c>
      <c r="K174" s="2">
        <f t="shared" si="8"/>
        <v>2317</v>
      </c>
      <c r="L174" s="2">
        <f t="shared" si="9"/>
        <v>1910</v>
      </c>
      <c r="M174" s="2">
        <f t="shared" si="10"/>
        <v>1639</v>
      </c>
      <c r="N174" s="2">
        <f t="shared" si="11"/>
        <v>1299</v>
      </c>
      <c r="O174" s="2">
        <f t="shared" si="12"/>
        <v>7000</v>
      </c>
      <c r="P174" s="2">
        <f t="shared" si="13"/>
        <v>20998</v>
      </c>
      <c r="Q174" s="2">
        <f t="shared" si="14"/>
        <v>22898</v>
      </c>
      <c r="R174" s="2">
        <f t="shared" si="15"/>
        <v>4104</v>
      </c>
      <c r="S174" s="2">
        <f t="shared" si="16"/>
        <v>2824</v>
      </c>
      <c r="T174" s="2">
        <f t="shared" si="17"/>
        <v>2185</v>
      </c>
      <c r="U174" s="2">
        <f t="shared" si="18"/>
        <v>1801</v>
      </c>
      <c r="V174" s="2">
        <f t="shared" si="19"/>
        <v>1545</v>
      </c>
      <c r="W174" s="2">
        <f t="shared" si="20"/>
        <v>1225</v>
      </c>
      <c r="X174" s="2">
        <f t="shared" si="21"/>
        <v>8400</v>
      </c>
      <c r="Y174" s="2">
        <f t="shared" si="22"/>
        <v>19598</v>
      </c>
      <c r="Z174" s="2">
        <f t="shared" si="23"/>
        <v>21498</v>
      </c>
      <c r="AA174" s="2">
        <f t="shared" si="24"/>
        <v>3854</v>
      </c>
      <c r="AB174" s="2">
        <f t="shared" si="25"/>
        <v>2653</v>
      </c>
      <c r="AC174" s="2">
        <f t="shared" si="26"/>
        <v>2052</v>
      </c>
      <c r="AD174" s="2">
        <f t="shared" si="27"/>
        <v>1691</v>
      </c>
      <c r="AE174" s="2">
        <f t="shared" si="28"/>
        <v>1451</v>
      </c>
      <c r="AF174" s="2">
        <f t="shared" si="29"/>
        <v>1151</v>
      </c>
      <c r="AG174" s="2">
        <f t="shared" si="30"/>
        <v>9800</v>
      </c>
      <c r="AH174" s="2">
        <f t="shared" si="31"/>
        <v>18198</v>
      </c>
      <c r="AI174" s="2">
        <f t="shared" si="32"/>
        <v>20098</v>
      </c>
      <c r="AJ174" s="2">
        <f t="shared" si="33"/>
        <v>3605</v>
      </c>
      <c r="AK174" s="2">
        <f t="shared" si="34"/>
        <v>2481</v>
      </c>
      <c r="AL174" s="2">
        <f t="shared" si="35"/>
        <v>1919</v>
      </c>
      <c r="AM174" s="2">
        <f t="shared" si="36"/>
        <v>1582</v>
      </c>
      <c r="AN174" s="2">
        <f t="shared" si="37"/>
        <v>1357</v>
      </c>
      <c r="AO174" s="2">
        <f t="shared" si="38"/>
        <v>1076</v>
      </c>
      <c r="AP174" s="2">
        <f t="shared" si="39"/>
        <v>11200</v>
      </c>
      <c r="AQ174" s="2">
        <f t="shared" si="40"/>
        <v>16798</v>
      </c>
      <c r="AR174" s="2">
        <f t="shared" si="41"/>
        <v>18698</v>
      </c>
      <c r="AS174" s="2">
        <f t="shared" si="42"/>
        <v>3356</v>
      </c>
      <c r="AT174" s="2">
        <f t="shared" si="43"/>
        <v>2309</v>
      </c>
      <c r="AU174" s="2">
        <f t="shared" si="44"/>
        <v>1786</v>
      </c>
      <c r="AV174" s="2">
        <f t="shared" si="45"/>
        <v>1472</v>
      </c>
      <c r="AW174" s="2">
        <f t="shared" si="46"/>
        <v>1263</v>
      </c>
      <c r="AX174" s="2">
        <f t="shared" si="47"/>
        <v>1002</v>
      </c>
    </row>
    <row r="175" ht="14.25" customHeight="1">
      <c r="A175" s="2" t="str">
        <f t="array" ref="A175">IFERROR(INDEX('Product Price'!A:A,SMALL('Product Price'!$D:$D,173)),"")</f>
        <v>realme Bundle 16 Pro 5G 12/512 GB &amp; realme Watch S5</v>
      </c>
      <c r="B175" s="2">
        <f t="array" ref="B175">IFERROR(INDEX('Product Price'!B:B,SMALL('Product Price'!$D:$D,173)),"")</f>
        <v>22998</v>
      </c>
      <c r="C175" s="2">
        <f t="array" ref="C175">IFERROR(INDEX('Product Price'!C:C,SMALL('Product Price'!$D:$D,173)),"")</f>
        <v>171</v>
      </c>
      <c r="D175" s="2">
        <f t="shared" si="1"/>
        <v>1900</v>
      </c>
      <c r="E175" s="2">
        <f t="shared" si="2"/>
        <v>24898</v>
      </c>
      <c r="F175" s="2">
        <f t="shared" si="3"/>
        <v>4600</v>
      </c>
      <c r="G175" s="2">
        <f t="shared" si="4"/>
        <v>18398</v>
      </c>
      <c r="H175" s="2">
        <f t="shared" si="5"/>
        <v>20298</v>
      </c>
      <c r="I175" s="2">
        <f t="shared" si="6"/>
        <v>3641</v>
      </c>
      <c r="J175" s="2">
        <f t="shared" si="7"/>
        <v>2506</v>
      </c>
      <c r="K175" s="2">
        <f t="shared" si="8"/>
        <v>1938</v>
      </c>
      <c r="L175" s="2">
        <f t="shared" si="9"/>
        <v>1598</v>
      </c>
      <c r="M175" s="2">
        <f t="shared" si="10"/>
        <v>1371</v>
      </c>
      <c r="N175" s="2">
        <f t="shared" si="11"/>
        <v>1087</v>
      </c>
      <c r="O175" s="2">
        <f t="shared" si="12"/>
        <v>5750</v>
      </c>
      <c r="P175" s="2">
        <f t="shared" si="13"/>
        <v>17248</v>
      </c>
      <c r="Q175" s="2">
        <f t="shared" si="14"/>
        <v>19148</v>
      </c>
      <c r="R175" s="2">
        <f t="shared" si="15"/>
        <v>3436</v>
      </c>
      <c r="S175" s="2">
        <f t="shared" si="16"/>
        <v>2365</v>
      </c>
      <c r="T175" s="2">
        <f t="shared" si="17"/>
        <v>1829</v>
      </c>
      <c r="U175" s="2">
        <f t="shared" si="18"/>
        <v>1508</v>
      </c>
      <c r="V175" s="2">
        <f t="shared" si="19"/>
        <v>1293</v>
      </c>
      <c r="W175" s="2">
        <f t="shared" si="20"/>
        <v>1026</v>
      </c>
      <c r="X175" s="2">
        <f t="shared" si="21"/>
        <v>6900</v>
      </c>
      <c r="Y175" s="2">
        <f t="shared" si="22"/>
        <v>16098</v>
      </c>
      <c r="Z175" s="2">
        <f t="shared" si="23"/>
        <v>17998</v>
      </c>
      <c r="AA175" s="2">
        <f t="shared" si="24"/>
        <v>3231</v>
      </c>
      <c r="AB175" s="2">
        <f t="shared" si="25"/>
        <v>2224</v>
      </c>
      <c r="AC175" s="2">
        <f t="shared" si="26"/>
        <v>1720</v>
      </c>
      <c r="AD175" s="2">
        <f t="shared" si="27"/>
        <v>1418</v>
      </c>
      <c r="AE175" s="2">
        <f t="shared" si="28"/>
        <v>1216</v>
      </c>
      <c r="AF175" s="2">
        <f t="shared" si="29"/>
        <v>964</v>
      </c>
      <c r="AG175" s="2">
        <f t="shared" si="30"/>
        <v>8050</v>
      </c>
      <c r="AH175" s="2">
        <f t="shared" si="31"/>
        <v>14948</v>
      </c>
      <c r="AI175" s="2">
        <f t="shared" si="32"/>
        <v>16848</v>
      </c>
      <c r="AJ175" s="2">
        <f t="shared" si="33"/>
        <v>3026</v>
      </c>
      <c r="AK175" s="2">
        <f t="shared" si="34"/>
        <v>2083</v>
      </c>
      <c r="AL175" s="2">
        <f t="shared" si="35"/>
        <v>1611</v>
      </c>
      <c r="AM175" s="2">
        <f t="shared" si="36"/>
        <v>1328</v>
      </c>
      <c r="AN175" s="2">
        <f t="shared" si="37"/>
        <v>1139</v>
      </c>
      <c r="AO175" s="2">
        <f t="shared" si="38"/>
        <v>903</v>
      </c>
      <c r="AP175" s="2">
        <f t="shared" si="39"/>
        <v>9200</v>
      </c>
      <c r="AQ175" s="2">
        <f t="shared" si="40"/>
        <v>13798</v>
      </c>
      <c r="AR175" s="2">
        <f t="shared" si="41"/>
        <v>15698</v>
      </c>
      <c r="AS175" s="2">
        <f t="shared" si="42"/>
        <v>2821</v>
      </c>
      <c r="AT175" s="2">
        <f t="shared" si="43"/>
        <v>1942</v>
      </c>
      <c r="AU175" s="2">
        <f t="shared" si="44"/>
        <v>1502</v>
      </c>
      <c r="AV175" s="2">
        <f t="shared" si="45"/>
        <v>1238</v>
      </c>
      <c r="AW175" s="2">
        <f t="shared" si="46"/>
        <v>1062</v>
      </c>
      <c r="AX175" s="2">
        <f t="shared" si="47"/>
        <v>842</v>
      </c>
    </row>
    <row r="176" ht="14.25" customHeight="1">
      <c r="A176" s="2" t="str">
        <f t="array" ref="A176">IFERROR(INDEX('Product Price'!A:A,SMALL('Product Price'!$D:$D,174)),"")</f>
        <v>realme Bundle 16 5G 8/256 GB &amp; realme Watch S5</v>
      </c>
      <c r="B176" s="2">
        <f t="array" ref="B176">IFERROR(INDEX('Product Price'!B:B,SMALL('Product Price'!$D:$D,174)),"")</f>
        <v>17998</v>
      </c>
      <c r="C176" s="2">
        <f t="array" ref="C176">IFERROR(INDEX('Product Price'!C:C,SMALL('Product Price'!$D:$D,174)),"")</f>
        <v>172</v>
      </c>
      <c r="D176" s="2">
        <f t="shared" si="1"/>
        <v>1450</v>
      </c>
      <c r="E176" s="2">
        <f t="shared" si="2"/>
        <v>19448</v>
      </c>
      <c r="F176" s="2">
        <f t="shared" si="3"/>
        <v>3600</v>
      </c>
      <c r="G176" s="2">
        <f t="shared" si="4"/>
        <v>14398</v>
      </c>
      <c r="H176" s="2">
        <f t="shared" si="5"/>
        <v>15848</v>
      </c>
      <c r="I176" s="2">
        <f t="shared" si="6"/>
        <v>2842</v>
      </c>
      <c r="J176" s="2">
        <f t="shared" si="7"/>
        <v>1956</v>
      </c>
      <c r="K176" s="2">
        <f t="shared" si="8"/>
        <v>1513</v>
      </c>
      <c r="L176" s="2">
        <f t="shared" si="9"/>
        <v>1247</v>
      </c>
      <c r="M176" s="2">
        <f t="shared" si="10"/>
        <v>1070</v>
      </c>
      <c r="N176" s="2">
        <f t="shared" si="11"/>
        <v>848</v>
      </c>
      <c r="O176" s="2">
        <f t="shared" si="12"/>
        <v>4500</v>
      </c>
      <c r="P176" s="2">
        <f t="shared" si="13"/>
        <v>13498</v>
      </c>
      <c r="Q176" s="2">
        <f t="shared" si="14"/>
        <v>14948</v>
      </c>
      <c r="R176" s="2">
        <f t="shared" si="15"/>
        <v>2682</v>
      </c>
      <c r="S176" s="2">
        <f t="shared" si="16"/>
        <v>1846</v>
      </c>
      <c r="T176" s="2">
        <f t="shared" si="17"/>
        <v>1428</v>
      </c>
      <c r="U176" s="2">
        <f t="shared" si="18"/>
        <v>1177</v>
      </c>
      <c r="V176" s="2">
        <f t="shared" si="19"/>
        <v>1010</v>
      </c>
      <c r="W176" s="2">
        <f t="shared" si="20"/>
        <v>801</v>
      </c>
      <c r="X176" s="2">
        <f t="shared" si="21"/>
        <v>5400</v>
      </c>
      <c r="Y176" s="2">
        <f t="shared" si="22"/>
        <v>12598</v>
      </c>
      <c r="Z176" s="2">
        <f t="shared" si="23"/>
        <v>14048</v>
      </c>
      <c r="AA176" s="2">
        <f t="shared" si="24"/>
        <v>2521</v>
      </c>
      <c r="AB176" s="2">
        <f t="shared" si="25"/>
        <v>1735</v>
      </c>
      <c r="AC176" s="2">
        <f t="shared" si="26"/>
        <v>1342</v>
      </c>
      <c r="AD176" s="2">
        <f t="shared" si="27"/>
        <v>1107</v>
      </c>
      <c r="AE176" s="2">
        <f t="shared" si="28"/>
        <v>949</v>
      </c>
      <c r="AF176" s="2">
        <f t="shared" si="29"/>
        <v>753</v>
      </c>
      <c r="AG176" s="2">
        <f t="shared" si="30"/>
        <v>6300</v>
      </c>
      <c r="AH176" s="2">
        <f t="shared" si="31"/>
        <v>11698</v>
      </c>
      <c r="AI176" s="2">
        <f t="shared" si="32"/>
        <v>13148</v>
      </c>
      <c r="AJ176" s="2">
        <f t="shared" si="33"/>
        <v>2361</v>
      </c>
      <c r="AK176" s="2">
        <f t="shared" si="34"/>
        <v>1625</v>
      </c>
      <c r="AL176" s="2">
        <f t="shared" si="35"/>
        <v>1257</v>
      </c>
      <c r="AM176" s="2">
        <f t="shared" si="36"/>
        <v>1036</v>
      </c>
      <c r="AN176" s="2">
        <f t="shared" si="37"/>
        <v>889</v>
      </c>
      <c r="AO176" s="2">
        <f t="shared" si="38"/>
        <v>705</v>
      </c>
      <c r="AP176" s="2">
        <f t="shared" si="39"/>
        <v>7200</v>
      </c>
      <c r="AQ176" s="2">
        <f t="shared" si="40"/>
        <v>10798</v>
      </c>
      <c r="AR176" s="2">
        <f t="shared" si="41"/>
        <v>12248</v>
      </c>
      <c r="AS176" s="2">
        <f t="shared" si="42"/>
        <v>2201</v>
      </c>
      <c r="AT176" s="2">
        <f t="shared" si="43"/>
        <v>1515</v>
      </c>
      <c r="AU176" s="2">
        <f t="shared" si="44"/>
        <v>1172</v>
      </c>
      <c r="AV176" s="2">
        <f t="shared" si="45"/>
        <v>966</v>
      </c>
      <c r="AW176" s="2">
        <f t="shared" si="46"/>
        <v>829</v>
      </c>
      <c r="AX176" s="2">
        <f t="shared" si="47"/>
        <v>657</v>
      </c>
    </row>
    <row r="177" ht="14.25" customHeight="1">
      <c r="A177" s="2" t="str">
        <f t="array" ref="A177">IFERROR(INDEX('Product Price'!A:A,SMALL('Product Price'!$D:$D,175)),"")</f>
        <v>realme Bundle C100 5G 6/128 GB &amp; realme Watch S5</v>
      </c>
      <c r="B177" s="2">
        <f t="array" ref="B177">IFERROR(INDEX('Product Price'!B:B,SMALL('Product Price'!$D:$D,175)),"")</f>
        <v>12498</v>
      </c>
      <c r="C177" s="2">
        <f t="array" ref="C177">IFERROR(INDEX('Product Price'!C:C,SMALL('Product Price'!$D:$D,175)),"")</f>
        <v>183</v>
      </c>
      <c r="D177" s="2">
        <f t="shared" si="1"/>
        <v>1450</v>
      </c>
      <c r="E177" s="2">
        <f t="shared" si="2"/>
        <v>13948</v>
      </c>
      <c r="F177" s="2">
        <f t="shared" si="3"/>
        <v>2500</v>
      </c>
      <c r="G177" s="2">
        <f t="shared" si="4"/>
        <v>9998</v>
      </c>
      <c r="H177" s="2">
        <f t="shared" si="5"/>
        <v>11448</v>
      </c>
      <c r="I177" s="2">
        <f t="shared" si="6"/>
        <v>2058</v>
      </c>
      <c r="J177" s="2">
        <f t="shared" si="7"/>
        <v>1417</v>
      </c>
      <c r="K177" s="2">
        <f t="shared" si="8"/>
        <v>1096</v>
      </c>
      <c r="L177" s="2">
        <f t="shared" si="9"/>
        <v>903</v>
      </c>
      <c r="M177" s="2">
        <f t="shared" si="10"/>
        <v>775</v>
      </c>
      <c r="N177" s="2">
        <f t="shared" si="11"/>
        <v>615</v>
      </c>
      <c r="O177" s="2">
        <f t="shared" si="12"/>
        <v>3125</v>
      </c>
      <c r="P177" s="2">
        <f t="shared" si="13"/>
        <v>9373</v>
      </c>
      <c r="Q177" s="2">
        <f t="shared" si="14"/>
        <v>10823</v>
      </c>
      <c r="R177" s="2">
        <f t="shared" si="15"/>
        <v>1947</v>
      </c>
      <c r="S177" s="2">
        <f t="shared" si="16"/>
        <v>1340</v>
      </c>
      <c r="T177" s="2">
        <f t="shared" si="17"/>
        <v>1037</v>
      </c>
      <c r="U177" s="2">
        <f t="shared" si="18"/>
        <v>854</v>
      </c>
      <c r="V177" s="2">
        <f t="shared" si="19"/>
        <v>733</v>
      </c>
      <c r="W177" s="2">
        <f t="shared" si="20"/>
        <v>581</v>
      </c>
      <c r="X177" s="2">
        <f t="shared" si="21"/>
        <v>3750</v>
      </c>
      <c r="Y177" s="2">
        <f t="shared" si="22"/>
        <v>8748</v>
      </c>
      <c r="Z177" s="2">
        <f t="shared" si="23"/>
        <v>10198</v>
      </c>
      <c r="AA177" s="2">
        <f t="shared" si="24"/>
        <v>1836</v>
      </c>
      <c r="AB177" s="2">
        <f t="shared" si="25"/>
        <v>1263</v>
      </c>
      <c r="AC177" s="2">
        <f t="shared" si="26"/>
        <v>977</v>
      </c>
      <c r="AD177" s="2">
        <f t="shared" si="27"/>
        <v>806</v>
      </c>
      <c r="AE177" s="2">
        <f t="shared" si="28"/>
        <v>691</v>
      </c>
      <c r="AF177" s="2">
        <f t="shared" si="29"/>
        <v>548</v>
      </c>
      <c r="AG177" s="2">
        <f t="shared" si="30"/>
        <v>4375</v>
      </c>
      <c r="AH177" s="2">
        <f t="shared" si="31"/>
        <v>8123</v>
      </c>
      <c r="AI177" s="2">
        <f t="shared" si="32"/>
        <v>9573</v>
      </c>
      <c r="AJ177" s="2">
        <f t="shared" si="33"/>
        <v>1724</v>
      </c>
      <c r="AK177" s="2">
        <f t="shared" si="34"/>
        <v>1187</v>
      </c>
      <c r="AL177" s="2">
        <f t="shared" si="35"/>
        <v>918</v>
      </c>
      <c r="AM177" s="2">
        <f t="shared" si="36"/>
        <v>757</v>
      </c>
      <c r="AN177" s="2">
        <f t="shared" si="37"/>
        <v>649</v>
      </c>
      <c r="AO177" s="2">
        <f t="shared" si="38"/>
        <v>515</v>
      </c>
      <c r="AP177" s="2">
        <f t="shared" si="39"/>
        <v>5000</v>
      </c>
      <c r="AQ177" s="2">
        <f t="shared" si="40"/>
        <v>7498</v>
      </c>
      <c r="AR177" s="2">
        <f t="shared" si="41"/>
        <v>8948</v>
      </c>
      <c r="AS177" s="2">
        <f t="shared" si="42"/>
        <v>1613</v>
      </c>
      <c r="AT177" s="2">
        <f t="shared" si="43"/>
        <v>1110</v>
      </c>
      <c r="AU177" s="2">
        <f t="shared" si="44"/>
        <v>859</v>
      </c>
      <c r="AV177" s="2">
        <f t="shared" si="45"/>
        <v>708</v>
      </c>
      <c r="AW177" s="2">
        <f t="shared" si="46"/>
        <v>607</v>
      </c>
      <c r="AX177" s="2" t="str">
        <f t="shared" si="47"/>
        <v>-</v>
      </c>
    </row>
    <row r="178" ht="14.25" customHeight="1">
      <c r="A178" s="2" t="str">
        <f t="array" ref="A178">IFERROR(INDEX('Product Price'!A:A,SMALL('Product Price'!$D:$D,176)),"")</f>
        <v>realme Bundle C100 5G 4/128 GB &amp; realme Watch S5</v>
      </c>
      <c r="B178" s="2">
        <f t="array" ref="B178">IFERROR(INDEX('Product Price'!B:B,SMALL('Product Price'!$D:$D,176)),"")</f>
        <v>11998</v>
      </c>
      <c r="C178" s="2">
        <f t="array" ref="C178">IFERROR(INDEX('Product Price'!C:C,SMALL('Product Price'!$D:$D,176)),"")</f>
        <v>184</v>
      </c>
      <c r="D178" s="2">
        <f t="shared" si="1"/>
        <v>1450</v>
      </c>
      <c r="E178" s="2">
        <f t="shared" si="2"/>
        <v>13448</v>
      </c>
      <c r="F178" s="2">
        <f t="shared" si="3"/>
        <v>2400</v>
      </c>
      <c r="G178" s="2">
        <f t="shared" si="4"/>
        <v>9598</v>
      </c>
      <c r="H178" s="2">
        <f t="shared" si="5"/>
        <v>11048</v>
      </c>
      <c r="I178" s="2">
        <f t="shared" si="6"/>
        <v>1987</v>
      </c>
      <c r="J178" s="2">
        <f t="shared" si="7"/>
        <v>1368</v>
      </c>
      <c r="K178" s="2">
        <f t="shared" si="8"/>
        <v>1058</v>
      </c>
      <c r="L178" s="2">
        <f t="shared" si="9"/>
        <v>872</v>
      </c>
      <c r="M178" s="2">
        <f t="shared" si="10"/>
        <v>748</v>
      </c>
      <c r="N178" s="2">
        <f t="shared" si="11"/>
        <v>593</v>
      </c>
      <c r="O178" s="2">
        <f t="shared" si="12"/>
        <v>3000</v>
      </c>
      <c r="P178" s="2">
        <f t="shared" si="13"/>
        <v>8998</v>
      </c>
      <c r="Q178" s="2">
        <f t="shared" si="14"/>
        <v>10448</v>
      </c>
      <c r="R178" s="2">
        <f t="shared" si="15"/>
        <v>1880</v>
      </c>
      <c r="S178" s="2">
        <f t="shared" si="16"/>
        <v>1294</v>
      </c>
      <c r="T178" s="2">
        <f t="shared" si="17"/>
        <v>1001</v>
      </c>
      <c r="U178" s="2">
        <f t="shared" si="18"/>
        <v>825</v>
      </c>
      <c r="V178" s="2">
        <f t="shared" si="19"/>
        <v>708</v>
      </c>
      <c r="W178" s="2">
        <f t="shared" si="20"/>
        <v>561</v>
      </c>
      <c r="X178" s="2">
        <f t="shared" si="21"/>
        <v>3600</v>
      </c>
      <c r="Y178" s="2">
        <f t="shared" si="22"/>
        <v>8398</v>
      </c>
      <c r="Z178" s="2">
        <f t="shared" si="23"/>
        <v>9848</v>
      </c>
      <c r="AA178" s="2">
        <f t="shared" si="24"/>
        <v>1773</v>
      </c>
      <c r="AB178" s="2">
        <f t="shared" si="25"/>
        <v>1220</v>
      </c>
      <c r="AC178" s="2">
        <f t="shared" si="26"/>
        <v>944</v>
      </c>
      <c r="AD178" s="2">
        <f t="shared" si="27"/>
        <v>778</v>
      </c>
      <c r="AE178" s="2">
        <f t="shared" si="28"/>
        <v>668</v>
      </c>
      <c r="AF178" s="2">
        <f t="shared" si="29"/>
        <v>529</v>
      </c>
      <c r="AG178" s="2">
        <f t="shared" si="30"/>
        <v>4200</v>
      </c>
      <c r="AH178" s="2">
        <f t="shared" si="31"/>
        <v>7798</v>
      </c>
      <c r="AI178" s="2">
        <f t="shared" si="32"/>
        <v>9248</v>
      </c>
      <c r="AJ178" s="2">
        <f t="shared" si="33"/>
        <v>1666</v>
      </c>
      <c r="AK178" s="2">
        <f t="shared" si="34"/>
        <v>1147</v>
      </c>
      <c r="AL178" s="2">
        <f t="shared" si="35"/>
        <v>887</v>
      </c>
      <c r="AM178" s="2">
        <f t="shared" si="36"/>
        <v>731</v>
      </c>
      <c r="AN178" s="2">
        <f t="shared" si="37"/>
        <v>627</v>
      </c>
      <c r="AO178" s="2">
        <f t="shared" si="38"/>
        <v>498</v>
      </c>
      <c r="AP178" s="2">
        <f t="shared" si="39"/>
        <v>4800</v>
      </c>
      <c r="AQ178" s="2">
        <f t="shared" si="40"/>
        <v>7198</v>
      </c>
      <c r="AR178" s="2">
        <f t="shared" si="41"/>
        <v>8648</v>
      </c>
      <c r="AS178" s="2">
        <f t="shared" si="42"/>
        <v>1559</v>
      </c>
      <c r="AT178" s="2">
        <f t="shared" si="43"/>
        <v>1073</v>
      </c>
      <c r="AU178" s="2">
        <f t="shared" si="44"/>
        <v>830</v>
      </c>
      <c r="AV178" s="2">
        <f t="shared" si="45"/>
        <v>684</v>
      </c>
      <c r="AW178" s="2">
        <f t="shared" si="46"/>
        <v>587</v>
      </c>
      <c r="AX178" s="2" t="str">
        <f t="shared" si="47"/>
        <v>-</v>
      </c>
    </row>
    <row r="179" ht="14.25" customHeight="1">
      <c r="A179" s="2" t="str">
        <f t="array" ref="A179">IFERROR(INDEX('Product Price'!A:A,SMALL('Product Price'!$D:$D,177)),"")</f>
        <v>OPPO Find N6 16/512 GB</v>
      </c>
      <c r="B179" s="2">
        <f t="array" ref="B179">IFERROR(INDEX('Product Price'!B:B,SMALL('Product Price'!$D:$D,177)),"")</f>
        <v>79999</v>
      </c>
      <c r="C179" s="2">
        <f t="array" ref="C179">IFERROR(INDEX('Product Price'!C:C,SMALL('Product Price'!$D:$D,177)),"")</f>
        <v>185</v>
      </c>
      <c r="D179" s="2">
        <f t="shared" si="1"/>
        <v>4025</v>
      </c>
      <c r="E179" s="2">
        <f t="shared" si="2"/>
        <v>84024</v>
      </c>
      <c r="F179" s="2">
        <f t="shared" si="3"/>
        <v>16000</v>
      </c>
      <c r="G179" s="2">
        <f t="shared" si="4"/>
        <v>63999</v>
      </c>
      <c r="H179" s="2">
        <f t="shared" si="5"/>
        <v>68024</v>
      </c>
      <c r="I179" s="2">
        <f t="shared" si="6"/>
        <v>12170</v>
      </c>
      <c r="J179" s="2">
        <f t="shared" si="7"/>
        <v>8376</v>
      </c>
      <c r="K179" s="2">
        <f t="shared" si="8"/>
        <v>6478</v>
      </c>
      <c r="L179" s="2">
        <f t="shared" si="9"/>
        <v>5340</v>
      </c>
      <c r="M179" s="2">
        <f t="shared" si="10"/>
        <v>4581</v>
      </c>
      <c r="N179" s="2">
        <f t="shared" si="11"/>
        <v>3632</v>
      </c>
      <c r="O179" s="2">
        <f t="shared" si="12"/>
        <v>20000</v>
      </c>
      <c r="P179" s="2">
        <f t="shared" si="13"/>
        <v>59999</v>
      </c>
      <c r="Q179" s="2">
        <f t="shared" si="14"/>
        <v>64024</v>
      </c>
      <c r="R179" s="2">
        <f t="shared" si="15"/>
        <v>11458</v>
      </c>
      <c r="S179" s="2">
        <f t="shared" si="16"/>
        <v>7885</v>
      </c>
      <c r="T179" s="2">
        <f t="shared" si="17"/>
        <v>6099</v>
      </c>
      <c r="U179" s="2">
        <f t="shared" si="18"/>
        <v>5027</v>
      </c>
      <c r="V179" s="2">
        <f t="shared" si="19"/>
        <v>4313</v>
      </c>
      <c r="W179" s="2">
        <f t="shared" si="20"/>
        <v>3419</v>
      </c>
      <c r="X179" s="2">
        <f t="shared" si="21"/>
        <v>24000</v>
      </c>
      <c r="Y179" s="2">
        <f t="shared" si="22"/>
        <v>55999</v>
      </c>
      <c r="Z179" s="2">
        <f t="shared" si="23"/>
        <v>60024</v>
      </c>
      <c r="AA179" s="2">
        <f t="shared" si="24"/>
        <v>10745</v>
      </c>
      <c r="AB179" s="2">
        <f t="shared" si="25"/>
        <v>7395</v>
      </c>
      <c r="AC179" s="2">
        <f t="shared" si="26"/>
        <v>5719</v>
      </c>
      <c r="AD179" s="2">
        <f t="shared" si="27"/>
        <v>4714</v>
      </c>
      <c r="AE179" s="2">
        <f t="shared" si="28"/>
        <v>4044</v>
      </c>
      <c r="AF179" s="2">
        <f t="shared" si="29"/>
        <v>3207</v>
      </c>
      <c r="AG179" s="2">
        <f t="shared" si="30"/>
        <v>28000</v>
      </c>
      <c r="AH179" s="2">
        <f t="shared" si="31"/>
        <v>51999</v>
      </c>
      <c r="AI179" s="2">
        <f t="shared" si="32"/>
        <v>56024</v>
      </c>
      <c r="AJ179" s="2">
        <f t="shared" si="33"/>
        <v>10032</v>
      </c>
      <c r="AK179" s="2">
        <f t="shared" si="34"/>
        <v>6904</v>
      </c>
      <c r="AL179" s="2">
        <f t="shared" si="35"/>
        <v>5340</v>
      </c>
      <c r="AM179" s="2">
        <f t="shared" si="36"/>
        <v>4402</v>
      </c>
      <c r="AN179" s="2">
        <f t="shared" si="37"/>
        <v>3776</v>
      </c>
      <c r="AO179" s="2">
        <f t="shared" si="38"/>
        <v>2994</v>
      </c>
      <c r="AP179" s="2">
        <f t="shared" si="39"/>
        <v>32000</v>
      </c>
      <c r="AQ179" s="2">
        <f t="shared" si="40"/>
        <v>47999</v>
      </c>
      <c r="AR179" s="2">
        <f t="shared" si="41"/>
        <v>52024</v>
      </c>
      <c r="AS179" s="2">
        <f t="shared" si="42"/>
        <v>9320</v>
      </c>
      <c r="AT179" s="2">
        <f t="shared" si="43"/>
        <v>6414</v>
      </c>
      <c r="AU179" s="2">
        <f t="shared" si="44"/>
        <v>4961</v>
      </c>
      <c r="AV179" s="2">
        <f t="shared" si="45"/>
        <v>4089</v>
      </c>
      <c r="AW179" s="2">
        <f t="shared" si="46"/>
        <v>3508</v>
      </c>
      <c r="AX179" s="2">
        <f t="shared" si="47"/>
        <v>2781</v>
      </c>
    </row>
    <row r="180" ht="14.25" customHeight="1">
      <c r="A180" s="2" t="str">
        <f t="array" ref="A180">IFERROR(INDEX('Product Price'!A:A,SMALL('Product Price'!$D:$D,178)),"")</f>
        <v>OPPO Find X9 Ultra 16/1TB</v>
      </c>
      <c r="B180" s="2">
        <f t="array" ref="B180">IFERROR(INDEX('Product Price'!B:B,SMALL('Product Price'!$D:$D,178)),"")</f>
        <v>69999</v>
      </c>
      <c r="C180" s="2">
        <f t="array" ref="C180">IFERROR(INDEX('Product Price'!C:C,SMALL('Product Price'!$D:$D,178)),"")</f>
        <v>186</v>
      </c>
      <c r="D180" s="2">
        <f t="shared" si="1"/>
        <v>4025</v>
      </c>
      <c r="E180" s="2">
        <f t="shared" si="2"/>
        <v>74024</v>
      </c>
      <c r="F180" s="2">
        <f t="shared" si="3"/>
        <v>14000</v>
      </c>
      <c r="G180" s="2">
        <f t="shared" si="4"/>
        <v>55999</v>
      </c>
      <c r="H180" s="2">
        <f t="shared" si="5"/>
        <v>60024</v>
      </c>
      <c r="I180" s="2">
        <f t="shared" si="6"/>
        <v>10745</v>
      </c>
      <c r="J180" s="2">
        <f t="shared" si="7"/>
        <v>7395</v>
      </c>
      <c r="K180" s="2">
        <f t="shared" si="8"/>
        <v>5719</v>
      </c>
      <c r="L180" s="2">
        <f t="shared" si="9"/>
        <v>4714</v>
      </c>
      <c r="M180" s="2">
        <f t="shared" si="10"/>
        <v>4044</v>
      </c>
      <c r="N180" s="2">
        <f t="shared" si="11"/>
        <v>3207</v>
      </c>
      <c r="O180" s="2">
        <f t="shared" si="12"/>
        <v>17500</v>
      </c>
      <c r="P180" s="2">
        <f t="shared" si="13"/>
        <v>52499</v>
      </c>
      <c r="Q180" s="2">
        <f t="shared" si="14"/>
        <v>56524</v>
      </c>
      <c r="R180" s="2">
        <f t="shared" si="15"/>
        <v>10121</v>
      </c>
      <c r="S180" s="2">
        <f t="shared" si="16"/>
        <v>6966</v>
      </c>
      <c r="T180" s="2">
        <f t="shared" si="17"/>
        <v>5388</v>
      </c>
      <c r="U180" s="2">
        <f t="shared" si="18"/>
        <v>4441</v>
      </c>
      <c r="V180" s="2">
        <f t="shared" si="19"/>
        <v>3810</v>
      </c>
      <c r="W180" s="2">
        <f t="shared" si="20"/>
        <v>3021</v>
      </c>
      <c r="X180" s="2">
        <f t="shared" si="21"/>
        <v>21000</v>
      </c>
      <c r="Y180" s="2">
        <f t="shared" si="22"/>
        <v>48999</v>
      </c>
      <c r="Z180" s="2">
        <f t="shared" si="23"/>
        <v>53024</v>
      </c>
      <c r="AA180" s="2">
        <f t="shared" si="24"/>
        <v>9498</v>
      </c>
      <c r="AB180" s="2">
        <f t="shared" si="25"/>
        <v>6536</v>
      </c>
      <c r="AC180" s="2">
        <f t="shared" si="26"/>
        <v>5056</v>
      </c>
      <c r="AD180" s="2">
        <f t="shared" si="27"/>
        <v>4167</v>
      </c>
      <c r="AE180" s="2">
        <f t="shared" si="28"/>
        <v>3575</v>
      </c>
      <c r="AF180" s="2">
        <f t="shared" si="29"/>
        <v>2835</v>
      </c>
      <c r="AG180" s="2">
        <f t="shared" si="30"/>
        <v>24500</v>
      </c>
      <c r="AH180" s="2">
        <f t="shared" si="31"/>
        <v>45499</v>
      </c>
      <c r="AI180" s="2">
        <f t="shared" si="32"/>
        <v>49524</v>
      </c>
      <c r="AJ180" s="2">
        <f t="shared" si="33"/>
        <v>8874</v>
      </c>
      <c r="AK180" s="2">
        <f t="shared" si="34"/>
        <v>6107</v>
      </c>
      <c r="AL180" s="2">
        <f t="shared" si="35"/>
        <v>4724</v>
      </c>
      <c r="AM180" s="2">
        <f t="shared" si="36"/>
        <v>3894</v>
      </c>
      <c r="AN180" s="2">
        <f t="shared" si="37"/>
        <v>3340</v>
      </c>
      <c r="AO180" s="2">
        <f t="shared" si="38"/>
        <v>2649</v>
      </c>
      <c r="AP180" s="2">
        <f t="shared" si="39"/>
        <v>28000</v>
      </c>
      <c r="AQ180" s="2">
        <f t="shared" si="40"/>
        <v>41999</v>
      </c>
      <c r="AR180" s="2">
        <f t="shared" si="41"/>
        <v>46024</v>
      </c>
      <c r="AS180" s="2">
        <f t="shared" si="42"/>
        <v>8251</v>
      </c>
      <c r="AT180" s="2">
        <f t="shared" si="43"/>
        <v>5678</v>
      </c>
      <c r="AU180" s="2">
        <f t="shared" si="44"/>
        <v>4392</v>
      </c>
      <c r="AV180" s="2">
        <f t="shared" si="45"/>
        <v>3620</v>
      </c>
      <c r="AW180" s="2">
        <f t="shared" si="46"/>
        <v>3106</v>
      </c>
      <c r="AX180" s="2">
        <f t="shared" si="47"/>
        <v>2462</v>
      </c>
    </row>
    <row r="181" ht="14.25" customHeight="1">
      <c r="A181" s="2" t="str">
        <f t="array" ref="A181">IFERROR(INDEX('Product Price'!A:A,SMALL('Product Price'!$D:$D,179)),"")</f>
        <v>OPPO Find X9 Ultra 12/512 GB</v>
      </c>
      <c r="B181" s="2">
        <f t="array" ref="B181">IFERROR(INDEX('Product Price'!B:B,SMALL('Product Price'!$D:$D,179)),"")</f>
        <v>54999</v>
      </c>
      <c r="C181" s="2">
        <f t="array" ref="C181">IFERROR(INDEX('Product Price'!C:C,SMALL('Product Price'!$D:$D,179)),"")</f>
        <v>187</v>
      </c>
      <c r="D181" s="2">
        <f t="shared" si="1"/>
        <v>2475</v>
      </c>
      <c r="E181" s="2">
        <f t="shared" si="2"/>
        <v>57474</v>
      </c>
      <c r="F181" s="2">
        <f t="shared" si="3"/>
        <v>11000</v>
      </c>
      <c r="G181" s="2">
        <f t="shared" si="4"/>
        <v>43999</v>
      </c>
      <c r="H181" s="2">
        <f t="shared" si="5"/>
        <v>46474</v>
      </c>
      <c r="I181" s="2">
        <f t="shared" si="6"/>
        <v>8311</v>
      </c>
      <c r="J181" s="2">
        <f t="shared" si="7"/>
        <v>5720</v>
      </c>
      <c r="K181" s="2">
        <f t="shared" si="8"/>
        <v>4424</v>
      </c>
      <c r="L181" s="2">
        <f t="shared" si="9"/>
        <v>3647</v>
      </c>
      <c r="M181" s="2">
        <f t="shared" si="10"/>
        <v>3128</v>
      </c>
      <c r="N181" s="2">
        <f t="shared" si="11"/>
        <v>2481</v>
      </c>
      <c r="O181" s="2">
        <f t="shared" si="12"/>
        <v>13750</v>
      </c>
      <c r="P181" s="2">
        <f t="shared" si="13"/>
        <v>41249</v>
      </c>
      <c r="Q181" s="2">
        <f t="shared" si="14"/>
        <v>43724</v>
      </c>
      <c r="R181" s="2">
        <f t="shared" si="15"/>
        <v>7822</v>
      </c>
      <c r="S181" s="2">
        <f t="shared" si="16"/>
        <v>5383</v>
      </c>
      <c r="T181" s="2">
        <f t="shared" si="17"/>
        <v>4163</v>
      </c>
      <c r="U181" s="2">
        <f t="shared" si="18"/>
        <v>3432</v>
      </c>
      <c r="V181" s="2">
        <f t="shared" si="19"/>
        <v>2944</v>
      </c>
      <c r="W181" s="2">
        <f t="shared" si="20"/>
        <v>2334</v>
      </c>
      <c r="X181" s="2">
        <f t="shared" si="21"/>
        <v>16500</v>
      </c>
      <c r="Y181" s="2">
        <f t="shared" si="22"/>
        <v>38499</v>
      </c>
      <c r="Z181" s="2">
        <f t="shared" si="23"/>
        <v>40974</v>
      </c>
      <c r="AA181" s="2">
        <f t="shared" si="24"/>
        <v>7332</v>
      </c>
      <c r="AB181" s="2">
        <f t="shared" si="25"/>
        <v>5046</v>
      </c>
      <c r="AC181" s="2">
        <f t="shared" si="26"/>
        <v>3903</v>
      </c>
      <c r="AD181" s="2">
        <f t="shared" si="27"/>
        <v>3217</v>
      </c>
      <c r="AE181" s="2">
        <f t="shared" si="28"/>
        <v>2760</v>
      </c>
      <c r="AF181" s="2">
        <f t="shared" si="29"/>
        <v>2188</v>
      </c>
      <c r="AG181" s="2">
        <f t="shared" si="30"/>
        <v>19250</v>
      </c>
      <c r="AH181" s="2">
        <f t="shared" si="31"/>
        <v>35749</v>
      </c>
      <c r="AI181" s="2">
        <f t="shared" si="32"/>
        <v>38224</v>
      </c>
      <c r="AJ181" s="2">
        <f t="shared" si="33"/>
        <v>6842</v>
      </c>
      <c r="AK181" s="2">
        <f t="shared" si="34"/>
        <v>4708</v>
      </c>
      <c r="AL181" s="2">
        <f t="shared" si="35"/>
        <v>3642</v>
      </c>
      <c r="AM181" s="2">
        <f t="shared" si="36"/>
        <v>3002</v>
      </c>
      <c r="AN181" s="2">
        <f t="shared" si="37"/>
        <v>2575</v>
      </c>
      <c r="AO181" s="2">
        <f t="shared" si="38"/>
        <v>2042</v>
      </c>
      <c r="AP181" s="2">
        <f t="shared" si="39"/>
        <v>22000</v>
      </c>
      <c r="AQ181" s="2">
        <f t="shared" si="40"/>
        <v>32999</v>
      </c>
      <c r="AR181" s="2">
        <f t="shared" si="41"/>
        <v>35474</v>
      </c>
      <c r="AS181" s="2">
        <f t="shared" si="42"/>
        <v>6352</v>
      </c>
      <c r="AT181" s="2">
        <f t="shared" si="43"/>
        <v>4371</v>
      </c>
      <c r="AU181" s="2">
        <f t="shared" si="44"/>
        <v>3381</v>
      </c>
      <c r="AV181" s="2">
        <f t="shared" si="45"/>
        <v>2787</v>
      </c>
      <c r="AW181" s="2">
        <f t="shared" si="46"/>
        <v>2391</v>
      </c>
      <c r="AX181" s="2">
        <f t="shared" si="47"/>
        <v>1896</v>
      </c>
    </row>
    <row r="182" ht="14.25" customHeight="1">
      <c r="A182" s="2" t="str">
        <f t="array" ref="A182">IFERROR(INDEX('Product Price'!A:A,SMALL('Product Price'!$D:$D,180)),"")</f>
        <v>OPPO Find X9s 12/512 GB</v>
      </c>
      <c r="B182" s="2">
        <f t="array" ref="B182">IFERROR(INDEX('Product Price'!B:B,SMALL('Product Price'!$D:$D,180)),"")</f>
        <v>34999</v>
      </c>
      <c r="C182" s="2">
        <f t="array" ref="C182">IFERROR(INDEX('Product Price'!C:C,SMALL('Product Price'!$D:$D,180)),"")</f>
        <v>188</v>
      </c>
      <c r="D182" s="2">
        <f t="shared" si="1"/>
        <v>1900</v>
      </c>
      <c r="E182" s="2">
        <f t="shared" si="2"/>
        <v>36899</v>
      </c>
      <c r="F182" s="2">
        <f t="shared" si="3"/>
        <v>7000</v>
      </c>
      <c r="G182" s="2">
        <f t="shared" si="4"/>
        <v>27999</v>
      </c>
      <c r="H182" s="2">
        <f t="shared" si="5"/>
        <v>29899</v>
      </c>
      <c r="I182" s="2">
        <f t="shared" si="6"/>
        <v>5351</v>
      </c>
      <c r="J182" s="2">
        <f t="shared" si="7"/>
        <v>3683</v>
      </c>
      <c r="K182" s="2">
        <f t="shared" si="8"/>
        <v>2849</v>
      </c>
      <c r="L182" s="2">
        <f t="shared" si="9"/>
        <v>2348</v>
      </c>
      <c r="M182" s="2">
        <f t="shared" si="10"/>
        <v>2014</v>
      </c>
      <c r="N182" s="2">
        <f t="shared" si="11"/>
        <v>1597</v>
      </c>
      <c r="O182" s="2">
        <f t="shared" si="12"/>
        <v>8750</v>
      </c>
      <c r="P182" s="2">
        <f t="shared" si="13"/>
        <v>26249</v>
      </c>
      <c r="Q182" s="2">
        <f t="shared" si="14"/>
        <v>28149</v>
      </c>
      <c r="R182" s="2">
        <f t="shared" si="15"/>
        <v>5039</v>
      </c>
      <c r="S182" s="2">
        <f t="shared" si="16"/>
        <v>3468</v>
      </c>
      <c r="T182" s="2">
        <f t="shared" si="17"/>
        <v>2683</v>
      </c>
      <c r="U182" s="2">
        <f t="shared" si="18"/>
        <v>2211</v>
      </c>
      <c r="V182" s="2">
        <f t="shared" si="19"/>
        <v>1897</v>
      </c>
      <c r="W182" s="2">
        <f t="shared" si="20"/>
        <v>1504</v>
      </c>
      <c r="X182" s="2">
        <f t="shared" si="21"/>
        <v>10500</v>
      </c>
      <c r="Y182" s="2">
        <f t="shared" si="22"/>
        <v>24499</v>
      </c>
      <c r="Z182" s="2">
        <f t="shared" si="23"/>
        <v>26399</v>
      </c>
      <c r="AA182" s="2">
        <f t="shared" si="24"/>
        <v>4728</v>
      </c>
      <c r="AB182" s="2">
        <f t="shared" si="25"/>
        <v>3254</v>
      </c>
      <c r="AC182" s="2">
        <f t="shared" si="26"/>
        <v>2517</v>
      </c>
      <c r="AD182" s="2">
        <f t="shared" si="27"/>
        <v>2074</v>
      </c>
      <c r="AE182" s="2">
        <f t="shared" si="28"/>
        <v>1780</v>
      </c>
      <c r="AF182" s="2">
        <f t="shared" si="29"/>
        <v>1411</v>
      </c>
      <c r="AG182" s="2">
        <f t="shared" si="30"/>
        <v>12250</v>
      </c>
      <c r="AH182" s="2">
        <f t="shared" si="31"/>
        <v>22749</v>
      </c>
      <c r="AI182" s="2">
        <f t="shared" si="32"/>
        <v>24649</v>
      </c>
      <c r="AJ182" s="2">
        <f t="shared" si="33"/>
        <v>4416</v>
      </c>
      <c r="AK182" s="2">
        <f t="shared" si="34"/>
        <v>3039</v>
      </c>
      <c r="AL182" s="2">
        <f t="shared" si="35"/>
        <v>2351</v>
      </c>
      <c r="AM182" s="2">
        <f t="shared" si="36"/>
        <v>1938</v>
      </c>
      <c r="AN182" s="2">
        <f t="shared" si="37"/>
        <v>1662</v>
      </c>
      <c r="AO182" s="2">
        <f t="shared" si="38"/>
        <v>1318</v>
      </c>
      <c r="AP182" s="2">
        <f t="shared" si="39"/>
        <v>14000</v>
      </c>
      <c r="AQ182" s="2">
        <f t="shared" si="40"/>
        <v>20999</v>
      </c>
      <c r="AR182" s="2">
        <f t="shared" si="41"/>
        <v>22899</v>
      </c>
      <c r="AS182" s="2">
        <f t="shared" si="42"/>
        <v>4104</v>
      </c>
      <c r="AT182" s="2">
        <f t="shared" si="43"/>
        <v>2824</v>
      </c>
      <c r="AU182" s="2">
        <f t="shared" si="44"/>
        <v>2185</v>
      </c>
      <c r="AV182" s="2">
        <f t="shared" si="45"/>
        <v>1801</v>
      </c>
      <c r="AW182" s="2">
        <f t="shared" si="46"/>
        <v>1545</v>
      </c>
      <c r="AX182" s="2">
        <f t="shared" si="47"/>
        <v>1225</v>
      </c>
    </row>
    <row r="183" ht="14.25" customHeight="1">
      <c r="A183" s="2" t="str">
        <f t="array" ref="A183">IFERROR(INDEX('Product Price'!A:A,SMALL('Product Price'!$D:$D,181)),"")</f>
        <v>OPPO Find X9s 12/256 GB</v>
      </c>
      <c r="B183" s="2">
        <f t="array" ref="B183">IFERROR(INDEX('Product Price'!B:B,SMALL('Product Price'!$D:$D,181)),"")</f>
        <v>31999</v>
      </c>
      <c r="C183" s="2">
        <f t="array" ref="C183">IFERROR(INDEX('Product Price'!C:C,SMALL('Product Price'!$D:$D,181)),"")</f>
        <v>189</v>
      </c>
      <c r="D183" s="2">
        <f t="shared" si="1"/>
        <v>1900</v>
      </c>
      <c r="E183" s="2">
        <f t="shared" si="2"/>
        <v>33899</v>
      </c>
      <c r="F183" s="2">
        <f t="shared" si="3"/>
        <v>6400</v>
      </c>
      <c r="G183" s="2">
        <f t="shared" si="4"/>
        <v>25599</v>
      </c>
      <c r="H183" s="2">
        <f t="shared" si="5"/>
        <v>27499</v>
      </c>
      <c r="I183" s="2">
        <f t="shared" si="6"/>
        <v>4924</v>
      </c>
      <c r="J183" s="2">
        <f t="shared" si="7"/>
        <v>3388</v>
      </c>
      <c r="K183" s="2">
        <f t="shared" si="8"/>
        <v>2621</v>
      </c>
      <c r="L183" s="2">
        <f t="shared" si="9"/>
        <v>2160</v>
      </c>
      <c r="M183" s="2">
        <f t="shared" si="10"/>
        <v>1853</v>
      </c>
      <c r="N183" s="2">
        <f t="shared" si="11"/>
        <v>1470</v>
      </c>
      <c r="O183" s="2">
        <f t="shared" si="12"/>
        <v>8000</v>
      </c>
      <c r="P183" s="2">
        <f t="shared" si="13"/>
        <v>23999</v>
      </c>
      <c r="Q183" s="2">
        <f t="shared" si="14"/>
        <v>25899</v>
      </c>
      <c r="R183" s="2">
        <f t="shared" si="15"/>
        <v>4639</v>
      </c>
      <c r="S183" s="2">
        <f t="shared" si="16"/>
        <v>3192</v>
      </c>
      <c r="T183" s="2">
        <f t="shared" si="17"/>
        <v>2469</v>
      </c>
      <c r="U183" s="2">
        <f t="shared" si="18"/>
        <v>2035</v>
      </c>
      <c r="V183" s="2">
        <f t="shared" si="19"/>
        <v>1746</v>
      </c>
      <c r="W183" s="2">
        <f t="shared" si="20"/>
        <v>1385</v>
      </c>
      <c r="X183" s="2">
        <f t="shared" si="21"/>
        <v>9600</v>
      </c>
      <c r="Y183" s="2">
        <f t="shared" si="22"/>
        <v>22399</v>
      </c>
      <c r="Z183" s="2">
        <f t="shared" si="23"/>
        <v>24299</v>
      </c>
      <c r="AA183" s="2">
        <f t="shared" si="24"/>
        <v>4353</v>
      </c>
      <c r="AB183" s="2">
        <f t="shared" si="25"/>
        <v>2996</v>
      </c>
      <c r="AC183" s="2">
        <f t="shared" si="26"/>
        <v>2317</v>
      </c>
      <c r="AD183" s="2">
        <f t="shared" si="27"/>
        <v>1910</v>
      </c>
      <c r="AE183" s="2">
        <f t="shared" si="28"/>
        <v>1639</v>
      </c>
      <c r="AF183" s="2">
        <f t="shared" si="29"/>
        <v>1299</v>
      </c>
      <c r="AG183" s="2">
        <f t="shared" si="30"/>
        <v>11200</v>
      </c>
      <c r="AH183" s="2">
        <f t="shared" si="31"/>
        <v>20799</v>
      </c>
      <c r="AI183" s="2">
        <f t="shared" si="32"/>
        <v>22699</v>
      </c>
      <c r="AJ183" s="2">
        <f t="shared" si="33"/>
        <v>4068</v>
      </c>
      <c r="AK183" s="2">
        <f t="shared" si="34"/>
        <v>2800</v>
      </c>
      <c r="AL183" s="2">
        <f t="shared" si="35"/>
        <v>2166</v>
      </c>
      <c r="AM183" s="2">
        <f t="shared" si="36"/>
        <v>1785</v>
      </c>
      <c r="AN183" s="2">
        <f t="shared" si="37"/>
        <v>1532</v>
      </c>
      <c r="AO183" s="2">
        <f t="shared" si="38"/>
        <v>1214</v>
      </c>
      <c r="AP183" s="2">
        <f t="shared" si="39"/>
        <v>12800</v>
      </c>
      <c r="AQ183" s="2">
        <f t="shared" si="40"/>
        <v>19199</v>
      </c>
      <c r="AR183" s="2">
        <f t="shared" si="41"/>
        <v>21099</v>
      </c>
      <c r="AS183" s="2">
        <f t="shared" si="42"/>
        <v>3783</v>
      </c>
      <c r="AT183" s="2">
        <f t="shared" si="43"/>
        <v>2604</v>
      </c>
      <c r="AU183" s="2">
        <f t="shared" si="44"/>
        <v>2014</v>
      </c>
      <c r="AV183" s="2">
        <f t="shared" si="45"/>
        <v>1660</v>
      </c>
      <c r="AW183" s="2">
        <f t="shared" si="46"/>
        <v>1424</v>
      </c>
      <c r="AX183" s="2">
        <f t="shared" si="47"/>
        <v>1129</v>
      </c>
    </row>
    <row r="184" ht="14.25" customHeight="1">
      <c r="A184" s="2" t="str">
        <f t="array" ref="A184">IFERROR(INDEX('Product Price'!A:A,SMALL('Product Price'!$D:$D,182)),"")</f>
        <v>OPPO Reno 16 Pro 12/256 GB</v>
      </c>
      <c r="B184" s="2">
        <f t="array" ref="B184">IFERROR(INDEX('Product Price'!B:B,SMALL('Product Price'!$D:$D,182)),"")</f>
        <v>29999</v>
      </c>
      <c r="C184" s="2">
        <f t="array" ref="C184">IFERROR(INDEX('Product Price'!C:C,SMALL('Product Price'!$D:$D,182)),"")</f>
        <v>190</v>
      </c>
      <c r="D184" s="2">
        <f t="shared" si="1"/>
        <v>1900</v>
      </c>
      <c r="E184" s="2">
        <f t="shared" si="2"/>
        <v>31899</v>
      </c>
      <c r="F184" s="2">
        <f t="shared" si="3"/>
        <v>6000</v>
      </c>
      <c r="G184" s="2">
        <f t="shared" si="4"/>
        <v>23999</v>
      </c>
      <c r="H184" s="2">
        <f t="shared" si="5"/>
        <v>25899</v>
      </c>
      <c r="I184" s="2">
        <f t="shared" si="6"/>
        <v>4639</v>
      </c>
      <c r="J184" s="2">
        <f t="shared" si="7"/>
        <v>3192</v>
      </c>
      <c r="K184" s="2">
        <f t="shared" si="8"/>
        <v>2469</v>
      </c>
      <c r="L184" s="2">
        <f t="shared" si="9"/>
        <v>2035</v>
      </c>
      <c r="M184" s="2">
        <f t="shared" si="10"/>
        <v>1746</v>
      </c>
      <c r="N184" s="2">
        <f t="shared" si="11"/>
        <v>1385</v>
      </c>
      <c r="O184" s="2">
        <f t="shared" si="12"/>
        <v>7500</v>
      </c>
      <c r="P184" s="2">
        <f t="shared" si="13"/>
        <v>22499</v>
      </c>
      <c r="Q184" s="2">
        <f t="shared" si="14"/>
        <v>24399</v>
      </c>
      <c r="R184" s="2">
        <f t="shared" si="15"/>
        <v>4371</v>
      </c>
      <c r="S184" s="2">
        <f t="shared" si="16"/>
        <v>3008</v>
      </c>
      <c r="T184" s="2">
        <f t="shared" si="17"/>
        <v>2327</v>
      </c>
      <c r="U184" s="2">
        <f t="shared" si="18"/>
        <v>1918</v>
      </c>
      <c r="V184" s="2">
        <f t="shared" si="19"/>
        <v>1646</v>
      </c>
      <c r="W184" s="2">
        <f t="shared" si="20"/>
        <v>1305</v>
      </c>
      <c r="X184" s="2">
        <f t="shared" si="21"/>
        <v>9000</v>
      </c>
      <c r="Y184" s="2">
        <f t="shared" si="22"/>
        <v>20999</v>
      </c>
      <c r="Z184" s="2">
        <f t="shared" si="23"/>
        <v>22899</v>
      </c>
      <c r="AA184" s="2">
        <f t="shared" si="24"/>
        <v>4104</v>
      </c>
      <c r="AB184" s="2">
        <f t="shared" si="25"/>
        <v>2824</v>
      </c>
      <c r="AC184" s="2">
        <f t="shared" si="26"/>
        <v>2185</v>
      </c>
      <c r="AD184" s="2">
        <f t="shared" si="27"/>
        <v>1801</v>
      </c>
      <c r="AE184" s="2">
        <f t="shared" si="28"/>
        <v>1545</v>
      </c>
      <c r="AF184" s="2">
        <f t="shared" si="29"/>
        <v>1225</v>
      </c>
      <c r="AG184" s="2">
        <f t="shared" si="30"/>
        <v>10500</v>
      </c>
      <c r="AH184" s="2">
        <f t="shared" si="31"/>
        <v>19499</v>
      </c>
      <c r="AI184" s="2">
        <f t="shared" si="32"/>
        <v>21399</v>
      </c>
      <c r="AJ184" s="2">
        <f t="shared" si="33"/>
        <v>3837</v>
      </c>
      <c r="AK184" s="2">
        <f t="shared" si="34"/>
        <v>2641</v>
      </c>
      <c r="AL184" s="2">
        <f t="shared" si="35"/>
        <v>2042</v>
      </c>
      <c r="AM184" s="2">
        <f t="shared" si="36"/>
        <v>1684</v>
      </c>
      <c r="AN184" s="2">
        <f t="shared" si="37"/>
        <v>1444</v>
      </c>
      <c r="AO184" s="2">
        <f t="shared" si="38"/>
        <v>1145</v>
      </c>
      <c r="AP184" s="2">
        <f t="shared" si="39"/>
        <v>12000</v>
      </c>
      <c r="AQ184" s="2">
        <f t="shared" si="40"/>
        <v>17999</v>
      </c>
      <c r="AR184" s="2">
        <f t="shared" si="41"/>
        <v>19899</v>
      </c>
      <c r="AS184" s="2">
        <f t="shared" si="42"/>
        <v>3570</v>
      </c>
      <c r="AT184" s="2">
        <f t="shared" si="43"/>
        <v>2457</v>
      </c>
      <c r="AU184" s="2">
        <f t="shared" si="44"/>
        <v>1900</v>
      </c>
      <c r="AV184" s="2">
        <f t="shared" si="45"/>
        <v>1566</v>
      </c>
      <c r="AW184" s="2">
        <f t="shared" si="46"/>
        <v>1344</v>
      </c>
      <c r="AX184" s="2">
        <f t="shared" si="47"/>
        <v>1066</v>
      </c>
    </row>
    <row r="185" ht="14.25" customHeight="1">
      <c r="A185" s="2" t="str">
        <f t="array" ref="A185">IFERROR(INDEX('Product Price'!A:A,SMALL('Product Price'!$D:$D,183)),"")</f>
        <v>OPPO Reno 16 5G 12/512 GB</v>
      </c>
      <c r="B185" s="2">
        <f t="array" ref="B185">IFERROR(INDEX('Product Price'!B:B,SMALL('Product Price'!$D:$D,183)),"")</f>
        <v>26999</v>
      </c>
      <c r="C185" s="2">
        <f t="array" ref="C185">IFERROR(INDEX('Product Price'!C:C,SMALL('Product Price'!$D:$D,183)),"")</f>
        <v>192</v>
      </c>
      <c r="D185" s="2">
        <f t="shared" si="1"/>
        <v>1900</v>
      </c>
      <c r="E185" s="2">
        <f t="shared" si="2"/>
        <v>28899</v>
      </c>
      <c r="F185" s="2">
        <f t="shared" si="3"/>
        <v>5400</v>
      </c>
      <c r="G185" s="2">
        <f t="shared" si="4"/>
        <v>21599</v>
      </c>
      <c r="H185" s="2">
        <f t="shared" si="5"/>
        <v>23499</v>
      </c>
      <c r="I185" s="2">
        <f t="shared" si="6"/>
        <v>4211</v>
      </c>
      <c r="J185" s="2">
        <f t="shared" si="7"/>
        <v>2898</v>
      </c>
      <c r="K185" s="2">
        <f t="shared" si="8"/>
        <v>2242</v>
      </c>
      <c r="L185" s="2">
        <f t="shared" si="9"/>
        <v>1848</v>
      </c>
      <c r="M185" s="2">
        <f t="shared" si="10"/>
        <v>1585</v>
      </c>
      <c r="N185" s="2">
        <f t="shared" si="11"/>
        <v>1257</v>
      </c>
      <c r="O185" s="2">
        <f t="shared" si="12"/>
        <v>6750</v>
      </c>
      <c r="P185" s="2">
        <f t="shared" si="13"/>
        <v>20249</v>
      </c>
      <c r="Q185" s="2">
        <f t="shared" si="14"/>
        <v>22149</v>
      </c>
      <c r="R185" s="2">
        <f t="shared" si="15"/>
        <v>3970</v>
      </c>
      <c r="S185" s="2">
        <f t="shared" si="16"/>
        <v>2733</v>
      </c>
      <c r="T185" s="2">
        <f t="shared" si="17"/>
        <v>2114</v>
      </c>
      <c r="U185" s="2">
        <f t="shared" si="18"/>
        <v>1742</v>
      </c>
      <c r="V185" s="2">
        <f t="shared" si="19"/>
        <v>1495</v>
      </c>
      <c r="W185" s="2">
        <f t="shared" si="20"/>
        <v>1185</v>
      </c>
      <c r="X185" s="2">
        <f t="shared" si="21"/>
        <v>8100</v>
      </c>
      <c r="Y185" s="2">
        <f t="shared" si="22"/>
        <v>18899</v>
      </c>
      <c r="Z185" s="2">
        <f t="shared" si="23"/>
        <v>20799</v>
      </c>
      <c r="AA185" s="2">
        <f t="shared" si="24"/>
        <v>3730</v>
      </c>
      <c r="AB185" s="2">
        <f t="shared" si="25"/>
        <v>2567</v>
      </c>
      <c r="AC185" s="2">
        <f t="shared" si="26"/>
        <v>1986</v>
      </c>
      <c r="AD185" s="2">
        <f t="shared" si="27"/>
        <v>1637</v>
      </c>
      <c r="AE185" s="2">
        <f t="shared" si="28"/>
        <v>1404</v>
      </c>
      <c r="AF185" s="2">
        <f t="shared" si="29"/>
        <v>1113</v>
      </c>
      <c r="AG185" s="2">
        <f t="shared" si="30"/>
        <v>9450</v>
      </c>
      <c r="AH185" s="2">
        <f t="shared" si="31"/>
        <v>17549</v>
      </c>
      <c r="AI185" s="2">
        <f t="shared" si="32"/>
        <v>19449</v>
      </c>
      <c r="AJ185" s="2">
        <f t="shared" si="33"/>
        <v>3489</v>
      </c>
      <c r="AK185" s="2">
        <f t="shared" si="34"/>
        <v>2401</v>
      </c>
      <c r="AL185" s="2">
        <f t="shared" si="35"/>
        <v>1858</v>
      </c>
      <c r="AM185" s="2">
        <f t="shared" si="36"/>
        <v>1531</v>
      </c>
      <c r="AN185" s="2">
        <f t="shared" si="37"/>
        <v>1314</v>
      </c>
      <c r="AO185" s="2">
        <f t="shared" si="38"/>
        <v>1042</v>
      </c>
      <c r="AP185" s="2">
        <f t="shared" si="39"/>
        <v>10800</v>
      </c>
      <c r="AQ185" s="2">
        <f t="shared" si="40"/>
        <v>16199</v>
      </c>
      <c r="AR185" s="2">
        <f t="shared" si="41"/>
        <v>18099</v>
      </c>
      <c r="AS185" s="2">
        <f t="shared" si="42"/>
        <v>3249</v>
      </c>
      <c r="AT185" s="2">
        <f t="shared" si="43"/>
        <v>2236</v>
      </c>
      <c r="AU185" s="2">
        <f t="shared" si="44"/>
        <v>1730</v>
      </c>
      <c r="AV185" s="2">
        <f t="shared" si="45"/>
        <v>1426</v>
      </c>
      <c r="AW185" s="2">
        <f t="shared" si="46"/>
        <v>1223</v>
      </c>
      <c r="AX185" s="2">
        <f t="shared" si="47"/>
        <v>970</v>
      </c>
    </row>
    <row r="186" ht="14.25" customHeight="1">
      <c r="A186" s="2" t="str">
        <f t="array" ref="A186">IFERROR(INDEX('Product Price'!A:A,SMALL('Product Price'!$D:$D,184)),"")</f>
        <v>OPPO Reno 16 5G 12/256 GB</v>
      </c>
      <c r="B186" s="2">
        <f t="array" ref="B186">IFERROR(INDEX('Product Price'!B:B,SMALL('Product Price'!$D:$D,184)),"")</f>
        <v>24999</v>
      </c>
      <c r="C186" s="2">
        <f t="array" ref="C186">IFERROR(INDEX('Product Price'!C:C,SMALL('Product Price'!$D:$D,184)),"")</f>
        <v>193</v>
      </c>
      <c r="D186" s="2">
        <f t="shared" si="1"/>
        <v>1900</v>
      </c>
      <c r="E186" s="2">
        <f t="shared" si="2"/>
        <v>26899</v>
      </c>
      <c r="F186" s="2">
        <f t="shared" si="3"/>
        <v>5000</v>
      </c>
      <c r="G186" s="2">
        <f t="shared" si="4"/>
        <v>19999</v>
      </c>
      <c r="H186" s="2">
        <f t="shared" si="5"/>
        <v>21899</v>
      </c>
      <c r="I186" s="2">
        <f t="shared" si="6"/>
        <v>3926</v>
      </c>
      <c r="J186" s="2">
        <f t="shared" si="7"/>
        <v>2702</v>
      </c>
      <c r="K186" s="2">
        <f t="shared" si="8"/>
        <v>2090</v>
      </c>
      <c r="L186" s="2">
        <f t="shared" si="9"/>
        <v>1723</v>
      </c>
      <c r="M186" s="2">
        <f t="shared" si="10"/>
        <v>1478</v>
      </c>
      <c r="N186" s="2">
        <f t="shared" si="11"/>
        <v>1172</v>
      </c>
      <c r="O186" s="2">
        <f t="shared" si="12"/>
        <v>6250</v>
      </c>
      <c r="P186" s="2">
        <f t="shared" si="13"/>
        <v>18749</v>
      </c>
      <c r="Q186" s="2">
        <f t="shared" si="14"/>
        <v>20649</v>
      </c>
      <c r="R186" s="2">
        <f t="shared" si="15"/>
        <v>3703</v>
      </c>
      <c r="S186" s="2">
        <f t="shared" si="16"/>
        <v>2549</v>
      </c>
      <c r="T186" s="2">
        <f t="shared" si="17"/>
        <v>1971</v>
      </c>
      <c r="U186" s="2">
        <f t="shared" si="18"/>
        <v>1625</v>
      </c>
      <c r="V186" s="2">
        <f t="shared" si="19"/>
        <v>1394</v>
      </c>
      <c r="W186" s="2">
        <f t="shared" si="20"/>
        <v>1105</v>
      </c>
      <c r="X186" s="2">
        <f t="shared" si="21"/>
        <v>7500</v>
      </c>
      <c r="Y186" s="2">
        <f t="shared" si="22"/>
        <v>17499</v>
      </c>
      <c r="Z186" s="2">
        <f t="shared" si="23"/>
        <v>19399</v>
      </c>
      <c r="AA186" s="2">
        <f t="shared" si="24"/>
        <v>3480</v>
      </c>
      <c r="AB186" s="2">
        <f t="shared" si="25"/>
        <v>2395</v>
      </c>
      <c r="AC186" s="2">
        <f t="shared" si="26"/>
        <v>1853</v>
      </c>
      <c r="AD186" s="2">
        <f t="shared" si="27"/>
        <v>1527</v>
      </c>
      <c r="AE186" s="2">
        <f t="shared" si="28"/>
        <v>1310</v>
      </c>
      <c r="AF186" s="2">
        <f t="shared" si="29"/>
        <v>1039</v>
      </c>
      <c r="AG186" s="2">
        <f t="shared" si="30"/>
        <v>8750</v>
      </c>
      <c r="AH186" s="2">
        <f t="shared" si="31"/>
        <v>16249</v>
      </c>
      <c r="AI186" s="2">
        <f t="shared" si="32"/>
        <v>18149</v>
      </c>
      <c r="AJ186" s="2">
        <f t="shared" si="33"/>
        <v>3258</v>
      </c>
      <c r="AK186" s="2">
        <f t="shared" si="34"/>
        <v>2242</v>
      </c>
      <c r="AL186" s="2">
        <f t="shared" si="35"/>
        <v>1734</v>
      </c>
      <c r="AM186" s="2">
        <f t="shared" si="36"/>
        <v>1430</v>
      </c>
      <c r="AN186" s="2">
        <f t="shared" si="37"/>
        <v>1226</v>
      </c>
      <c r="AO186" s="2">
        <f t="shared" si="38"/>
        <v>972</v>
      </c>
      <c r="AP186" s="2">
        <f t="shared" si="39"/>
        <v>10000</v>
      </c>
      <c r="AQ186" s="2">
        <f t="shared" si="40"/>
        <v>14999</v>
      </c>
      <c r="AR186" s="2">
        <f t="shared" si="41"/>
        <v>16899</v>
      </c>
      <c r="AS186" s="2">
        <f t="shared" si="42"/>
        <v>3035</v>
      </c>
      <c r="AT186" s="2">
        <f t="shared" si="43"/>
        <v>2089</v>
      </c>
      <c r="AU186" s="2">
        <f t="shared" si="44"/>
        <v>1616</v>
      </c>
      <c r="AV186" s="2">
        <f t="shared" si="45"/>
        <v>1332</v>
      </c>
      <c r="AW186" s="2">
        <f t="shared" si="46"/>
        <v>1143</v>
      </c>
      <c r="AX186" s="2">
        <f t="shared" si="47"/>
        <v>906</v>
      </c>
    </row>
    <row r="187" ht="14.25" customHeight="1">
      <c r="A187" s="2" t="str">
        <f t="array" ref="A187">IFERROR(INDEX('Product Price'!A:A,SMALL('Product Price'!$D:$D,185)),"")</f>
        <v>OPPO Reno 16 5G 8/256 GB</v>
      </c>
      <c r="B187" s="2">
        <f t="array" ref="B187">IFERROR(INDEX('Product Price'!B:B,SMALL('Product Price'!$D:$D,185)),"")</f>
        <v>21999</v>
      </c>
      <c r="C187" s="2">
        <f t="array" ref="C187">IFERROR(INDEX('Product Price'!C:C,SMALL('Product Price'!$D:$D,185)),"")</f>
        <v>194</v>
      </c>
      <c r="D187" s="2">
        <f t="shared" si="1"/>
        <v>1900</v>
      </c>
      <c r="E187" s="2">
        <f t="shared" si="2"/>
        <v>23899</v>
      </c>
      <c r="F187" s="2">
        <f t="shared" si="3"/>
        <v>4400</v>
      </c>
      <c r="G187" s="2">
        <f t="shared" si="4"/>
        <v>17599</v>
      </c>
      <c r="H187" s="2">
        <f t="shared" si="5"/>
        <v>19499</v>
      </c>
      <c r="I187" s="2">
        <f t="shared" si="6"/>
        <v>3498</v>
      </c>
      <c r="J187" s="2">
        <f t="shared" si="7"/>
        <v>2408</v>
      </c>
      <c r="K187" s="2">
        <f t="shared" si="8"/>
        <v>1862</v>
      </c>
      <c r="L187" s="2">
        <f t="shared" si="9"/>
        <v>1535</v>
      </c>
      <c r="M187" s="2">
        <f t="shared" si="10"/>
        <v>1317</v>
      </c>
      <c r="N187" s="2">
        <f t="shared" si="11"/>
        <v>1044</v>
      </c>
      <c r="O187" s="2">
        <f t="shared" si="12"/>
        <v>5500</v>
      </c>
      <c r="P187" s="2">
        <f t="shared" si="13"/>
        <v>16499</v>
      </c>
      <c r="Q187" s="2">
        <f t="shared" si="14"/>
        <v>18399</v>
      </c>
      <c r="R187" s="2">
        <f t="shared" si="15"/>
        <v>3302</v>
      </c>
      <c r="S187" s="2">
        <f t="shared" si="16"/>
        <v>2273</v>
      </c>
      <c r="T187" s="2">
        <f t="shared" si="17"/>
        <v>1758</v>
      </c>
      <c r="U187" s="2">
        <f t="shared" si="18"/>
        <v>1449</v>
      </c>
      <c r="V187" s="2">
        <f t="shared" si="19"/>
        <v>1243</v>
      </c>
      <c r="W187" s="2">
        <f t="shared" si="20"/>
        <v>986</v>
      </c>
      <c r="X187" s="2">
        <f t="shared" si="21"/>
        <v>6600</v>
      </c>
      <c r="Y187" s="2">
        <f t="shared" si="22"/>
        <v>15399</v>
      </c>
      <c r="Z187" s="2">
        <f t="shared" si="23"/>
        <v>17299</v>
      </c>
      <c r="AA187" s="2">
        <f t="shared" si="24"/>
        <v>3106</v>
      </c>
      <c r="AB187" s="2">
        <f t="shared" si="25"/>
        <v>2138</v>
      </c>
      <c r="AC187" s="2">
        <f t="shared" si="26"/>
        <v>1654</v>
      </c>
      <c r="AD187" s="2">
        <f t="shared" si="27"/>
        <v>1363</v>
      </c>
      <c r="AE187" s="2">
        <f t="shared" si="28"/>
        <v>1169</v>
      </c>
      <c r="AF187" s="2">
        <f t="shared" si="29"/>
        <v>927</v>
      </c>
      <c r="AG187" s="2">
        <f t="shared" si="30"/>
        <v>7700</v>
      </c>
      <c r="AH187" s="2">
        <f t="shared" si="31"/>
        <v>14299</v>
      </c>
      <c r="AI187" s="2">
        <f t="shared" si="32"/>
        <v>16199</v>
      </c>
      <c r="AJ187" s="2">
        <f t="shared" si="33"/>
        <v>2910</v>
      </c>
      <c r="AK187" s="2">
        <f t="shared" si="34"/>
        <v>2003</v>
      </c>
      <c r="AL187" s="2">
        <f t="shared" si="35"/>
        <v>1549</v>
      </c>
      <c r="AM187" s="2">
        <f t="shared" si="36"/>
        <v>1277</v>
      </c>
      <c r="AN187" s="2">
        <f t="shared" si="37"/>
        <v>1096</v>
      </c>
      <c r="AO187" s="2">
        <f t="shared" si="38"/>
        <v>869</v>
      </c>
      <c r="AP187" s="2">
        <f t="shared" si="39"/>
        <v>8800</v>
      </c>
      <c r="AQ187" s="2">
        <f t="shared" si="40"/>
        <v>13199</v>
      </c>
      <c r="AR187" s="2">
        <f t="shared" si="41"/>
        <v>15099</v>
      </c>
      <c r="AS187" s="2">
        <f t="shared" si="42"/>
        <v>2714</v>
      </c>
      <c r="AT187" s="2">
        <f t="shared" si="43"/>
        <v>1868</v>
      </c>
      <c r="AU187" s="2">
        <f t="shared" si="44"/>
        <v>1445</v>
      </c>
      <c r="AV187" s="2">
        <f t="shared" si="45"/>
        <v>1191</v>
      </c>
      <c r="AW187" s="2">
        <f t="shared" si="46"/>
        <v>1022</v>
      </c>
      <c r="AX187" s="2">
        <f t="shared" si="47"/>
        <v>810</v>
      </c>
    </row>
    <row r="188" ht="14.25" customHeight="1">
      <c r="A188" s="2" t="str">
        <f t="array" ref="A188">IFERROR(INDEX('Product Price'!A:A,SMALL('Product Price'!$D:$D,186)),"")</f>
        <v>OPPO Reno 16F 5G 8/256 GB</v>
      </c>
      <c r="B188" s="2">
        <f t="array" ref="B188">IFERROR(INDEX('Product Price'!B:B,SMALL('Product Price'!$D:$D,186)),"")</f>
        <v>18999</v>
      </c>
      <c r="C188" s="2">
        <f t="array" ref="C188">IFERROR(INDEX('Product Price'!C:C,SMALL('Product Price'!$D:$D,186)),"")</f>
        <v>195</v>
      </c>
      <c r="D188" s="2">
        <f t="shared" si="1"/>
        <v>1450</v>
      </c>
      <c r="E188" s="2">
        <f t="shared" si="2"/>
        <v>20449</v>
      </c>
      <c r="F188" s="2">
        <f t="shared" si="3"/>
        <v>3800</v>
      </c>
      <c r="G188" s="2">
        <f t="shared" si="4"/>
        <v>15199</v>
      </c>
      <c r="H188" s="2">
        <f t="shared" si="5"/>
        <v>16649</v>
      </c>
      <c r="I188" s="2">
        <f t="shared" si="6"/>
        <v>2985</v>
      </c>
      <c r="J188" s="2">
        <f t="shared" si="7"/>
        <v>2054</v>
      </c>
      <c r="K188" s="2">
        <f t="shared" si="8"/>
        <v>1589</v>
      </c>
      <c r="L188" s="2">
        <f t="shared" si="9"/>
        <v>1310</v>
      </c>
      <c r="M188" s="2">
        <f t="shared" si="10"/>
        <v>1124</v>
      </c>
      <c r="N188" s="2">
        <f t="shared" si="11"/>
        <v>891</v>
      </c>
      <c r="O188" s="2">
        <f t="shared" si="12"/>
        <v>4750</v>
      </c>
      <c r="P188" s="2">
        <f t="shared" si="13"/>
        <v>14249</v>
      </c>
      <c r="Q188" s="2">
        <f t="shared" si="14"/>
        <v>15699</v>
      </c>
      <c r="R188" s="2">
        <f t="shared" si="15"/>
        <v>2816</v>
      </c>
      <c r="S188" s="2">
        <f t="shared" si="16"/>
        <v>1938</v>
      </c>
      <c r="T188" s="2">
        <f t="shared" si="17"/>
        <v>1499</v>
      </c>
      <c r="U188" s="2">
        <f t="shared" si="18"/>
        <v>1236</v>
      </c>
      <c r="V188" s="2">
        <f t="shared" si="19"/>
        <v>1060</v>
      </c>
      <c r="W188" s="2">
        <f t="shared" si="20"/>
        <v>841</v>
      </c>
      <c r="X188" s="2">
        <f t="shared" si="21"/>
        <v>5700</v>
      </c>
      <c r="Y188" s="2">
        <f t="shared" si="22"/>
        <v>13299</v>
      </c>
      <c r="Z188" s="2">
        <f t="shared" si="23"/>
        <v>14749</v>
      </c>
      <c r="AA188" s="2">
        <f t="shared" si="24"/>
        <v>2646</v>
      </c>
      <c r="AB188" s="2">
        <f t="shared" si="25"/>
        <v>1821</v>
      </c>
      <c r="AC188" s="2">
        <f t="shared" si="26"/>
        <v>1409</v>
      </c>
      <c r="AD188" s="2">
        <f t="shared" si="27"/>
        <v>1161</v>
      </c>
      <c r="AE188" s="2">
        <f t="shared" si="28"/>
        <v>996</v>
      </c>
      <c r="AF188" s="2">
        <f t="shared" si="29"/>
        <v>790</v>
      </c>
      <c r="AG188" s="2">
        <f t="shared" si="30"/>
        <v>6650</v>
      </c>
      <c r="AH188" s="2">
        <f t="shared" si="31"/>
        <v>12349</v>
      </c>
      <c r="AI188" s="2">
        <f t="shared" si="32"/>
        <v>13799</v>
      </c>
      <c r="AJ188" s="2">
        <f t="shared" si="33"/>
        <v>2477</v>
      </c>
      <c r="AK188" s="2">
        <f t="shared" si="34"/>
        <v>1705</v>
      </c>
      <c r="AL188" s="2">
        <f t="shared" si="35"/>
        <v>1319</v>
      </c>
      <c r="AM188" s="2">
        <f t="shared" si="36"/>
        <v>1087</v>
      </c>
      <c r="AN188" s="2">
        <f t="shared" si="37"/>
        <v>933</v>
      </c>
      <c r="AO188" s="2">
        <f t="shared" si="38"/>
        <v>740</v>
      </c>
      <c r="AP188" s="2">
        <f t="shared" si="39"/>
        <v>7600</v>
      </c>
      <c r="AQ188" s="2">
        <f t="shared" si="40"/>
        <v>11399</v>
      </c>
      <c r="AR188" s="2">
        <f t="shared" si="41"/>
        <v>12849</v>
      </c>
      <c r="AS188" s="2">
        <f t="shared" si="42"/>
        <v>2308</v>
      </c>
      <c r="AT188" s="2">
        <f t="shared" si="43"/>
        <v>1588</v>
      </c>
      <c r="AU188" s="2">
        <f t="shared" si="44"/>
        <v>1229</v>
      </c>
      <c r="AV188" s="2">
        <f t="shared" si="45"/>
        <v>1013</v>
      </c>
      <c r="AW188" s="2">
        <f t="shared" si="46"/>
        <v>869</v>
      </c>
      <c r="AX188" s="2">
        <f t="shared" si="47"/>
        <v>689</v>
      </c>
    </row>
    <row r="189" ht="14.25" customHeight="1">
      <c r="A189" s="2" t="str">
        <f t="array" ref="A189">IFERROR(INDEX('Product Price'!A:A,SMALL('Product Price'!$D:$D,187)),"")</f>
        <v>OPPO Reno 16F 5G 8/128 GB</v>
      </c>
      <c r="B189" s="2">
        <f t="array" ref="B189">IFERROR(INDEX('Product Price'!B:B,SMALL('Product Price'!$D:$D,187)),"")</f>
        <v>17999</v>
      </c>
      <c r="C189" s="2">
        <f t="array" ref="C189">IFERROR(INDEX('Product Price'!C:C,SMALL('Product Price'!$D:$D,187)),"")</f>
        <v>196</v>
      </c>
      <c r="D189" s="2">
        <f t="shared" si="1"/>
        <v>1450</v>
      </c>
      <c r="E189" s="2">
        <f t="shared" si="2"/>
        <v>19449</v>
      </c>
      <c r="F189" s="2">
        <f t="shared" si="3"/>
        <v>3600</v>
      </c>
      <c r="G189" s="2">
        <f t="shared" si="4"/>
        <v>14399</v>
      </c>
      <c r="H189" s="2">
        <f t="shared" si="5"/>
        <v>15849</v>
      </c>
      <c r="I189" s="2">
        <f t="shared" si="6"/>
        <v>2842</v>
      </c>
      <c r="J189" s="2">
        <f t="shared" si="7"/>
        <v>1956</v>
      </c>
      <c r="K189" s="2">
        <f t="shared" si="8"/>
        <v>1513</v>
      </c>
      <c r="L189" s="2">
        <f t="shared" si="9"/>
        <v>1247</v>
      </c>
      <c r="M189" s="2">
        <f t="shared" si="10"/>
        <v>1070</v>
      </c>
      <c r="N189" s="2">
        <f t="shared" si="11"/>
        <v>849</v>
      </c>
      <c r="O189" s="2">
        <f t="shared" si="12"/>
        <v>4500</v>
      </c>
      <c r="P189" s="2">
        <f t="shared" si="13"/>
        <v>13499</v>
      </c>
      <c r="Q189" s="2">
        <f t="shared" si="14"/>
        <v>14949</v>
      </c>
      <c r="R189" s="2">
        <f t="shared" si="15"/>
        <v>2682</v>
      </c>
      <c r="S189" s="2">
        <f t="shared" si="16"/>
        <v>1846</v>
      </c>
      <c r="T189" s="2">
        <f t="shared" si="17"/>
        <v>1428</v>
      </c>
      <c r="U189" s="2">
        <f t="shared" si="18"/>
        <v>1177</v>
      </c>
      <c r="V189" s="2">
        <f t="shared" si="19"/>
        <v>1010</v>
      </c>
      <c r="W189" s="2">
        <f t="shared" si="20"/>
        <v>801</v>
      </c>
      <c r="X189" s="2">
        <f t="shared" si="21"/>
        <v>5400</v>
      </c>
      <c r="Y189" s="2">
        <f t="shared" si="22"/>
        <v>12599</v>
      </c>
      <c r="Z189" s="2">
        <f t="shared" si="23"/>
        <v>14049</v>
      </c>
      <c r="AA189" s="2">
        <f t="shared" si="24"/>
        <v>2522</v>
      </c>
      <c r="AB189" s="2">
        <f t="shared" si="25"/>
        <v>1736</v>
      </c>
      <c r="AC189" s="2">
        <f t="shared" si="26"/>
        <v>1342</v>
      </c>
      <c r="AD189" s="2">
        <f t="shared" si="27"/>
        <v>1107</v>
      </c>
      <c r="AE189" s="2">
        <f t="shared" si="28"/>
        <v>949</v>
      </c>
      <c r="AF189" s="2">
        <f t="shared" si="29"/>
        <v>753</v>
      </c>
      <c r="AG189" s="2">
        <f t="shared" si="30"/>
        <v>6300</v>
      </c>
      <c r="AH189" s="2">
        <f t="shared" si="31"/>
        <v>11699</v>
      </c>
      <c r="AI189" s="2">
        <f t="shared" si="32"/>
        <v>13149</v>
      </c>
      <c r="AJ189" s="2">
        <f t="shared" si="33"/>
        <v>2361</v>
      </c>
      <c r="AK189" s="2">
        <f t="shared" si="34"/>
        <v>1625</v>
      </c>
      <c r="AL189" s="2">
        <f t="shared" si="35"/>
        <v>1257</v>
      </c>
      <c r="AM189" s="2">
        <f t="shared" si="36"/>
        <v>1036</v>
      </c>
      <c r="AN189" s="2">
        <f t="shared" si="37"/>
        <v>889</v>
      </c>
      <c r="AO189" s="2">
        <f t="shared" si="38"/>
        <v>705</v>
      </c>
      <c r="AP189" s="2">
        <f t="shared" si="39"/>
        <v>7200</v>
      </c>
      <c r="AQ189" s="2">
        <f t="shared" si="40"/>
        <v>10799</v>
      </c>
      <c r="AR189" s="2">
        <f t="shared" si="41"/>
        <v>12249</v>
      </c>
      <c r="AS189" s="2">
        <f t="shared" si="42"/>
        <v>2201</v>
      </c>
      <c r="AT189" s="2">
        <f t="shared" si="43"/>
        <v>1515</v>
      </c>
      <c r="AU189" s="2">
        <f t="shared" si="44"/>
        <v>1172</v>
      </c>
      <c r="AV189" s="2">
        <f t="shared" si="45"/>
        <v>966</v>
      </c>
      <c r="AW189" s="2">
        <f t="shared" si="46"/>
        <v>829</v>
      </c>
      <c r="AX189" s="2">
        <f t="shared" si="47"/>
        <v>657</v>
      </c>
    </row>
    <row r="190" ht="14.25" customHeight="1">
      <c r="A190" s="2" t="str">
        <f t="array" ref="A190">IFERROR(INDEX('Product Price'!A:A,SMALL('Product Price'!$D:$D,188)),"")</f>
        <v>OPPO Reno 15F 5G 8/256 GB</v>
      </c>
      <c r="B190" s="2">
        <f t="array" ref="B190">IFERROR(INDEX('Product Price'!B:B,SMALL('Product Price'!$D:$D,188)),"")</f>
        <v>14999</v>
      </c>
      <c r="C190" s="2">
        <f t="array" ref="C190">IFERROR(INDEX('Product Price'!C:C,SMALL('Product Price'!$D:$D,188)),"")</f>
        <v>191</v>
      </c>
      <c r="D190" s="2">
        <f t="shared" si="1"/>
        <v>1450</v>
      </c>
      <c r="E190" s="2">
        <f t="shared" si="2"/>
        <v>16449</v>
      </c>
      <c r="F190" s="2">
        <f t="shared" si="3"/>
        <v>3000</v>
      </c>
      <c r="G190" s="2">
        <f t="shared" si="4"/>
        <v>11999</v>
      </c>
      <c r="H190" s="2">
        <f t="shared" si="5"/>
        <v>13449</v>
      </c>
      <c r="I190" s="2">
        <f t="shared" si="6"/>
        <v>2415</v>
      </c>
      <c r="J190" s="2">
        <f t="shared" si="7"/>
        <v>1662</v>
      </c>
      <c r="K190" s="2">
        <f t="shared" si="8"/>
        <v>1286</v>
      </c>
      <c r="L190" s="2">
        <f t="shared" si="9"/>
        <v>1060</v>
      </c>
      <c r="M190" s="2">
        <f t="shared" si="10"/>
        <v>909</v>
      </c>
      <c r="N190" s="2">
        <f t="shared" si="11"/>
        <v>721</v>
      </c>
      <c r="O190" s="2">
        <f t="shared" si="12"/>
        <v>3750</v>
      </c>
      <c r="P190" s="2">
        <f t="shared" si="13"/>
        <v>11249</v>
      </c>
      <c r="Q190" s="2">
        <f t="shared" si="14"/>
        <v>12699</v>
      </c>
      <c r="R190" s="2">
        <f t="shared" si="15"/>
        <v>2281</v>
      </c>
      <c r="S190" s="2">
        <f t="shared" si="16"/>
        <v>1570</v>
      </c>
      <c r="T190" s="2">
        <f t="shared" si="17"/>
        <v>1214</v>
      </c>
      <c r="U190" s="2">
        <f t="shared" si="18"/>
        <v>1001</v>
      </c>
      <c r="V190" s="2">
        <f t="shared" si="19"/>
        <v>859</v>
      </c>
      <c r="W190" s="2">
        <f t="shared" si="20"/>
        <v>681</v>
      </c>
      <c r="X190" s="2">
        <f t="shared" si="21"/>
        <v>4500</v>
      </c>
      <c r="Y190" s="2">
        <f t="shared" si="22"/>
        <v>10499</v>
      </c>
      <c r="Z190" s="2">
        <f t="shared" si="23"/>
        <v>11949</v>
      </c>
      <c r="AA190" s="2">
        <f t="shared" si="24"/>
        <v>2147</v>
      </c>
      <c r="AB190" s="2">
        <f t="shared" si="25"/>
        <v>1478</v>
      </c>
      <c r="AC190" s="2">
        <f t="shared" si="26"/>
        <v>1143</v>
      </c>
      <c r="AD190" s="2">
        <f t="shared" si="27"/>
        <v>942</v>
      </c>
      <c r="AE190" s="2">
        <f t="shared" si="28"/>
        <v>809</v>
      </c>
      <c r="AF190" s="2">
        <f t="shared" si="29"/>
        <v>641</v>
      </c>
      <c r="AG190" s="2">
        <f t="shared" si="30"/>
        <v>5250</v>
      </c>
      <c r="AH190" s="2">
        <f t="shared" si="31"/>
        <v>9749</v>
      </c>
      <c r="AI190" s="2">
        <f t="shared" si="32"/>
        <v>11199</v>
      </c>
      <c r="AJ190" s="2">
        <f t="shared" si="33"/>
        <v>2014</v>
      </c>
      <c r="AK190" s="2">
        <f t="shared" si="34"/>
        <v>1386</v>
      </c>
      <c r="AL190" s="2">
        <f t="shared" si="35"/>
        <v>1072</v>
      </c>
      <c r="AM190" s="2">
        <f t="shared" si="36"/>
        <v>884</v>
      </c>
      <c r="AN190" s="2">
        <f t="shared" si="37"/>
        <v>758</v>
      </c>
      <c r="AO190" s="2">
        <f t="shared" si="38"/>
        <v>601</v>
      </c>
      <c r="AP190" s="2">
        <f t="shared" si="39"/>
        <v>6000</v>
      </c>
      <c r="AQ190" s="2">
        <f t="shared" si="40"/>
        <v>8999</v>
      </c>
      <c r="AR190" s="2">
        <f t="shared" si="41"/>
        <v>10449</v>
      </c>
      <c r="AS190" s="2">
        <f t="shared" si="42"/>
        <v>1880</v>
      </c>
      <c r="AT190" s="2">
        <f t="shared" si="43"/>
        <v>1294</v>
      </c>
      <c r="AU190" s="2">
        <f t="shared" si="44"/>
        <v>1001</v>
      </c>
      <c r="AV190" s="2">
        <f t="shared" si="45"/>
        <v>825</v>
      </c>
      <c r="AW190" s="2">
        <f t="shared" si="46"/>
        <v>708</v>
      </c>
      <c r="AX190" s="2">
        <f t="shared" si="47"/>
        <v>561</v>
      </c>
    </row>
    <row r="191" ht="14.25" customHeight="1">
      <c r="A191" s="2" t="str">
        <f t="array" ref="A191">IFERROR(INDEX('Product Price'!A:A,SMALL('Product Price'!$D:$D,189)),"")</f>
        <v>OPPO A7 ProMax 5G 8/256 GB</v>
      </c>
      <c r="B191" s="2">
        <f t="array" ref="B191">IFERROR(INDEX('Product Price'!B:B,SMALL('Product Price'!$D:$D,189)),"")</f>
        <v>19999</v>
      </c>
      <c r="C191" s="2">
        <f t="array" ref="C191">IFERROR(INDEX('Product Price'!C:C,SMALL('Product Price'!$D:$D,189)),"")</f>
        <v>250</v>
      </c>
      <c r="D191" s="2">
        <f t="shared" si="1"/>
        <v>1450</v>
      </c>
      <c r="E191" s="2">
        <f t="shared" si="2"/>
        <v>21449</v>
      </c>
      <c r="F191" s="2">
        <f t="shared" si="3"/>
        <v>4000</v>
      </c>
      <c r="G191" s="2">
        <f t="shared" si="4"/>
        <v>15999</v>
      </c>
      <c r="H191" s="2">
        <f t="shared" si="5"/>
        <v>17449</v>
      </c>
      <c r="I191" s="2">
        <f t="shared" si="6"/>
        <v>3127</v>
      </c>
      <c r="J191" s="2">
        <f t="shared" si="7"/>
        <v>2152</v>
      </c>
      <c r="K191" s="2">
        <f t="shared" si="8"/>
        <v>1665</v>
      </c>
      <c r="L191" s="2">
        <f t="shared" si="9"/>
        <v>1372</v>
      </c>
      <c r="M191" s="2">
        <f t="shared" si="10"/>
        <v>1177</v>
      </c>
      <c r="N191" s="2">
        <f t="shared" si="11"/>
        <v>934</v>
      </c>
      <c r="O191" s="2">
        <f t="shared" si="12"/>
        <v>5000</v>
      </c>
      <c r="P191" s="2">
        <f t="shared" si="13"/>
        <v>14999</v>
      </c>
      <c r="Q191" s="2">
        <f t="shared" si="14"/>
        <v>16449</v>
      </c>
      <c r="R191" s="2">
        <f t="shared" si="15"/>
        <v>2949</v>
      </c>
      <c r="S191" s="2">
        <f t="shared" si="16"/>
        <v>2030</v>
      </c>
      <c r="T191" s="2">
        <f t="shared" si="17"/>
        <v>1570</v>
      </c>
      <c r="U191" s="2">
        <f t="shared" si="18"/>
        <v>1294</v>
      </c>
      <c r="V191" s="2">
        <f t="shared" si="19"/>
        <v>1110</v>
      </c>
      <c r="W191" s="2">
        <f t="shared" si="20"/>
        <v>880</v>
      </c>
      <c r="X191" s="2">
        <f t="shared" si="21"/>
        <v>6000</v>
      </c>
      <c r="Y191" s="2">
        <f t="shared" si="22"/>
        <v>13999</v>
      </c>
      <c r="Z191" s="2">
        <f t="shared" si="23"/>
        <v>15449</v>
      </c>
      <c r="AA191" s="2">
        <f t="shared" si="24"/>
        <v>2771</v>
      </c>
      <c r="AB191" s="2">
        <f t="shared" si="25"/>
        <v>1907</v>
      </c>
      <c r="AC191" s="2">
        <f t="shared" si="26"/>
        <v>1475</v>
      </c>
      <c r="AD191" s="2">
        <f t="shared" si="27"/>
        <v>1216</v>
      </c>
      <c r="AE191" s="2">
        <f t="shared" si="28"/>
        <v>1043</v>
      </c>
      <c r="AF191" s="2">
        <f t="shared" si="29"/>
        <v>827</v>
      </c>
      <c r="AG191" s="2">
        <f t="shared" si="30"/>
        <v>7000</v>
      </c>
      <c r="AH191" s="2">
        <f t="shared" si="31"/>
        <v>12999</v>
      </c>
      <c r="AI191" s="2">
        <f t="shared" si="32"/>
        <v>14449</v>
      </c>
      <c r="AJ191" s="2">
        <f t="shared" si="33"/>
        <v>2593</v>
      </c>
      <c r="AK191" s="2">
        <f t="shared" si="34"/>
        <v>1785</v>
      </c>
      <c r="AL191" s="2">
        <f t="shared" si="35"/>
        <v>1380</v>
      </c>
      <c r="AM191" s="2">
        <f t="shared" si="36"/>
        <v>1138</v>
      </c>
      <c r="AN191" s="2">
        <f t="shared" si="37"/>
        <v>976</v>
      </c>
      <c r="AO191" s="2">
        <f t="shared" si="38"/>
        <v>774</v>
      </c>
      <c r="AP191" s="2">
        <f t="shared" si="39"/>
        <v>8000</v>
      </c>
      <c r="AQ191" s="2">
        <f t="shared" si="40"/>
        <v>11999</v>
      </c>
      <c r="AR191" s="2">
        <f t="shared" si="41"/>
        <v>13449</v>
      </c>
      <c r="AS191" s="2">
        <f t="shared" si="42"/>
        <v>2415</v>
      </c>
      <c r="AT191" s="2">
        <f t="shared" si="43"/>
        <v>1662</v>
      </c>
      <c r="AU191" s="2">
        <f t="shared" si="44"/>
        <v>1286</v>
      </c>
      <c r="AV191" s="2">
        <f t="shared" si="45"/>
        <v>1060</v>
      </c>
      <c r="AW191" s="2">
        <f t="shared" si="46"/>
        <v>909</v>
      </c>
      <c r="AX191" s="2">
        <f t="shared" si="47"/>
        <v>721</v>
      </c>
    </row>
    <row r="192" ht="14.25" customHeight="1">
      <c r="A192" s="2" t="str">
        <f t="array" ref="A192">IFERROR(INDEX('Product Price'!A:A,SMALL('Product Price'!$D:$D,190)),"")</f>
        <v>OPPO A7 Pro 5G 8/256 GB</v>
      </c>
      <c r="B192" s="2">
        <f t="array" ref="B192">IFERROR(INDEX('Product Price'!B:B,SMALL('Product Price'!$D:$D,190)),"")</f>
        <v>15999</v>
      </c>
      <c r="C192" s="2">
        <f t="array" ref="C192">IFERROR(INDEX('Product Price'!C:C,SMALL('Product Price'!$D:$D,190)),"")</f>
        <v>251</v>
      </c>
      <c r="D192" s="2">
        <f t="shared" si="1"/>
        <v>1450</v>
      </c>
      <c r="E192" s="2">
        <f t="shared" si="2"/>
        <v>17449</v>
      </c>
      <c r="F192" s="2">
        <f t="shared" si="3"/>
        <v>3200</v>
      </c>
      <c r="G192" s="2">
        <f t="shared" si="4"/>
        <v>12799</v>
      </c>
      <c r="H192" s="2">
        <f t="shared" si="5"/>
        <v>14249</v>
      </c>
      <c r="I192" s="2">
        <f t="shared" si="6"/>
        <v>2557</v>
      </c>
      <c r="J192" s="2">
        <f t="shared" si="7"/>
        <v>1760</v>
      </c>
      <c r="K192" s="2">
        <f t="shared" si="8"/>
        <v>1361</v>
      </c>
      <c r="L192" s="2">
        <f t="shared" si="9"/>
        <v>1122</v>
      </c>
      <c r="M192" s="2">
        <f t="shared" si="10"/>
        <v>963</v>
      </c>
      <c r="N192" s="2">
        <f t="shared" si="11"/>
        <v>763</v>
      </c>
      <c r="O192" s="2">
        <f t="shared" si="12"/>
        <v>4000</v>
      </c>
      <c r="P192" s="2">
        <f t="shared" si="13"/>
        <v>11999</v>
      </c>
      <c r="Q192" s="2">
        <f t="shared" si="14"/>
        <v>13449</v>
      </c>
      <c r="R192" s="2">
        <f t="shared" si="15"/>
        <v>2415</v>
      </c>
      <c r="S192" s="2">
        <f t="shared" si="16"/>
        <v>1662</v>
      </c>
      <c r="T192" s="2">
        <f t="shared" si="17"/>
        <v>1286</v>
      </c>
      <c r="U192" s="2">
        <f t="shared" si="18"/>
        <v>1060</v>
      </c>
      <c r="V192" s="2">
        <f t="shared" si="19"/>
        <v>909</v>
      </c>
      <c r="W192" s="2">
        <f t="shared" si="20"/>
        <v>721</v>
      </c>
      <c r="X192" s="2">
        <f t="shared" si="21"/>
        <v>4800</v>
      </c>
      <c r="Y192" s="2">
        <f t="shared" si="22"/>
        <v>11199</v>
      </c>
      <c r="Z192" s="2">
        <f t="shared" si="23"/>
        <v>12649</v>
      </c>
      <c r="AA192" s="2">
        <f t="shared" si="24"/>
        <v>2272</v>
      </c>
      <c r="AB192" s="2">
        <f t="shared" si="25"/>
        <v>1564</v>
      </c>
      <c r="AC192" s="2">
        <f t="shared" si="26"/>
        <v>1210</v>
      </c>
      <c r="AD192" s="2">
        <f t="shared" si="27"/>
        <v>997</v>
      </c>
      <c r="AE192" s="2">
        <f t="shared" si="28"/>
        <v>855</v>
      </c>
      <c r="AF192" s="2">
        <f t="shared" si="29"/>
        <v>678</v>
      </c>
      <c r="AG192" s="2">
        <f t="shared" si="30"/>
        <v>5600</v>
      </c>
      <c r="AH192" s="2">
        <f t="shared" si="31"/>
        <v>10399</v>
      </c>
      <c r="AI192" s="2">
        <f t="shared" si="32"/>
        <v>11849</v>
      </c>
      <c r="AJ192" s="2">
        <f t="shared" si="33"/>
        <v>2130</v>
      </c>
      <c r="AK192" s="2">
        <f t="shared" si="34"/>
        <v>1466</v>
      </c>
      <c r="AL192" s="2">
        <f t="shared" si="35"/>
        <v>1134</v>
      </c>
      <c r="AM192" s="2">
        <f t="shared" si="36"/>
        <v>935</v>
      </c>
      <c r="AN192" s="2">
        <f t="shared" si="37"/>
        <v>802</v>
      </c>
      <c r="AO192" s="2">
        <f t="shared" si="38"/>
        <v>636</v>
      </c>
      <c r="AP192" s="2">
        <f t="shared" si="39"/>
        <v>6400</v>
      </c>
      <c r="AQ192" s="2">
        <f t="shared" si="40"/>
        <v>9599</v>
      </c>
      <c r="AR192" s="2">
        <f t="shared" si="41"/>
        <v>11049</v>
      </c>
      <c r="AS192" s="2">
        <f t="shared" si="42"/>
        <v>1987</v>
      </c>
      <c r="AT192" s="2">
        <f t="shared" si="43"/>
        <v>1368</v>
      </c>
      <c r="AU192" s="2">
        <f t="shared" si="44"/>
        <v>1058</v>
      </c>
      <c r="AV192" s="2">
        <f t="shared" si="45"/>
        <v>872</v>
      </c>
      <c r="AW192" s="2">
        <f t="shared" si="46"/>
        <v>748</v>
      </c>
      <c r="AX192" s="2">
        <f t="shared" si="47"/>
        <v>593</v>
      </c>
    </row>
    <row r="193" ht="14.25" customHeight="1">
      <c r="A193" s="2" t="str">
        <f t="array" ref="A193">IFERROR(INDEX('Product Price'!A:A,SMALL('Product Price'!$D:$D,191)),"")</f>
        <v>OPPO A7 Pro 5G 8/128 GB</v>
      </c>
      <c r="B193" s="2">
        <f t="array" ref="B193">IFERROR(INDEX('Product Price'!B:B,SMALL('Product Price'!$D:$D,191)),"")</f>
        <v>13999</v>
      </c>
      <c r="C193" s="2">
        <f t="array" ref="C193">IFERROR(INDEX('Product Price'!C:C,SMALL('Product Price'!$D:$D,191)),"")</f>
        <v>252</v>
      </c>
      <c r="D193" s="2">
        <f t="shared" si="1"/>
        <v>1450</v>
      </c>
      <c r="E193" s="2">
        <f t="shared" si="2"/>
        <v>15449</v>
      </c>
      <c r="F193" s="2">
        <f t="shared" si="3"/>
        <v>2800</v>
      </c>
      <c r="G193" s="2">
        <f t="shared" si="4"/>
        <v>11199</v>
      </c>
      <c r="H193" s="2">
        <f t="shared" si="5"/>
        <v>12649</v>
      </c>
      <c r="I193" s="2">
        <f t="shared" si="6"/>
        <v>2272</v>
      </c>
      <c r="J193" s="2">
        <f t="shared" si="7"/>
        <v>1564</v>
      </c>
      <c r="K193" s="2">
        <f t="shared" si="8"/>
        <v>1210</v>
      </c>
      <c r="L193" s="2">
        <f t="shared" si="9"/>
        <v>997</v>
      </c>
      <c r="M193" s="2">
        <f t="shared" si="10"/>
        <v>855</v>
      </c>
      <c r="N193" s="2">
        <f t="shared" si="11"/>
        <v>678</v>
      </c>
      <c r="O193" s="2">
        <f t="shared" si="12"/>
        <v>3500</v>
      </c>
      <c r="P193" s="2">
        <f t="shared" si="13"/>
        <v>10499</v>
      </c>
      <c r="Q193" s="2">
        <f t="shared" si="14"/>
        <v>11949</v>
      </c>
      <c r="R193" s="2">
        <f t="shared" si="15"/>
        <v>2147</v>
      </c>
      <c r="S193" s="2">
        <f t="shared" si="16"/>
        <v>1478</v>
      </c>
      <c r="T193" s="2">
        <f t="shared" si="17"/>
        <v>1143</v>
      </c>
      <c r="U193" s="2">
        <f t="shared" si="18"/>
        <v>942</v>
      </c>
      <c r="V193" s="2">
        <f t="shared" si="19"/>
        <v>809</v>
      </c>
      <c r="W193" s="2">
        <f t="shared" si="20"/>
        <v>641</v>
      </c>
      <c r="X193" s="2">
        <f t="shared" si="21"/>
        <v>4200</v>
      </c>
      <c r="Y193" s="2">
        <f t="shared" si="22"/>
        <v>9799</v>
      </c>
      <c r="Z193" s="2">
        <f t="shared" si="23"/>
        <v>11249</v>
      </c>
      <c r="AA193" s="2">
        <f t="shared" si="24"/>
        <v>2023</v>
      </c>
      <c r="AB193" s="2">
        <f t="shared" si="25"/>
        <v>1392</v>
      </c>
      <c r="AC193" s="2">
        <f t="shared" si="26"/>
        <v>1077</v>
      </c>
      <c r="AD193" s="2">
        <f t="shared" si="27"/>
        <v>888</v>
      </c>
      <c r="AE193" s="2">
        <f t="shared" si="28"/>
        <v>762</v>
      </c>
      <c r="AF193" s="2">
        <f t="shared" si="29"/>
        <v>604</v>
      </c>
      <c r="AG193" s="2">
        <f t="shared" si="30"/>
        <v>4900</v>
      </c>
      <c r="AH193" s="2">
        <f t="shared" si="31"/>
        <v>9099</v>
      </c>
      <c r="AI193" s="2">
        <f t="shared" si="32"/>
        <v>10549</v>
      </c>
      <c r="AJ193" s="2">
        <f t="shared" si="33"/>
        <v>1898</v>
      </c>
      <c r="AK193" s="2">
        <f t="shared" si="34"/>
        <v>1306</v>
      </c>
      <c r="AL193" s="2">
        <f t="shared" si="35"/>
        <v>1011</v>
      </c>
      <c r="AM193" s="2">
        <f t="shared" si="36"/>
        <v>833</v>
      </c>
      <c r="AN193" s="2">
        <f t="shared" si="37"/>
        <v>715</v>
      </c>
      <c r="AO193" s="2">
        <f t="shared" si="38"/>
        <v>567</v>
      </c>
      <c r="AP193" s="2">
        <f t="shared" si="39"/>
        <v>5600</v>
      </c>
      <c r="AQ193" s="2">
        <f t="shared" si="40"/>
        <v>8399</v>
      </c>
      <c r="AR193" s="2">
        <f t="shared" si="41"/>
        <v>9849</v>
      </c>
      <c r="AS193" s="2">
        <f t="shared" si="42"/>
        <v>1773</v>
      </c>
      <c r="AT193" s="2">
        <f t="shared" si="43"/>
        <v>1221</v>
      </c>
      <c r="AU193" s="2">
        <f t="shared" si="44"/>
        <v>944</v>
      </c>
      <c r="AV193" s="2">
        <f t="shared" si="45"/>
        <v>778</v>
      </c>
      <c r="AW193" s="2">
        <f t="shared" si="46"/>
        <v>668</v>
      </c>
      <c r="AX193" s="2">
        <f t="shared" si="47"/>
        <v>530</v>
      </c>
    </row>
    <row r="194" ht="14.25" customHeight="1">
      <c r="A194" s="2" t="str">
        <f t="array" ref="A194">IFERROR(INDEX('Product Price'!A:A,SMALL('Product Price'!$D:$D,192)),"")</f>
        <v>OPPO A6s 5G 8/256 GB</v>
      </c>
      <c r="B194" s="2">
        <f t="array" ref="B194">IFERROR(INDEX('Product Price'!B:B,SMALL('Product Price'!$D:$D,192)),"")</f>
        <v>14999</v>
      </c>
      <c r="C194" s="2">
        <f t="array" ref="C194">IFERROR(INDEX('Product Price'!C:C,SMALL('Product Price'!$D:$D,192)),"")</f>
        <v>197</v>
      </c>
      <c r="D194" s="2">
        <f t="shared" si="1"/>
        <v>1450</v>
      </c>
      <c r="E194" s="2">
        <f t="shared" si="2"/>
        <v>16449</v>
      </c>
      <c r="F194" s="2">
        <f t="shared" si="3"/>
        <v>3000</v>
      </c>
      <c r="G194" s="2">
        <f t="shared" si="4"/>
        <v>11999</v>
      </c>
      <c r="H194" s="2">
        <f t="shared" si="5"/>
        <v>13449</v>
      </c>
      <c r="I194" s="2">
        <f t="shared" si="6"/>
        <v>2415</v>
      </c>
      <c r="J194" s="2">
        <f t="shared" si="7"/>
        <v>1662</v>
      </c>
      <c r="K194" s="2">
        <f t="shared" si="8"/>
        <v>1286</v>
      </c>
      <c r="L194" s="2">
        <f t="shared" si="9"/>
        <v>1060</v>
      </c>
      <c r="M194" s="2">
        <f t="shared" si="10"/>
        <v>909</v>
      </c>
      <c r="N194" s="2">
        <f t="shared" si="11"/>
        <v>721</v>
      </c>
      <c r="O194" s="2">
        <f t="shared" si="12"/>
        <v>3750</v>
      </c>
      <c r="P194" s="2">
        <f t="shared" si="13"/>
        <v>11249</v>
      </c>
      <c r="Q194" s="2">
        <f t="shared" si="14"/>
        <v>12699</v>
      </c>
      <c r="R194" s="2">
        <f t="shared" si="15"/>
        <v>2281</v>
      </c>
      <c r="S194" s="2">
        <f t="shared" si="16"/>
        <v>1570</v>
      </c>
      <c r="T194" s="2">
        <f t="shared" si="17"/>
        <v>1214</v>
      </c>
      <c r="U194" s="2">
        <f t="shared" si="18"/>
        <v>1001</v>
      </c>
      <c r="V194" s="2">
        <f t="shared" si="19"/>
        <v>859</v>
      </c>
      <c r="W194" s="2">
        <f t="shared" si="20"/>
        <v>681</v>
      </c>
      <c r="X194" s="2">
        <f t="shared" si="21"/>
        <v>4500</v>
      </c>
      <c r="Y194" s="2">
        <f t="shared" si="22"/>
        <v>10499</v>
      </c>
      <c r="Z194" s="2">
        <f t="shared" si="23"/>
        <v>11949</v>
      </c>
      <c r="AA194" s="2">
        <f t="shared" si="24"/>
        <v>2147</v>
      </c>
      <c r="AB194" s="2">
        <f t="shared" si="25"/>
        <v>1478</v>
      </c>
      <c r="AC194" s="2">
        <f t="shared" si="26"/>
        <v>1143</v>
      </c>
      <c r="AD194" s="2">
        <f t="shared" si="27"/>
        <v>942</v>
      </c>
      <c r="AE194" s="2">
        <f t="shared" si="28"/>
        <v>809</v>
      </c>
      <c r="AF194" s="2">
        <f t="shared" si="29"/>
        <v>641</v>
      </c>
      <c r="AG194" s="2">
        <f t="shared" si="30"/>
        <v>5250</v>
      </c>
      <c r="AH194" s="2">
        <f t="shared" si="31"/>
        <v>9749</v>
      </c>
      <c r="AI194" s="2">
        <f t="shared" si="32"/>
        <v>11199</v>
      </c>
      <c r="AJ194" s="2">
        <f t="shared" si="33"/>
        <v>2014</v>
      </c>
      <c r="AK194" s="2">
        <f t="shared" si="34"/>
        <v>1386</v>
      </c>
      <c r="AL194" s="2">
        <f t="shared" si="35"/>
        <v>1072</v>
      </c>
      <c r="AM194" s="2">
        <f t="shared" si="36"/>
        <v>884</v>
      </c>
      <c r="AN194" s="2">
        <f t="shared" si="37"/>
        <v>758</v>
      </c>
      <c r="AO194" s="2">
        <f t="shared" si="38"/>
        <v>601</v>
      </c>
      <c r="AP194" s="2">
        <f t="shared" si="39"/>
        <v>6000</v>
      </c>
      <c r="AQ194" s="2">
        <f t="shared" si="40"/>
        <v>8999</v>
      </c>
      <c r="AR194" s="2">
        <f t="shared" si="41"/>
        <v>10449</v>
      </c>
      <c r="AS194" s="2">
        <f t="shared" si="42"/>
        <v>1880</v>
      </c>
      <c r="AT194" s="2">
        <f t="shared" si="43"/>
        <v>1294</v>
      </c>
      <c r="AU194" s="2">
        <f t="shared" si="44"/>
        <v>1001</v>
      </c>
      <c r="AV194" s="2">
        <f t="shared" si="45"/>
        <v>825</v>
      </c>
      <c r="AW194" s="2">
        <f t="shared" si="46"/>
        <v>708</v>
      </c>
      <c r="AX194" s="2">
        <f t="shared" si="47"/>
        <v>561</v>
      </c>
    </row>
    <row r="195" ht="14.25" customHeight="1">
      <c r="A195" s="2" t="str">
        <f t="array" ref="A195">IFERROR(INDEX('Product Price'!A:A,SMALL('Product Price'!$D:$D,193)),"")</f>
        <v>OPPO A6s 5G 8/128 GB</v>
      </c>
      <c r="B195" s="2">
        <f t="array" ref="B195">IFERROR(INDEX('Product Price'!B:B,SMALL('Product Price'!$D:$D,193)),"")</f>
        <v>11999</v>
      </c>
      <c r="C195" s="2">
        <f t="array" ref="C195">IFERROR(INDEX('Product Price'!C:C,SMALL('Product Price'!$D:$D,193)),"")</f>
        <v>198</v>
      </c>
      <c r="D195" s="2">
        <f t="shared" si="1"/>
        <v>1450</v>
      </c>
      <c r="E195" s="2">
        <f t="shared" si="2"/>
        <v>13449</v>
      </c>
      <c r="F195" s="2">
        <f t="shared" si="3"/>
        <v>2400</v>
      </c>
      <c r="G195" s="2">
        <f t="shared" si="4"/>
        <v>9599</v>
      </c>
      <c r="H195" s="2">
        <f t="shared" si="5"/>
        <v>11049</v>
      </c>
      <c r="I195" s="2">
        <f t="shared" si="6"/>
        <v>1987</v>
      </c>
      <c r="J195" s="2">
        <f t="shared" si="7"/>
        <v>1368</v>
      </c>
      <c r="K195" s="2">
        <f t="shared" si="8"/>
        <v>1058</v>
      </c>
      <c r="L195" s="2">
        <f t="shared" si="9"/>
        <v>872</v>
      </c>
      <c r="M195" s="2">
        <f t="shared" si="10"/>
        <v>748</v>
      </c>
      <c r="N195" s="2">
        <f t="shared" si="11"/>
        <v>593</v>
      </c>
      <c r="O195" s="2">
        <f t="shared" si="12"/>
        <v>3000</v>
      </c>
      <c r="P195" s="2">
        <f t="shared" si="13"/>
        <v>8999</v>
      </c>
      <c r="Q195" s="2">
        <f t="shared" si="14"/>
        <v>10449</v>
      </c>
      <c r="R195" s="2">
        <f t="shared" si="15"/>
        <v>1880</v>
      </c>
      <c r="S195" s="2">
        <f t="shared" si="16"/>
        <v>1294</v>
      </c>
      <c r="T195" s="2">
        <f t="shared" si="17"/>
        <v>1001</v>
      </c>
      <c r="U195" s="2">
        <f t="shared" si="18"/>
        <v>825</v>
      </c>
      <c r="V195" s="2">
        <f t="shared" si="19"/>
        <v>708</v>
      </c>
      <c r="W195" s="2">
        <f t="shared" si="20"/>
        <v>561</v>
      </c>
      <c r="X195" s="2">
        <f t="shared" si="21"/>
        <v>3600</v>
      </c>
      <c r="Y195" s="2">
        <f t="shared" si="22"/>
        <v>8399</v>
      </c>
      <c r="Z195" s="2">
        <f t="shared" si="23"/>
        <v>9849</v>
      </c>
      <c r="AA195" s="2">
        <f t="shared" si="24"/>
        <v>1773</v>
      </c>
      <c r="AB195" s="2">
        <f t="shared" si="25"/>
        <v>1221</v>
      </c>
      <c r="AC195" s="2">
        <f t="shared" si="26"/>
        <v>944</v>
      </c>
      <c r="AD195" s="2">
        <f t="shared" si="27"/>
        <v>778</v>
      </c>
      <c r="AE195" s="2">
        <f t="shared" si="28"/>
        <v>668</v>
      </c>
      <c r="AF195" s="2">
        <f t="shared" si="29"/>
        <v>530</v>
      </c>
      <c r="AG195" s="2">
        <f t="shared" si="30"/>
        <v>4200</v>
      </c>
      <c r="AH195" s="2">
        <f t="shared" si="31"/>
        <v>7799</v>
      </c>
      <c r="AI195" s="2">
        <f t="shared" si="32"/>
        <v>9249</v>
      </c>
      <c r="AJ195" s="2">
        <f t="shared" si="33"/>
        <v>1666</v>
      </c>
      <c r="AK195" s="2">
        <f t="shared" si="34"/>
        <v>1147</v>
      </c>
      <c r="AL195" s="2">
        <f t="shared" si="35"/>
        <v>887</v>
      </c>
      <c r="AM195" s="2">
        <f t="shared" si="36"/>
        <v>731</v>
      </c>
      <c r="AN195" s="2">
        <f t="shared" si="37"/>
        <v>628</v>
      </c>
      <c r="AO195" s="2">
        <f t="shared" si="38"/>
        <v>498</v>
      </c>
      <c r="AP195" s="2">
        <f t="shared" si="39"/>
        <v>4800</v>
      </c>
      <c r="AQ195" s="2">
        <f t="shared" si="40"/>
        <v>7199</v>
      </c>
      <c r="AR195" s="2">
        <f t="shared" si="41"/>
        <v>8649</v>
      </c>
      <c r="AS195" s="2">
        <f t="shared" si="42"/>
        <v>1560</v>
      </c>
      <c r="AT195" s="2">
        <f t="shared" si="43"/>
        <v>1073</v>
      </c>
      <c r="AU195" s="2">
        <f t="shared" si="44"/>
        <v>830</v>
      </c>
      <c r="AV195" s="2">
        <f t="shared" si="45"/>
        <v>684</v>
      </c>
      <c r="AW195" s="2">
        <f t="shared" si="46"/>
        <v>587</v>
      </c>
      <c r="AX195" s="2" t="str">
        <f t="shared" si="47"/>
        <v>-</v>
      </c>
    </row>
    <row r="196" ht="14.25" customHeight="1">
      <c r="A196" s="2" t="str">
        <f t="array" ref="A196">IFERROR(INDEX('Product Price'!A:A,SMALL('Product Price'!$D:$D,194)),"")</f>
        <v>OPPO A6 5G 6/128 GB</v>
      </c>
      <c r="B196" s="2">
        <f t="array" ref="B196">IFERROR(INDEX('Product Price'!B:B,SMALL('Product Price'!$D:$D,194)),"")</f>
        <v>8499</v>
      </c>
      <c r="C196" s="2">
        <f t="array" ref="C196">IFERROR(INDEX('Product Price'!C:C,SMALL('Product Price'!$D:$D,194)),"")</f>
        <v>199</v>
      </c>
      <c r="D196" s="2">
        <f t="shared" si="1"/>
        <v>795</v>
      </c>
      <c r="E196" s="2">
        <f t="shared" si="2"/>
        <v>9294</v>
      </c>
      <c r="F196" s="2">
        <f t="shared" si="3"/>
        <v>1700</v>
      </c>
      <c r="G196" s="2">
        <f t="shared" si="4"/>
        <v>6799</v>
      </c>
      <c r="H196" s="2">
        <f t="shared" si="5"/>
        <v>7594</v>
      </c>
      <c r="I196" s="2">
        <f t="shared" si="6"/>
        <v>1363</v>
      </c>
      <c r="J196" s="2">
        <f t="shared" si="7"/>
        <v>938</v>
      </c>
      <c r="K196" s="2">
        <f t="shared" si="8"/>
        <v>726</v>
      </c>
      <c r="L196" s="2">
        <f t="shared" si="9"/>
        <v>598</v>
      </c>
      <c r="M196" s="2">
        <f t="shared" si="10"/>
        <v>513</v>
      </c>
      <c r="N196" s="2" t="str">
        <f t="shared" si="11"/>
        <v>-</v>
      </c>
      <c r="O196" s="2">
        <f t="shared" si="12"/>
        <v>2125</v>
      </c>
      <c r="P196" s="2">
        <f t="shared" si="13"/>
        <v>6374</v>
      </c>
      <c r="Q196" s="2">
        <f t="shared" si="14"/>
        <v>7169</v>
      </c>
      <c r="R196" s="2">
        <f t="shared" si="15"/>
        <v>1288</v>
      </c>
      <c r="S196" s="2">
        <f t="shared" si="16"/>
        <v>886</v>
      </c>
      <c r="T196" s="2">
        <f t="shared" si="17"/>
        <v>686</v>
      </c>
      <c r="U196" s="2">
        <f t="shared" si="18"/>
        <v>565</v>
      </c>
      <c r="V196" s="2">
        <f t="shared" si="19"/>
        <v>485</v>
      </c>
      <c r="W196" s="2" t="str">
        <f t="shared" si="20"/>
        <v>-</v>
      </c>
      <c r="X196" s="2">
        <f t="shared" si="21"/>
        <v>2550</v>
      </c>
      <c r="Y196" s="2">
        <f t="shared" si="22"/>
        <v>5949</v>
      </c>
      <c r="Z196" s="2">
        <f t="shared" si="23"/>
        <v>6744</v>
      </c>
      <c r="AA196" s="2">
        <f t="shared" si="24"/>
        <v>1212</v>
      </c>
      <c r="AB196" s="2">
        <f t="shared" si="25"/>
        <v>834</v>
      </c>
      <c r="AC196" s="2">
        <f t="shared" si="26"/>
        <v>645</v>
      </c>
      <c r="AD196" s="2">
        <f t="shared" si="27"/>
        <v>532</v>
      </c>
      <c r="AE196" s="2" t="str">
        <f t="shared" si="28"/>
        <v>-</v>
      </c>
      <c r="AF196" s="2" t="str">
        <f t="shared" si="29"/>
        <v>-</v>
      </c>
      <c r="AG196" s="2">
        <f t="shared" si="30"/>
        <v>2975</v>
      </c>
      <c r="AH196" s="2">
        <f t="shared" si="31"/>
        <v>5524</v>
      </c>
      <c r="AI196" s="2">
        <f t="shared" si="32"/>
        <v>6319</v>
      </c>
      <c r="AJ196" s="2">
        <f t="shared" si="33"/>
        <v>1136</v>
      </c>
      <c r="AK196" s="2">
        <f t="shared" si="34"/>
        <v>782</v>
      </c>
      <c r="AL196" s="2">
        <f t="shared" si="35"/>
        <v>605</v>
      </c>
      <c r="AM196" s="2">
        <f t="shared" si="36"/>
        <v>499</v>
      </c>
      <c r="AN196" s="2" t="str">
        <f t="shared" si="37"/>
        <v>-</v>
      </c>
      <c r="AO196" s="2" t="str">
        <f t="shared" si="38"/>
        <v>-</v>
      </c>
      <c r="AP196" s="2">
        <f t="shared" si="39"/>
        <v>3400</v>
      </c>
      <c r="AQ196" s="2">
        <f t="shared" si="40"/>
        <v>5099</v>
      </c>
      <c r="AR196" s="2">
        <f t="shared" si="41"/>
        <v>5894</v>
      </c>
      <c r="AS196" s="2">
        <f t="shared" si="42"/>
        <v>1061</v>
      </c>
      <c r="AT196" s="2">
        <f t="shared" si="43"/>
        <v>730</v>
      </c>
      <c r="AU196" s="2">
        <f t="shared" si="44"/>
        <v>565</v>
      </c>
      <c r="AV196" s="2" t="str">
        <f t="shared" si="45"/>
        <v>-</v>
      </c>
      <c r="AW196" s="2" t="str">
        <f t="shared" si="46"/>
        <v>-</v>
      </c>
      <c r="AX196" s="2" t="str">
        <f t="shared" si="47"/>
        <v>-</v>
      </c>
    </row>
    <row r="197" ht="14.25" customHeight="1">
      <c r="A197" s="2" t="str">
        <f t="array" ref="A197">IFERROR(INDEX('Product Price'!A:A,SMALL('Product Price'!$D:$D,195)),"")</f>
        <v>OPPO A6 4G 6/128 GB</v>
      </c>
      <c r="B197" s="2">
        <f t="array" ref="B197">IFERROR(INDEX('Product Price'!B:B,SMALL('Product Price'!$D:$D,195)),"")</f>
        <v>6499</v>
      </c>
      <c r="C197" s="2">
        <f t="array" ref="C197">IFERROR(INDEX('Product Price'!C:C,SMALL('Product Price'!$D:$D,195)),"")</f>
        <v>200</v>
      </c>
      <c r="D197" s="2">
        <f t="shared" si="1"/>
        <v>795</v>
      </c>
      <c r="E197" s="2">
        <f t="shared" si="2"/>
        <v>7294</v>
      </c>
      <c r="F197" s="2">
        <f t="shared" si="3"/>
        <v>1300</v>
      </c>
      <c r="G197" s="2">
        <f t="shared" si="4"/>
        <v>5199</v>
      </c>
      <c r="H197" s="2">
        <f t="shared" si="5"/>
        <v>5994</v>
      </c>
      <c r="I197" s="2">
        <f t="shared" si="6"/>
        <v>1078</v>
      </c>
      <c r="J197" s="2">
        <f t="shared" si="7"/>
        <v>742</v>
      </c>
      <c r="K197" s="2">
        <f t="shared" si="8"/>
        <v>574</v>
      </c>
      <c r="L197" s="2">
        <f t="shared" si="9"/>
        <v>473</v>
      </c>
      <c r="M197" s="2" t="str">
        <f t="shared" si="10"/>
        <v>-</v>
      </c>
      <c r="N197" s="2" t="str">
        <f t="shared" si="11"/>
        <v>-</v>
      </c>
      <c r="O197" s="2">
        <f t="shared" si="12"/>
        <v>1625</v>
      </c>
      <c r="P197" s="2">
        <f t="shared" si="13"/>
        <v>4874</v>
      </c>
      <c r="Q197" s="2">
        <f t="shared" si="14"/>
        <v>5669</v>
      </c>
      <c r="R197" s="2">
        <f t="shared" si="15"/>
        <v>1020</v>
      </c>
      <c r="S197" s="2">
        <f t="shared" si="16"/>
        <v>702</v>
      </c>
      <c r="T197" s="2">
        <f t="shared" si="17"/>
        <v>543</v>
      </c>
      <c r="U197" s="2" t="str">
        <f t="shared" si="18"/>
        <v>-</v>
      </c>
      <c r="V197" s="2" t="str">
        <f t="shared" si="19"/>
        <v>-</v>
      </c>
      <c r="W197" s="2" t="str">
        <f t="shared" si="20"/>
        <v>-</v>
      </c>
      <c r="X197" s="2">
        <f t="shared" si="21"/>
        <v>1950</v>
      </c>
      <c r="Y197" s="2">
        <f t="shared" si="22"/>
        <v>4549</v>
      </c>
      <c r="Z197" s="2">
        <f t="shared" si="23"/>
        <v>5344</v>
      </c>
      <c r="AA197" s="2">
        <f t="shared" si="24"/>
        <v>963</v>
      </c>
      <c r="AB197" s="2">
        <f t="shared" si="25"/>
        <v>663</v>
      </c>
      <c r="AC197" s="2">
        <f t="shared" si="26"/>
        <v>513</v>
      </c>
      <c r="AD197" s="2" t="str">
        <f t="shared" si="27"/>
        <v>-</v>
      </c>
      <c r="AE197" s="2" t="str">
        <f t="shared" si="28"/>
        <v>-</v>
      </c>
      <c r="AF197" s="2" t="str">
        <f t="shared" si="29"/>
        <v>-</v>
      </c>
      <c r="AG197" s="2">
        <f t="shared" si="30"/>
        <v>2275</v>
      </c>
      <c r="AH197" s="2">
        <f t="shared" si="31"/>
        <v>4224</v>
      </c>
      <c r="AI197" s="2">
        <f t="shared" si="32"/>
        <v>5019</v>
      </c>
      <c r="AJ197" s="2">
        <f t="shared" si="33"/>
        <v>905</v>
      </c>
      <c r="AK197" s="2">
        <f t="shared" si="34"/>
        <v>623</v>
      </c>
      <c r="AL197" s="2">
        <f t="shared" si="35"/>
        <v>482</v>
      </c>
      <c r="AM197" s="2" t="str">
        <f t="shared" si="36"/>
        <v>-</v>
      </c>
      <c r="AN197" s="2" t="str">
        <f t="shared" si="37"/>
        <v>-</v>
      </c>
      <c r="AO197" s="2" t="str">
        <f t="shared" si="38"/>
        <v>-</v>
      </c>
      <c r="AP197" s="2">
        <f t="shared" si="39"/>
        <v>2600</v>
      </c>
      <c r="AQ197" s="2">
        <f t="shared" si="40"/>
        <v>3899</v>
      </c>
      <c r="AR197" s="2">
        <f t="shared" si="41"/>
        <v>4694</v>
      </c>
      <c r="AS197" s="2">
        <f t="shared" si="42"/>
        <v>847</v>
      </c>
      <c r="AT197" s="2">
        <f t="shared" si="43"/>
        <v>583</v>
      </c>
      <c r="AU197" s="2" t="str">
        <f t="shared" si="44"/>
        <v>-</v>
      </c>
      <c r="AV197" s="2" t="str">
        <f t="shared" si="45"/>
        <v>-</v>
      </c>
      <c r="AW197" s="2" t="str">
        <f t="shared" si="46"/>
        <v>-</v>
      </c>
      <c r="AX197" s="2" t="str">
        <f t="shared" si="47"/>
        <v>-</v>
      </c>
    </row>
    <row r="198" ht="14.25" customHeight="1">
      <c r="A198" s="2" t="str">
        <f t="array" ref="A198">IFERROR(INDEX('Product Price'!A:A,SMALL('Product Price'!$D:$D,196)),"")</f>
        <v>OPPO A6x 5G 4/128 GB</v>
      </c>
      <c r="B198" s="2">
        <f t="array" ref="B198">IFERROR(INDEX('Product Price'!B:B,SMALL('Product Price'!$D:$D,196)),"")</f>
        <v>8999</v>
      </c>
      <c r="C198" s="2">
        <f t="array" ref="C198">IFERROR(INDEX('Product Price'!C:C,SMALL('Product Price'!$D:$D,196)),"")</f>
        <v>203</v>
      </c>
      <c r="D198" s="2">
        <f t="shared" si="1"/>
        <v>795</v>
      </c>
      <c r="E198" s="2">
        <f t="shared" si="2"/>
        <v>9794</v>
      </c>
      <c r="F198" s="2">
        <f t="shared" si="3"/>
        <v>1800</v>
      </c>
      <c r="G198" s="2">
        <f t="shared" si="4"/>
        <v>7199</v>
      </c>
      <c r="H198" s="2">
        <f t="shared" si="5"/>
        <v>7994</v>
      </c>
      <c r="I198" s="2">
        <f t="shared" si="6"/>
        <v>1435</v>
      </c>
      <c r="J198" s="2">
        <f t="shared" si="7"/>
        <v>987</v>
      </c>
      <c r="K198" s="2">
        <f t="shared" si="8"/>
        <v>764</v>
      </c>
      <c r="L198" s="2">
        <f t="shared" si="9"/>
        <v>630</v>
      </c>
      <c r="M198" s="2">
        <f t="shared" si="10"/>
        <v>540</v>
      </c>
      <c r="N198" s="2" t="str">
        <f t="shared" si="11"/>
        <v>-</v>
      </c>
      <c r="O198" s="2">
        <f t="shared" si="12"/>
        <v>2250</v>
      </c>
      <c r="P198" s="2">
        <f t="shared" si="13"/>
        <v>6749</v>
      </c>
      <c r="Q198" s="2">
        <f t="shared" si="14"/>
        <v>7544</v>
      </c>
      <c r="R198" s="2">
        <f t="shared" si="15"/>
        <v>1355</v>
      </c>
      <c r="S198" s="2">
        <f t="shared" si="16"/>
        <v>932</v>
      </c>
      <c r="T198" s="2">
        <f t="shared" si="17"/>
        <v>721</v>
      </c>
      <c r="U198" s="2">
        <f t="shared" si="18"/>
        <v>595</v>
      </c>
      <c r="V198" s="2">
        <f t="shared" si="19"/>
        <v>510</v>
      </c>
      <c r="W198" s="2" t="str">
        <f t="shared" si="20"/>
        <v>-</v>
      </c>
      <c r="X198" s="2">
        <f t="shared" si="21"/>
        <v>2700</v>
      </c>
      <c r="Y198" s="2">
        <f t="shared" si="22"/>
        <v>6299</v>
      </c>
      <c r="Z198" s="2">
        <f t="shared" si="23"/>
        <v>7094</v>
      </c>
      <c r="AA198" s="2">
        <f t="shared" si="24"/>
        <v>1274</v>
      </c>
      <c r="AB198" s="2">
        <f t="shared" si="25"/>
        <v>877</v>
      </c>
      <c r="AC198" s="2">
        <f t="shared" si="26"/>
        <v>679</v>
      </c>
      <c r="AD198" s="2">
        <f t="shared" si="27"/>
        <v>559</v>
      </c>
      <c r="AE198" s="2">
        <f t="shared" si="28"/>
        <v>480</v>
      </c>
      <c r="AF198" s="2" t="str">
        <f t="shared" si="29"/>
        <v>-</v>
      </c>
      <c r="AG198" s="2">
        <f t="shared" si="30"/>
        <v>3150</v>
      </c>
      <c r="AH198" s="2">
        <f t="shared" si="31"/>
        <v>5849</v>
      </c>
      <c r="AI198" s="2">
        <f t="shared" si="32"/>
        <v>6644</v>
      </c>
      <c r="AJ198" s="2">
        <f t="shared" si="33"/>
        <v>1194</v>
      </c>
      <c r="AK198" s="2">
        <f t="shared" si="34"/>
        <v>822</v>
      </c>
      <c r="AL198" s="2">
        <f t="shared" si="35"/>
        <v>636</v>
      </c>
      <c r="AM198" s="2">
        <f t="shared" si="36"/>
        <v>524</v>
      </c>
      <c r="AN198" s="2" t="str">
        <f t="shared" si="37"/>
        <v>-</v>
      </c>
      <c r="AO198" s="2" t="str">
        <f t="shared" si="38"/>
        <v>-</v>
      </c>
      <c r="AP198" s="2">
        <f t="shared" si="39"/>
        <v>3600</v>
      </c>
      <c r="AQ198" s="2">
        <f t="shared" si="40"/>
        <v>5399</v>
      </c>
      <c r="AR198" s="2">
        <f t="shared" si="41"/>
        <v>6194</v>
      </c>
      <c r="AS198" s="2">
        <f t="shared" si="42"/>
        <v>1114</v>
      </c>
      <c r="AT198" s="2">
        <f t="shared" si="43"/>
        <v>767</v>
      </c>
      <c r="AU198" s="2">
        <f t="shared" si="44"/>
        <v>593</v>
      </c>
      <c r="AV198" s="2">
        <f t="shared" si="45"/>
        <v>489</v>
      </c>
      <c r="AW198" s="2" t="str">
        <f t="shared" si="46"/>
        <v>-</v>
      </c>
      <c r="AX198" s="2" t="str">
        <f t="shared" si="47"/>
        <v>-</v>
      </c>
    </row>
    <row r="199" ht="14.25" customHeight="1">
      <c r="A199" s="2" t="str">
        <f t="array" ref="A199">IFERROR(INDEX('Product Price'!A:A,SMALL('Product Price'!$D:$D,197)),"")</f>
        <v>OPPO Pad 5 Matte Display Edition 5G 8/256 GB</v>
      </c>
      <c r="B199" s="2">
        <f t="array" ref="B199">IFERROR(INDEX('Product Price'!B:B,SMALL('Product Price'!$D:$D,197)),"")</f>
        <v>18999</v>
      </c>
      <c r="C199" s="2">
        <f t="array" ref="C199">IFERROR(INDEX('Product Price'!C:C,SMALL('Product Price'!$D:$D,197)),"")</f>
        <v>270</v>
      </c>
      <c r="D199" s="2">
        <f t="shared" si="1"/>
        <v>1450</v>
      </c>
      <c r="E199" s="2">
        <f t="shared" si="2"/>
        <v>20449</v>
      </c>
      <c r="F199" s="2">
        <f t="shared" si="3"/>
        <v>3800</v>
      </c>
      <c r="G199" s="2">
        <f t="shared" si="4"/>
        <v>15199</v>
      </c>
      <c r="H199" s="2">
        <f t="shared" si="5"/>
        <v>16649</v>
      </c>
      <c r="I199" s="2">
        <f t="shared" si="6"/>
        <v>2985</v>
      </c>
      <c r="J199" s="2">
        <f t="shared" si="7"/>
        <v>2054</v>
      </c>
      <c r="K199" s="2">
        <f t="shared" si="8"/>
        <v>1589</v>
      </c>
      <c r="L199" s="2">
        <f t="shared" si="9"/>
        <v>1310</v>
      </c>
      <c r="M199" s="2">
        <f t="shared" si="10"/>
        <v>1124</v>
      </c>
      <c r="N199" s="2">
        <f t="shared" si="11"/>
        <v>891</v>
      </c>
      <c r="O199" s="2">
        <f t="shared" si="12"/>
        <v>4750</v>
      </c>
      <c r="P199" s="2">
        <f t="shared" si="13"/>
        <v>14249</v>
      </c>
      <c r="Q199" s="2">
        <f t="shared" si="14"/>
        <v>15699</v>
      </c>
      <c r="R199" s="2">
        <f t="shared" si="15"/>
        <v>2816</v>
      </c>
      <c r="S199" s="2">
        <f t="shared" si="16"/>
        <v>1938</v>
      </c>
      <c r="T199" s="2">
        <f t="shared" si="17"/>
        <v>1499</v>
      </c>
      <c r="U199" s="2">
        <f t="shared" si="18"/>
        <v>1236</v>
      </c>
      <c r="V199" s="2">
        <f t="shared" si="19"/>
        <v>1060</v>
      </c>
      <c r="W199" s="2">
        <f t="shared" si="20"/>
        <v>841</v>
      </c>
      <c r="X199" s="2">
        <f t="shared" si="21"/>
        <v>5700</v>
      </c>
      <c r="Y199" s="2">
        <f t="shared" si="22"/>
        <v>13299</v>
      </c>
      <c r="Z199" s="2">
        <f t="shared" si="23"/>
        <v>14749</v>
      </c>
      <c r="AA199" s="2">
        <f t="shared" si="24"/>
        <v>2646</v>
      </c>
      <c r="AB199" s="2">
        <f t="shared" si="25"/>
        <v>1821</v>
      </c>
      <c r="AC199" s="2">
        <f t="shared" si="26"/>
        <v>1409</v>
      </c>
      <c r="AD199" s="2">
        <f t="shared" si="27"/>
        <v>1161</v>
      </c>
      <c r="AE199" s="2">
        <f t="shared" si="28"/>
        <v>996</v>
      </c>
      <c r="AF199" s="2">
        <f t="shared" si="29"/>
        <v>790</v>
      </c>
      <c r="AG199" s="2">
        <f t="shared" si="30"/>
        <v>6650</v>
      </c>
      <c r="AH199" s="2">
        <f t="shared" si="31"/>
        <v>12349</v>
      </c>
      <c r="AI199" s="2">
        <f t="shared" si="32"/>
        <v>13799</v>
      </c>
      <c r="AJ199" s="2">
        <f t="shared" si="33"/>
        <v>2477</v>
      </c>
      <c r="AK199" s="2">
        <f t="shared" si="34"/>
        <v>1705</v>
      </c>
      <c r="AL199" s="2">
        <f t="shared" si="35"/>
        <v>1319</v>
      </c>
      <c r="AM199" s="2">
        <f t="shared" si="36"/>
        <v>1087</v>
      </c>
      <c r="AN199" s="2">
        <f t="shared" si="37"/>
        <v>933</v>
      </c>
      <c r="AO199" s="2">
        <f t="shared" si="38"/>
        <v>740</v>
      </c>
      <c r="AP199" s="2">
        <f t="shared" si="39"/>
        <v>7600</v>
      </c>
      <c r="AQ199" s="2">
        <f t="shared" si="40"/>
        <v>11399</v>
      </c>
      <c r="AR199" s="2">
        <f t="shared" si="41"/>
        <v>12849</v>
      </c>
      <c r="AS199" s="2">
        <f t="shared" si="42"/>
        <v>2308</v>
      </c>
      <c r="AT199" s="2">
        <f t="shared" si="43"/>
        <v>1588</v>
      </c>
      <c r="AU199" s="2">
        <f t="shared" si="44"/>
        <v>1229</v>
      </c>
      <c r="AV199" s="2">
        <f t="shared" si="45"/>
        <v>1013</v>
      </c>
      <c r="AW199" s="2">
        <f t="shared" si="46"/>
        <v>869</v>
      </c>
      <c r="AX199" s="2">
        <f t="shared" si="47"/>
        <v>689</v>
      </c>
    </row>
    <row r="200" ht="14.25" customHeight="1">
      <c r="A200" s="2" t="str">
        <f t="array" ref="A200">IFERROR(INDEX('Product Price'!A:A,SMALL('Product Price'!$D:$D,198)),"")</f>
        <v>OPPA Pad SE Matte Display Edition 8/256 GB</v>
      </c>
      <c r="B200" s="2">
        <f t="array" ref="B200">IFERROR(INDEX('Product Price'!B:B,SMALL('Product Price'!$D:$D,198)),"")</f>
        <v>11999</v>
      </c>
      <c r="C200" s="2">
        <f t="array" ref="C200">IFERROR(INDEX('Product Price'!C:C,SMALL('Product Price'!$D:$D,198)),"")</f>
        <v>271</v>
      </c>
      <c r="D200" s="2">
        <f t="shared" si="1"/>
        <v>1450</v>
      </c>
      <c r="E200" s="2">
        <f t="shared" si="2"/>
        <v>13449</v>
      </c>
      <c r="F200" s="2">
        <f t="shared" si="3"/>
        <v>2400</v>
      </c>
      <c r="G200" s="2">
        <f t="shared" si="4"/>
        <v>9599</v>
      </c>
      <c r="H200" s="2">
        <f t="shared" si="5"/>
        <v>11049</v>
      </c>
      <c r="I200" s="2">
        <f t="shared" si="6"/>
        <v>1987</v>
      </c>
      <c r="J200" s="2">
        <f t="shared" si="7"/>
        <v>1368</v>
      </c>
      <c r="K200" s="2">
        <f t="shared" si="8"/>
        <v>1058</v>
      </c>
      <c r="L200" s="2">
        <f t="shared" si="9"/>
        <v>872</v>
      </c>
      <c r="M200" s="2">
        <f t="shared" si="10"/>
        <v>748</v>
      </c>
      <c r="N200" s="2">
        <f t="shared" si="11"/>
        <v>593</v>
      </c>
      <c r="O200" s="2">
        <f t="shared" si="12"/>
        <v>3000</v>
      </c>
      <c r="P200" s="2">
        <f t="shared" si="13"/>
        <v>8999</v>
      </c>
      <c r="Q200" s="2">
        <f t="shared" si="14"/>
        <v>10449</v>
      </c>
      <c r="R200" s="2">
        <f t="shared" si="15"/>
        <v>1880</v>
      </c>
      <c r="S200" s="2">
        <f t="shared" si="16"/>
        <v>1294</v>
      </c>
      <c r="T200" s="2">
        <f t="shared" si="17"/>
        <v>1001</v>
      </c>
      <c r="U200" s="2">
        <f t="shared" si="18"/>
        <v>825</v>
      </c>
      <c r="V200" s="2">
        <f t="shared" si="19"/>
        <v>708</v>
      </c>
      <c r="W200" s="2">
        <f t="shared" si="20"/>
        <v>561</v>
      </c>
      <c r="X200" s="2">
        <f t="shared" si="21"/>
        <v>3600</v>
      </c>
      <c r="Y200" s="2">
        <f t="shared" si="22"/>
        <v>8399</v>
      </c>
      <c r="Z200" s="2">
        <f t="shared" si="23"/>
        <v>9849</v>
      </c>
      <c r="AA200" s="2">
        <f t="shared" si="24"/>
        <v>1773</v>
      </c>
      <c r="AB200" s="2">
        <f t="shared" si="25"/>
        <v>1221</v>
      </c>
      <c r="AC200" s="2">
        <f t="shared" si="26"/>
        <v>944</v>
      </c>
      <c r="AD200" s="2">
        <f t="shared" si="27"/>
        <v>778</v>
      </c>
      <c r="AE200" s="2">
        <f t="shared" si="28"/>
        <v>668</v>
      </c>
      <c r="AF200" s="2">
        <f t="shared" si="29"/>
        <v>530</v>
      </c>
      <c r="AG200" s="2">
        <f t="shared" si="30"/>
        <v>4200</v>
      </c>
      <c r="AH200" s="2">
        <f t="shared" si="31"/>
        <v>7799</v>
      </c>
      <c r="AI200" s="2">
        <f t="shared" si="32"/>
        <v>9249</v>
      </c>
      <c r="AJ200" s="2">
        <f t="shared" si="33"/>
        <v>1666</v>
      </c>
      <c r="AK200" s="2">
        <f t="shared" si="34"/>
        <v>1147</v>
      </c>
      <c r="AL200" s="2">
        <f t="shared" si="35"/>
        <v>887</v>
      </c>
      <c r="AM200" s="2">
        <f t="shared" si="36"/>
        <v>731</v>
      </c>
      <c r="AN200" s="2">
        <f t="shared" si="37"/>
        <v>628</v>
      </c>
      <c r="AO200" s="2">
        <f t="shared" si="38"/>
        <v>498</v>
      </c>
      <c r="AP200" s="2">
        <f t="shared" si="39"/>
        <v>4800</v>
      </c>
      <c r="AQ200" s="2">
        <f t="shared" si="40"/>
        <v>7199</v>
      </c>
      <c r="AR200" s="2">
        <f t="shared" si="41"/>
        <v>8649</v>
      </c>
      <c r="AS200" s="2">
        <f t="shared" si="42"/>
        <v>1560</v>
      </c>
      <c r="AT200" s="2">
        <f t="shared" si="43"/>
        <v>1073</v>
      </c>
      <c r="AU200" s="2">
        <f t="shared" si="44"/>
        <v>830</v>
      </c>
      <c r="AV200" s="2">
        <f t="shared" si="45"/>
        <v>684</v>
      </c>
      <c r="AW200" s="2">
        <f t="shared" si="46"/>
        <v>587</v>
      </c>
      <c r="AX200" s="2" t="str">
        <f t="shared" si="47"/>
        <v>-</v>
      </c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1.25"/>
    <col customWidth="1" min="2" max="3" width="12.63"/>
    <col customWidth="1" min="4" max="4" width="8.25"/>
    <col customWidth="1" min="5" max="6" width="12.63"/>
  </cols>
  <sheetData>
    <row r="1" ht="14.25" customHeight="1">
      <c r="A1" s="1">
        <v>0.0115</v>
      </c>
      <c r="B1" s="2">
        <v>400.0</v>
      </c>
      <c r="C1" s="2">
        <v>0.0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14.25" customHeight="1">
      <c r="A2" s="9" t="str">
        <f>IF('Detail Price'!A2="","",'Detail Price'!A2)</f>
        <v>All</v>
      </c>
      <c r="B2" s="2" t="s">
        <v>8</v>
      </c>
      <c r="C2" s="2" t="s">
        <v>9</v>
      </c>
      <c r="D2" s="2" t="s">
        <v>10</v>
      </c>
      <c r="E2" s="2" t="s">
        <v>11</v>
      </c>
      <c r="F2" s="15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19" t="s">
        <v>25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1" t="s">
        <v>31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18" t="s">
        <v>26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P2" s="20" t="s">
        <v>30</v>
      </c>
      <c r="AQ2" s="2" t="s">
        <v>14</v>
      </c>
      <c r="AR2" s="2" t="s">
        <v>15</v>
      </c>
      <c r="AS2" s="2" t="s">
        <v>16</v>
      </c>
      <c r="AT2" s="2" t="s">
        <v>17</v>
      </c>
      <c r="AU2" s="2" t="s">
        <v>18</v>
      </c>
      <c r="AV2" s="2" t="s">
        <v>19</v>
      </c>
      <c r="AW2" s="2" t="s">
        <v>20</v>
      </c>
      <c r="AX2" s="2" t="s">
        <v>21</v>
      </c>
    </row>
    <row r="3" ht="14.25" customHeight="1">
      <c r="A3" s="2" t="str">
        <f t="array" ref="A3">IFERROR(INDEX('Product Price'!A:A,SMALL('Product Price'!$D:$D,1)),"")</f>
        <v>HONOR Magic V6 16/512 GB</v>
      </c>
      <c r="B3" s="23">
        <f t="array" ref="B3">IFERROR(INDEX('Product Price'!B:B,SMALL('Product Price'!$D:$D,1)),"")</f>
        <v>67999</v>
      </c>
      <c r="C3" s="2">
        <f t="array" ref="C3">IFERROR(INDEX('Product Price'!C:C,SMALL('Product Price'!$D:$D,1)),"")</f>
        <v>161</v>
      </c>
      <c r="D3" s="2">
        <f t="shared" ref="D3:D200" si="1">IF(AND(B3&gt;=3900,B3&lt;=10000),795,IF(AND(B3&gt;=10001,B3&lt;=20000),1450,IF(AND(B3&gt;=20001,B3&lt;=40000),1900,IF(AND(B3&gt;=40001,B3&lt;=60000),2475,IF(AND(B3&gt;=60001,B3&lt;=80000),4025,IF(AND(B3&gt;=80001,B3&lt;=100000),5175,IF(AND(B3&gt;=100001,B3&lt;=120000),6785,"")))))))</f>
        <v>4025</v>
      </c>
      <c r="E3" s="23">
        <f t="shared" ref="E3:E200" si="2">IFERROR(B3+D3,"")</f>
        <v>72024</v>
      </c>
      <c r="F3" s="25">
        <f t="shared" ref="F3:F200" si="3">IFERROR(ROUNDUP($B3*20%,0),"")</f>
        <v>13600</v>
      </c>
      <c r="G3" s="23">
        <f t="shared" ref="G3:G200" si="4">$B3-F3</f>
        <v>54399</v>
      </c>
      <c r="H3" s="23">
        <f t="shared" ref="H3:H200" si="5">$G3+D3</f>
        <v>58424</v>
      </c>
      <c r="I3" s="2">
        <f t="shared" ref="I3:I200" si="6">IF((($G3*$A$1)*6)&lt;$C$1,"-",IF(ROUNDUP((($H3*(1+($A$1*6)))/6)*1.07,0)&lt;$B$1,"-",ROUNDUP((($H3*(1+($A$1*6)))/6)*1.07,0)))</f>
        <v>11138</v>
      </c>
      <c r="J3" s="2">
        <f t="shared" ref="J3:J200" si="7">IF((($G3*$A$1)*9)&lt;$C$1,"-",IF(ROUNDUP((($H3*(1+($A$1*9)))/9)*1.07,0)&lt;$B$1,"-",ROUNDUP((($H3*(1+($A$1*9)))/9)*1.07,0)))</f>
        <v>7665</v>
      </c>
      <c r="K3" s="2">
        <f t="shared" ref="K3:K200" si="8">IF((($G3*$A$1)*12)&lt;$C$1,"-",IF(ROUNDUP((($H3*(1+($A$1*12)))/12)*1.07,0)&lt;$B$1,"-",ROUNDUP((($H3*(1+($A$1*12)))/12)*1.07,0)))</f>
        <v>5929</v>
      </c>
      <c r="L3" s="2">
        <f t="shared" ref="L3:L200" si="9">IF((($G3*$A$1)*15)&lt;$C$1,"-",IF(ROUNDUP((($H3*(1+($A$1*15)))/15)*1.07,0)&lt;$B$1,"-",ROUNDUP((($H3*(1+($A$1*15)))/15)*1.07,0)))</f>
        <v>4887</v>
      </c>
      <c r="M3" s="2">
        <f t="shared" ref="M3:M200" si="10">IF((($G3*$A$1)*18)&lt;$C$1,"-",IF(ROUNDUP((($H3*(1+($A$1*18)))/18)*1.07,0)&lt;$B$1,"-",ROUNDUP((($H3*(1+($A$1*18)))/18)*1.07,0)))</f>
        <v>4192</v>
      </c>
      <c r="N3" s="2">
        <f t="shared" ref="N3:N200" si="11">IF((($G3*$A$1)*24)&lt;$C$1,"-",IF(ROUNDUP((($H3*(1+($A$1*24)))/24)*1.07,0)&lt;$B$1,"-",ROUNDUP((($H3*(1+($A$1*24)))/24)*1.07,0)))</f>
        <v>3324</v>
      </c>
      <c r="O3" s="25">
        <f t="shared" ref="O3:O200" si="12">ROUNDUP($B3*25%,0)</f>
        <v>17000</v>
      </c>
      <c r="P3" s="23">
        <f t="shared" ref="P3:P200" si="13">$B3-O3</f>
        <v>50999</v>
      </c>
      <c r="Q3" s="23">
        <f t="shared" ref="Q3:Q200" si="14">P3+$D3</f>
        <v>55024</v>
      </c>
      <c r="R3" s="2">
        <f t="shared" ref="R3:R200" si="15">IF((($P3*$A$1)*6)&lt;$C$1,"-",IF(ROUNDUP((($Q3*(1+($A$1*6)))/6)*1.07,0)&lt;$B$1,"-",ROUNDUP((($Q3*(1+($A$1*6)))/6)*1.07,0)))</f>
        <v>10490</v>
      </c>
      <c r="S3" s="2">
        <f t="shared" ref="S3:S200" si="16">IF((($P3*$A$1)*9)&lt;$C$1,"-",IF(ROUNDUP((($Q3*(1+($A$1*9)))/9)*1.07,0)&lt;$B$1,"-",ROUNDUP((($Q3*(1+($A$1*9)))/9)*1.07,0)))</f>
        <v>7219</v>
      </c>
      <c r="T3" s="2">
        <f t="shared" ref="T3:T200" si="17">IF((($P3*$A$1)*12)&lt;$C$1,"-",IF(ROUNDUP((($Q3*(1+($A$1*12)))/12)*1.07,0)&lt;$B$1,"-",ROUNDUP((($Q3*(1+($A$1*12)))/12)*1.07,0)))</f>
        <v>5584</v>
      </c>
      <c r="U3" s="2">
        <f t="shared" ref="U3:U200" si="18">IF((($P3*$A$1)*15)&lt;$C$1,"-",IF(ROUNDUP((($Q3*(1+($A$1*15)))/15)*1.07,0)&lt;$B$1,"-",ROUNDUP((($Q3*(1+($A$1*15)))/15)*1.07,0)))</f>
        <v>4603</v>
      </c>
      <c r="V3" s="2">
        <f t="shared" ref="V3:V200" si="19">IF((($P3*$A$1)*18)&lt;$C$1,"-",IF(ROUNDUP((($Q3*(1+($A$1*18)))/18)*1.07,0)&lt;$B$1,"-",ROUNDUP((($Q3*(1+($A$1*18)))/18)*1.07,0)))</f>
        <v>3948</v>
      </c>
      <c r="W3" s="2">
        <f t="shared" ref="W3:W200" si="20">IF((($P3*$A$1)*24)&lt;$C$1,"-",IF(ROUNDUP((($Q3*(1+($A$1*24)))/24)*1.07,0)&lt;$B$1,"-",ROUNDUP((($Q3*(1+($A$1*24)))/24)*1.07,0)))</f>
        <v>3131</v>
      </c>
      <c r="X3" s="25">
        <f t="shared" ref="X3:X200" si="21">ROUNDUP($B3*30%,0)</f>
        <v>20400</v>
      </c>
      <c r="Y3" s="23">
        <f t="shared" ref="Y3:Y200" si="22">$B3-X3</f>
        <v>47599</v>
      </c>
      <c r="Z3" s="23">
        <f t="shared" ref="Z3:Z200" si="23">Y3+$D3</f>
        <v>51624</v>
      </c>
      <c r="AA3" s="2">
        <f t="shared" ref="AA3:AA200" si="24">IF((($Y3*$A$1)*6)&lt;$C$1,"-",IF(ROUNDUP((($Z3*(1+($A$1*6)))/6)*1.07,0)&lt;$B$1,"-",ROUNDUP((($Z3*(1+($A$1*6)))/6)*1.07,0)))</f>
        <v>9842</v>
      </c>
      <c r="AB3" s="2">
        <f t="shared" ref="AB3:AB200" si="25">IF((($Y3*$A$1)*9)&lt;$C$1,"-",IF(ROUNDUP((($Z3*(1+($A$1*9)))/9)*1.07,0)&lt;$B$1,"-",ROUNDUP((($Z3*(1+($A$1*9)))/9)*1.07,0)))</f>
        <v>6773</v>
      </c>
      <c r="AC3" s="2">
        <f t="shared" ref="AC3:AC200" si="26">IF((($Y3*$A$1)*12)&lt;$C$1,"-",IF(ROUNDUP((($Z3*(1+($A$1*12)))/12)*1.07,0)&lt;$B$1,"-",ROUNDUP((($Z3*(1+($A$1*12)))/12)*1.07,0)))</f>
        <v>5239</v>
      </c>
      <c r="AD3" s="2">
        <f t="shared" ref="AD3:AD200" si="27">IF((($Y3*$A$1)*15)&lt;$C$1,"-",IF(ROUNDUP((($Z3*(1+($A$1*15)))/15)*1.07,0)&lt;$B$1,"-",ROUNDUP((($Z3*(1+($A$1*15)))/15)*1.07,0)))</f>
        <v>4318</v>
      </c>
      <c r="AE3" s="2">
        <f t="shared" ref="AE3:AE200" si="28">IF((($Y3*$A$1)*18)&lt;$C$1,"-",IF(ROUNDUP((($Z3*(1+($A$1*18)))/18)*1.07,0)&lt;$B$1,"-",ROUNDUP((($Z3*(1+($A$1*18)))/18)*1.07,0)))</f>
        <v>3704</v>
      </c>
      <c r="AF3" s="2">
        <f t="shared" ref="AF3:AF200" si="29">IF((($Y3*$A$1)*24)&lt;$C$1,"-",IF(ROUNDUP((($Z3*(1+($A$1*24)))/24)*1.07,0)&lt;$B$1,"-",ROUNDUP((($Z3*(1+($A$1*24)))/24)*1.07,0)))</f>
        <v>2937</v>
      </c>
      <c r="AG3" s="25">
        <f t="shared" ref="AG3:AG200" si="30">ROUNDUP($B3*35%,0)</f>
        <v>23800</v>
      </c>
      <c r="AH3" s="23">
        <f t="shared" ref="AH3:AH200" si="31">$B3-AG3</f>
        <v>44199</v>
      </c>
      <c r="AI3" s="23">
        <f t="shared" ref="AI3:AI200" si="32">AH3+$D3</f>
        <v>48224</v>
      </c>
      <c r="AJ3" s="2">
        <f t="shared" ref="AJ3:AJ200" si="33">IF((($AH3*$A$1)*6)&lt;$C$1,"-",IF(ROUNDUP((($AI3*(1+($A$1*6)))/6)*1.07,0)&lt;$B$1,"-",ROUNDUP((($AI3*(1+($A$1*6)))/6)*1.07,0)))</f>
        <v>9194</v>
      </c>
      <c r="AK3" s="2">
        <f t="shared" ref="AK3:AK200" si="34">IF((($AH3*$A$1)*9)&lt;$C$1,"-",IF(ROUNDUP((($AI3*(1+($A$1*9)))/9)*1.07,0)&lt;$B$1,"-",ROUNDUP((($AI3*(1+($A$1*9)))/9)*1.07,0)))</f>
        <v>6327</v>
      </c>
      <c r="AL3" s="2">
        <f t="shared" ref="AL3:AL200" si="35">IF((($AH3*$A$1)*12)&lt;$C$1,"-",IF(ROUNDUP((($AI3*(1+($A$1*12)))/12)*1.07,0)&lt;$B$1,"-",ROUNDUP((($AI3*(1+($A$1*12)))/12)*1.07,0)))</f>
        <v>4894</v>
      </c>
      <c r="AM3" s="2">
        <f t="shared" ref="AM3:AM200" si="36">IF((($AH3*$A$1)*15)&lt;$C$1,"-",IF(ROUNDUP((($AI3*(1+($A$1*15)))/15)*1.07,0)&lt;$B$1,"-",ROUNDUP((($AI3*(1+($A$1*15)))/15)*1.07,0)))</f>
        <v>4034</v>
      </c>
      <c r="AN3" s="2">
        <f t="shared" ref="AN3:AN200" si="37">IF((($AH3*$A$1)*18)&lt;$C$1,"-",IF(ROUNDUP((($AI3*(1+($A$1*18)))/18)*1.07,0)&lt;$B$1,"-",ROUNDUP((($AI3*(1+($A$1*18)))/18)*1.07,0)))</f>
        <v>3461</v>
      </c>
      <c r="AO3" s="2">
        <f t="shared" ref="AO3:AO200" si="38">IF((($AH3*$A$1)*24)&lt;$C$1,"-",IF(ROUNDUP((($AI3*(1+($A$1*24)))/24)*1.07,0)&lt;$B$1,"-",ROUNDUP((($AI3*(1+($A$1*24)))/24)*1.07,0)))</f>
        <v>2744</v>
      </c>
      <c r="AP3" s="25">
        <f t="shared" ref="AP3:AP200" si="39">ROUNDUP($B3*40%,0)</f>
        <v>27200</v>
      </c>
      <c r="AQ3" s="23">
        <f t="shared" ref="AQ3:AQ200" si="40">$B3-AP3</f>
        <v>40799</v>
      </c>
      <c r="AR3" s="23">
        <f t="shared" ref="AR3:AR200" si="41">AQ3+$D3</f>
        <v>44824</v>
      </c>
      <c r="AS3" s="2">
        <f t="shared" ref="AS3:AS200" si="42">IF((($AQ3*$A$1)*6)&lt;$C$1,"-",IF(ROUNDUP((($AR3*(1+($A$1*6)))/6)*1.07,0)&lt;$B$1,"-",ROUNDUP((($AR3*(1+($A$1*6)))/6)*1.07,0)))</f>
        <v>8546</v>
      </c>
      <c r="AT3" s="2">
        <f t="shared" ref="AT3:AT200" si="43">IF((($AQ3*$A$1)*9)&lt;$C$1,"-",IF(ROUNDUP((($AR3*(1+($A$1*9)))/9)*1.07,0)&lt;$B$1,"-",ROUNDUP((($AR3*(1+($A$1*9)))/9)*1.07,0)))</f>
        <v>5881</v>
      </c>
      <c r="AU3" s="2">
        <f t="shared" ref="AU3:AU200" si="44">IF((($AQ3*$A$1)*12)&lt;$C$1,"-",IF(ROUNDUP((($AR3*(1+($A$1*12)))/12)*1.07,0)&lt;$B$1,"-",ROUNDUP((($AR3*(1+($A$1*12)))/12)*1.07,0)))</f>
        <v>4549</v>
      </c>
      <c r="AV3" s="2">
        <f t="shared" ref="AV3:AV200" si="45">IF((($AQ3*$A$1)*15)&lt;$C$1,"-",IF(ROUNDUP((($AR3*(1+($A$1*15)))/15)*1.07,0)&lt;$B$1,"-",ROUNDUP((($AR3*(1+($A$1*15)))/15)*1.07,0)))</f>
        <v>3750</v>
      </c>
      <c r="AW3" s="2">
        <f t="shared" ref="AW3:AW200" si="46">IF((($AQ3*$A$1)*18)&lt;$C$1,"-",IF(ROUNDUP((($AR3*(1+($A$1*18)))/18)*1.07,0)&lt;$B$1,"-",ROUNDUP((($AR3*(1+($A$1*18)))/18)*1.07,0)))</f>
        <v>3217</v>
      </c>
      <c r="AX3" s="2">
        <f t="shared" ref="AX3:AX200" si="47">IF((($AQ3*$A$1)*24)&lt;$C$1,"-",IF(ROUNDUP((($AR3*(1+($A$1*24)))/24)*1.07,0)&lt;$B$1,"-",ROUNDUP((($AR3*(1+($A$1*24)))/24)*1.07,0)))</f>
        <v>2550</v>
      </c>
    </row>
    <row r="4" ht="14.25" customHeight="1">
      <c r="A4" s="2" t="str">
        <f t="array" ref="A4">IFERROR(INDEX('Product Price'!A:A,SMALL('Product Price'!$D:$D,2)),"")</f>
        <v>HONOR Magic8 Pro 12/512 GB</v>
      </c>
      <c r="B4" s="23">
        <f t="array" ref="B4">IFERROR(INDEX('Product Price'!B:B,SMALL('Product Price'!$D:$D,2)),"")</f>
        <v>39990</v>
      </c>
      <c r="C4" s="2">
        <f t="array" ref="C4">IFERROR(INDEX('Product Price'!C:C,SMALL('Product Price'!$D:$D,2)),"")</f>
        <v>1</v>
      </c>
      <c r="D4" s="2">
        <f t="shared" si="1"/>
        <v>1900</v>
      </c>
      <c r="E4" s="23">
        <f t="shared" si="2"/>
        <v>41890</v>
      </c>
      <c r="F4" s="25">
        <f t="shared" si="3"/>
        <v>7998</v>
      </c>
      <c r="G4" s="23">
        <f t="shared" si="4"/>
        <v>31992</v>
      </c>
      <c r="H4" s="23">
        <f t="shared" si="5"/>
        <v>33892</v>
      </c>
      <c r="I4" s="2">
        <f t="shared" si="6"/>
        <v>6462</v>
      </c>
      <c r="J4" s="2">
        <f t="shared" si="7"/>
        <v>4447</v>
      </c>
      <c r="K4" s="2">
        <f t="shared" si="8"/>
        <v>3440</v>
      </c>
      <c r="L4" s="2">
        <f t="shared" si="9"/>
        <v>2835</v>
      </c>
      <c r="M4" s="2">
        <f t="shared" si="10"/>
        <v>2432</v>
      </c>
      <c r="N4" s="2">
        <f t="shared" si="11"/>
        <v>1929</v>
      </c>
      <c r="O4" s="25">
        <f t="shared" si="12"/>
        <v>9998</v>
      </c>
      <c r="P4" s="23">
        <f t="shared" si="13"/>
        <v>29992</v>
      </c>
      <c r="Q4" s="23">
        <f t="shared" si="14"/>
        <v>31892</v>
      </c>
      <c r="R4" s="2">
        <f t="shared" si="15"/>
        <v>6080</v>
      </c>
      <c r="S4" s="2">
        <f t="shared" si="16"/>
        <v>4185</v>
      </c>
      <c r="T4" s="2">
        <f t="shared" si="17"/>
        <v>3237</v>
      </c>
      <c r="U4" s="2">
        <f t="shared" si="18"/>
        <v>2668</v>
      </c>
      <c r="V4" s="2">
        <f t="shared" si="19"/>
        <v>2289</v>
      </c>
      <c r="W4" s="2">
        <f t="shared" si="20"/>
        <v>1815</v>
      </c>
      <c r="X4" s="25">
        <f t="shared" si="21"/>
        <v>11997</v>
      </c>
      <c r="Y4" s="23">
        <f t="shared" si="22"/>
        <v>27993</v>
      </c>
      <c r="Z4" s="23">
        <f t="shared" si="23"/>
        <v>29893</v>
      </c>
      <c r="AA4" s="2">
        <f t="shared" si="24"/>
        <v>5699</v>
      </c>
      <c r="AB4" s="2">
        <f t="shared" si="25"/>
        <v>3922</v>
      </c>
      <c r="AC4" s="2">
        <f t="shared" si="26"/>
        <v>3034</v>
      </c>
      <c r="AD4" s="2">
        <f t="shared" si="27"/>
        <v>2501</v>
      </c>
      <c r="AE4" s="2">
        <f t="shared" si="28"/>
        <v>2145</v>
      </c>
      <c r="AF4" s="2">
        <f t="shared" si="29"/>
        <v>1701</v>
      </c>
      <c r="AG4" s="25">
        <f t="shared" si="30"/>
        <v>13997</v>
      </c>
      <c r="AH4" s="23">
        <f t="shared" si="31"/>
        <v>25993</v>
      </c>
      <c r="AI4" s="23">
        <f t="shared" si="32"/>
        <v>27893</v>
      </c>
      <c r="AJ4" s="2">
        <f t="shared" si="33"/>
        <v>5318</v>
      </c>
      <c r="AK4" s="2">
        <f t="shared" si="34"/>
        <v>3660</v>
      </c>
      <c r="AL4" s="2">
        <f t="shared" si="35"/>
        <v>2831</v>
      </c>
      <c r="AM4" s="2">
        <f t="shared" si="36"/>
        <v>2333</v>
      </c>
      <c r="AN4" s="2">
        <f t="shared" si="37"/>
        <v>2002</v>
      </c>
      <c r="AO4" s="2">
        <f t="shared" si="38"/>
        <v>1587</v>
      </c>
      <c r="AP4" s="25">
        <f t="shared" si="39"/>
        <v>15996</v>
      </c>
      <c r="AQ4" s="23">
        <f t="shared" si="40"/>
        <v>23994</v>
      </c>
      <c r="AR4" s="23">
        <f t="shared" si="41"/>
        <v>25894</v>
      </c>
      <c r="AS4" s="2">
        <f t="shared" si="42"/>
        <v>4937</v>
      </c>
      <c r="AT4" s="2">
        <f t="shared" si="43"/>
        <v>3398</v>
      </c>
      <c r="AU4" s="2">
        <f t="shared" si="44"/>
        <v>2628</v>
      </c>
      <c r="AV4" s="2">
        <f t="shared" si="45"/>
        <v>2166</v>
      </c>
      <c r="AW4" s="2">
        <f t="shared" si="46"/>
        <v>1858</v>
      </c>
      <c r="AX4" s="2">
        <f t="shared" si="47"/>
        <v>1474</v>
      </c>
    </row>
    <row r="5" ht="14.25" customHeight="1">
      <c r="A5" s="2" t="str">
        <f t="array" ref="A5">IFERROR(INDEX('Product Price'!A:A,SMALL('Product Price'!$D:$D,3)),"")</f>
        <v>HONOR X6d 4/128 GB</v>
      </c>
      <c r="B5" s="23">
        <f t="array" ref="B5">IFERROR(INDEX('Product Price'!B:B,SMALL('Product Price'!$D:$D,3)),"")</f>
        <v>5999</v>
      </c>
      <c r="C5" s="2">
        <f t="array" ref="C5">IFERROR(INDEX('Product Price'!C:C,SMALL('Product Price'!$D:$D,3)),"")</f>
        <v>2</v>
      </c>
      <c r="D5" s="2">
        <f t="shared" si="1"/>
        <v>795</v>
      </c>
      <c r="E5" s="23">
        <f t="shared" si="2"/>
        <v>6794</v>
      </c>
      <c r="F5" s="25">
        <f t="shared" si="3"/>
        <v>1200</v>
      </c>
      <c r="G5" s="23">
        <f t="shared" si="4"/>
        <v>4799</v>
      </c>
      <c r="H5" s="23">
        <f t="shared" si="5"/>
        <v>5594</v>
      </c>
      <c r="I5" s="2">
        <f t="shared" si="6"/>
        <v>1067</v>
      </c>
      <c r="J5" s="2">
        <f t="shared" si="7"/>
        <v>734</v>
      </c>
      <c r="K5" s="2">
        <f t="shared" si="8"/>
        <v>568</v>
      </c>
      <c r="L5" s="2">
        <f t="shared" si="9"/>
        <v>468</v>
      </c>
      <c r="M5" s="2">
        <f t="shared" si="10"/>
        <v>402</v>
      </c>
      <c r="N5" s="2" t="str">
        <f t="shared" si="11"/>
        <v>-</v>
      </c>
      <c r="O5" s="25">
        <f t="shared" si="12"/>
        <v>1500</v>
      </c>
      <c r="P5" s="23">
        <f t="shared" si="13"/>
        <v>4499</v>
      </c>
      <c r="Q5" s="23">
        <f t="shared" si="14"/>
        <v>5294</v>
      </c>
      <c r="R5" s="2">
        <f t="shared" si="15"/>
        <v>1010</v>
      </c>
      <c r="S5" s="2">
        <f t="shared" si="16"/>
        <v>695</v>
      </c>
      <c r="T5" s="2">
        <f t="shared" si="17"/>
        <v>538</v>
      </c>
      <c r="U5" s="2">
        <f t="shared" si="18"/>
        <v>443</v>
      </c>
      <c r="V5" s="2" t="str">
        <f t="shared" si="19"/>
        <v>-</v>
      </c>
      <c r="W5" s="2" t="str">
        <f t="shared" si="20"/>
        <v>-</v>
      </c>
      <c r="X5" s="25">
        <f t="shared" si="21"/>
        <v>1800</v>
      </c>
      <c r="Y5" s="23">
        <f t="shared" si="22"/>
        <v>4199</v>
      </c>
      <c r="Z5" s="23">
        <f t="shared" si="23"/>
        <v>4994</v>
      </c>
      <c r="AA5" s="2">
        <f t="shared" si="24"/>
        <v>953</v>
      </c>
      <c r="AB5" s="2">
        <f t="shared" si="25"/>
        <v>656</v>
      </c>
      <c r="AC5" s="2">
        <f t="shared" si="26"/>
        <v>507</v>
      </c>
      <c r="AD5" s="2">
        <f t="shared" si="27"/>
        <v>418</v>
      </c>
      <c r="AE5" s="2" t="str">
        <f t="shared" si="28"/>
        <v>-</v>
      </c>
      <c r="AF5" s="2" t="str">
        <f t="shared" si="29"/>
        <v>-</v>
      </c>
      <c r="AG5" s="25">
        <f t="shared" si="30"/>
        <v>2100</v>
      </c>
      <c r="AH5" s="23">
        <f t="shared" si="31"/>
        <v>3899</v>
      </c>
      <c r="AI5" s="23">
        <f t="shared" si="32"/>
        <v>4694</v>
      </c>
      <c r="AJ5" s="2">
        <f t="shared" si="33"/>
        <v>895</v>
      </c>
      <c r="AK5" s="2">
        <f t="shared" si="34"/>
        <v>616</v>
      </c>
      <c r="AL5" s="2">
        <f t="shared" si="35"/>
        <v>477</v>
      </c>
      <c r="AM5" s="2" t="str">
        <f t="shared" si="36"/>
        <v>-</v>
      </c>
      <c r="AN5" s="2" t="str">
        <f t="shared" si="37"/>
        <v>-</v>
      </c>
      <c r="AO5" s="2" t="str">
        <f t="shared" si="38"/>
        <v>-</v>
      </c>
      <c r="AP5" s="25">
        <f t="shared" si="39"/>
        <v>2400</v>
      </c>
      <c r="AQ5" s="23">
        <f t="shared" si="40"/>
        <v>3599</v>
      </c>
      <c r="AR5" s="23">
        <f t="shared" si="41"/>
        <v>4394</v>
      </c>
      <c r="AS5" s="2">
        <f t="shared" si="42"/>
        <v>838</v>
      </c>
      <c r="AT5" s="2">
        <f t="shared" si="43"/>
        <v>577</v>
      </c>
      <c r="AU5" s="2">
        <f t="shared" si="44"/>
        <v>446</v>
      </c>
      <c r="AV5" s="2" t="str">
        <f t="shared" si="45"/>
        <v>-</v>
      </c>
      <c r="AW5" s="2" t="str">
        <f t="shared" si="46"/>
        <v>-</v>
      </c>
      <c r="AX5" s="2" t="str">
        <f t="shared" si="47"/>
        <v>-</v>
      </c>
    </row>
    <row r="6" ht="14.25" customHeight="1">
      <c r="A6" s="2" t="str">
        <f t="array" ref="A6">IFERROR(INDEX('Product Price'!A:A,SMALL('Product Price'!$D:$D,4)),"")</f>
        <v>HONOR 600 Lite 5G 8/256 GB</v>
      </c>
      <c r="B6" s="23">
        <f t="array" ref="B6">IFERROR(INDEX('Product Price'!B:B,SMALL('Product Price'!$D:$D,4)),"")</f>
        <v>13999</v>
      </c>
      <c r="C6" s="2">
        <f t="array" ref="C6">IFERROR(INDEX('Product Price'!C:C,SMALL('Product Price'!$D:$D,4)),"")</f>
        <v>3</v>
      </c>
      <c r="D6" s="2">
        <f t="shared" si="1"/>
        <v>1450</v>
      </c>
      <c r="E6" s="23">
        <f t="shared" si="2"/>
        <v>15449</v>
      </c>
      <c r="F6" s="25">
        <f t="shared" si="3"/>
        <v>2800</v>
      </c>
      <c r="G6" s="23">
        <f t="shared" si="4"/>
        <v>11199</v>
      </c>
      <c r="H6" s="23">
        <f t="shared" si="5"/>
        <v>12649</v>
      </c>
      <c r="I6" s="2">
        <f t="shared" si="6"/>
        <v>2412</v>
      </c>
      <c r="J6" s="2">
        <f t="shared" si="7"/>
        <v>1660</v>
      </c>
      <c r="K6" s="2">
        <f t="shared" si="8"/>
        <v>1284</v>
      </c>
      <c r="L6" s="2">
        <f t="shared" si="9"/>
        <v>1058</v>
      </c>
      <c r="M6" s="2">
        <f t="shared" si="10"/>
        <v>908</v>
      </c>
      <c r="N6" s="2">
        <f t="shared" si="11"/>
        <v>720</v>
      </c>
      <c r="O6" s="25">
        <f t="shared" si="12"/>
        <v>3500</v>
      </c>
      <c r="P6" s="23">
        <f t="shared" si="13"/>
        <v>10499</v>
      </c>
      <c r="Q6" s="23">
        <f t="shared" si="14"/>
        <v>11949</v>
      </c>
      <c r="R6" s="2">
        <f t="shared" si="15"/>
        <v>2278</v>
      </c>
      <c r="S6" s="2">
        <f t="shared" si="16"/>
        <v>1568</v>
      </c>
      <c r="T6" s="2">
        <f t="shared" si="17"/>
        <v>1213</v>
      </c>
      <c r="U6" s="2">
        <f t="shared" si="18"/>
        <v>1000</v>
      </c>
      <c r="V6" s="2">
        <f t="shared" si="19"/>
        <v>858</v>
      </c>
      <c r="W6" s="2">
        <f t="shared" si="20"/>
        <v>680</v>
      </c>
      <c r="X6" s="25">
        <f t="shared" si="21"/>
        <v>4200</v>
      </c>
      <c r="Y6" s="23">
        <f t="shared" si="22"/>
        <v>9799</v>
      </c>
      <c r="Z6" s="23">
        <f t="shared" si="23"/>
        <v>11249</v>
      </c>
      <c r="AA6" s="2">
        <f t="shared" si="24"/>
        <v>2145</v>
      </c>
      <c r="AB6" s="2">
        <f t="shared" si="25"/>
        <v>1476</v>
      </c>
      <c r="AC6" s="2">
        <f t="shared" si="26"/>
        <v>1142</v>
      </c>
      <c r="AD6" s="2">
        <f t="shared" si="27"/>
        <v>941</v>
      </c>
      <c r="AE6" s="2">
        <f t="shared" si="28"/>
        <v>808</v>
      </c>
      <c r="AF6" s="2">
        <f t="shared" si="29"/>
        <v>640</v>
      </c>
      <c r="AG6" s="25">
        <f t="shared" si="30"/>
        <v>4900</v>
      </c>
      <c r="AH6" s="23">
        <f t="shared" si="31"/>
        <v>9099</v>
      </c>
      <c r="AI6" s="23">
        <f t="shared" si="32"/>
        <v>10549</v>
      </c>
      <c r="AJ6" s="2">
        <f t="shared" si="33"/>
        <v>2012</v>
      </c>
      <c r="AK6" s="2">
        <f t="shared" si="34"/>
        <v>1384</v>
      </c>
      <c r="AL6" s="2">
        <f t="shared" si="35"/>
        <v>1071</v>
      </c>
      <c r="AM6" s="2">
        <f t="shared" si="36"/>
        <v>883</v>
      </c>
      <c r="AN6" s="2">
        <f t="shared" si="37"/>
        <v>757</v>
      </c>
      <c r="AO6" s="2">
        <f t="shared" si="38"/>
        <v>601</v>
      </c>
      <c r="AP6" s="25">
        <f t="shared" si="39"/>
        <v>5600</v>
      </c>
      <c r="AQ6" s="23">
        <f t="shared" si="40"/>
        <v>8399</v>
      </c>
      <c r="AR6" s="23">
        <f t="shared" si="41"/>
        <v>9849</v>
      </c>
      <c r="AS6" s="2">
        <f t="shared" si="42"/>
        <v>1878</v>
      </c>
      <c r="AT6" s="2">
        <f t="shared" si="43"/>
        <v>1293</v>
      </c>
      <c r="AU6" s="2">
        <f t="shared" si="44"/>
        <v>1000</v>
      </c>
      <c r="AV6" s="2">
        <f t="shared" si="45"/>
        <v>824</v>
      </c>
      <c r="AW6" s="2">
        <f t="shared" si="46"/>
        <v>707</v>
      </c>
      <c r="AX6" s="2">
        <f t="shared" si="47"/>
        <v>561</v>
      </c>
    </row>
    <row r="7" ht="14.25" customHeight="1">
      <c r="A7" s="2" t="str">
        <f t="array" ref="A7">IFERROR(INDEX('Product Price'!A:A,SMALL('Product Price'!$D:$D,5)),"")</f>
        <v>HONOR 600 5G 12/256 GB</v>
      </c>
      <c r="B7" s="23">
        <f t="array" ref="B7">IFERROR(INDEX('Product Price'!B:B,SMALL('Product Price'!$D:$D,5)),"")</f>
        <v>19999</v>
      </c>
      <c r="C7" s="2">
        <f t="array" ref="C7">IFERROR(INDEX('Product Price'!C:C,SMALL('Product Price'!$D:$D,5)),"")</f>
        <v>4</v>
      </c>
      <c r="D7" s="2">
        <f t="shared" si="1"/>
        <v>1450</v>
      </c>
      <c r="E7" s="23">
        <f t="shared" si="2"/>
        <v>21449</v>
      </c>
      <c r="F7" s="25">
        <f t="shared" si="3"/>
        <v>4000</v>
      </c>
      <c r="G7" s="23">
        <f t="shared" si="4"/>
        <v>15999</v>
      </c>
      <c r="H7" s="23">
        <f t="shared" si="5"/>
        <v>17449</v>
      </c>
      <c r="I7" s="2">
        <f t="shared" si="6"/>
        <v>3327</v>
      </c>
      <c r="J7" s="2">
        <f t="shared" si="7"/>
        <v>2290</v>
      </c>
      <c r="K7" s="2">
        <f t="shared" si="8"/>
        <v>1771</v>
      </c>
      <c r="L7" s="2">
        <f t="shared" si="9"/>
        <v>1460</v>
      </c>
      <c r="M7" s="2">
        <f t="shared" si="10"/>
        <v>1252</v>
      </c>
      <c r="N7" s="2">
        <f t="shared" si="11"/>
        <v>993</v>
      </c>
      <c r="O7" s="25">
        <f t="shared" si="12"/>
        <v>5000</v>
      </c>
      <c r="P7" s="23">
        <f t="shared" si="13"/>
        <v>14999</v>
      </c>
      <c r="Q7" s="23">
        <f t="shared" si="14"/>
        <v>16449</v>
      </c>
      <c r="R7" s="2">
        <f t="shared" si="15"/>
        <v>3136</v>
      </c>
      <c r="S7" s="2">
        <f t="shared" si="16"/>
        <v>2159</v>
      </c>
      <c r="T7" s="2">
        <f t="shared" si="17"/>
        <v>1670</v>
      </c>
      <c r="U7" s="2">
        <f t="shared" si="18"/>
        <v>1376</v>
      </c>
      <c r="V7" s="2">
        <f t="shared" si="19"/>
        <v>1181</v>
      </c>
      <c r="W7" s="2">
        <f t="shared" si="20"/>
        <v>936</v>
      </c>
      <c r="X7" s="25">
        <f t="shared" si="21"/>
        <v>6000</v>
      </c>
      <c r="Y7" s="23">
        <f t="shared" si="22"/>
        <v>13999</v>
      </c>
      <c r="Z7" s="23">
        <f t="shared" si="23"/>
        <v>15449</v>
      </c>
      <c r="AA7" s="2">
        <f t="shared" si="24"/>
        <v>2946</v>
      </c>
      <c r="AB7" s="2">
        <f t="shared" si="25"/>
        <v>2027</v>
      </c>
      <c r="AC7" s="2">
        <f t="shared" si="26"/>
        <v>1568</v>
      </c>
      <c r="AD7" s="2">
        <f t="shared" si="27"/>
        <v>1293</v>
      </c>
      <c r="AE7" s="2">
        <f t="shared" si="28"/>
        <v>1109</v>
      </c>
      <c r="AF7" s="2">
        <f t="shared" si="29"/>
        <v>879</v>
      </c>
      <c r="AG7" s="25">
        <f t="shared" si="30"/>
        <v>7000</v>
      </c>
      <c r="AH7" s="23">
        <f t="shared" si="31"/>
        <v>12999</v>
      </c>
      <c r="AI7" s="23">
        <f t="shared" si="32"/>
        <v>14449</v>
      </c>
      <c r="AJ7" s="2">
        <f t="shared" si="33"/>
        <v>2755</v>
      </c>
      <c r="AK7" s="2">
        <f t="shared" si="34"/>
        <v>1896</v>
      </c>
      <c r="AL7" s="2">
        <f t="shared" si="35"/>
        <v>1467</v>
      </c>
      <c r="AM7" s="2">
        <f t="shared" si="36"/>
        <v>1209</v>
      </c>
      <c r="AN7" s="2">
        <f t="shared" si="37"/>
        <v>1037</v>
      </c>
      <c r="AO7" s="2">
        <f t="shared" si="38"/>
        <v>822</v>
      </c>
      <c r="AP7" s="25">
        <f t="shared" si="39"/>
        <v>8000</v>
      </c>
      <c r="AQ7" s="23">
        <f t="shared" si="40"/>
        <v>11999</v>
      </c>
      <c r="AR7" s="23">
        <f t="shared" si="41"/>
        <v>13449</v>
      </c>
      <c r="AS7" s="2">
        <f t="shared" si="42"/>
        <v>2564</v>
      </c>
      <c r="AT7" s="2">
        <f t="shared" si="43"/>
        <v>1765</v>
      </c>
      <c r="AU7" s="2">
        <f t="shared" si="44"/>
        <v>1365</v>
      </c>
      <c r="AV7" s="2">
        <f t="shared" si="45"/>
        <v>1125</v>
      </c>
      <c r="AW7" s="2">
        <f t="shared" si="46"/>
        <v>965</v>
      </c>
      <c r="AX7" s="2">
        <f t="shared" si="47"/>
        <v>766</v>
      </c>
    </row>
    <row r="8" ht="14.25" customHeight="1">
      <c r="A8" s="2" t="str">
        <f t="array" ref="A8">IFERROR(INDEX('Product Price'!A:A,SMALL('Product Price'!$D:$D,6)),"")</f>
        <v>HONOR 600 Pro 5G 12/512 GB</v>
      </c>
      <c r="B8" s="23">
        <f t="array" ref="B8">IFERROR(INDEX('Product Price'!B:B,SMALL('Product Price'!$D:$D,6)),"")</f>
        <v>29999</v>
      </c>
      <c r="C8" s="2">
        <f t="array" ref="C8">IFERROR(INDEX('Product Price'!C:C,SMALL('Product Price'!$D:$D,6)),"")</f>
        <v>5</v>
      </c>
      <c r="D8" s="2">
        <f t="shared" si="1"/>
        <v>1900</v>
      </c>
      <c r="E8" s="23">
        <f t="shared" si="2"/>
        <v>31899</v>
      </c>
      <c r="F8" s="25">
        <f t="shared" si="3"/>
        <v>6000</v>
      </c>
      <c r="G8" s="23">
        <f t="shared" si="4"/>
        <v>23999</v>
      </c>
      <c r="H8" s="23">
        <f t="shared" si="5"/>
        <v>25899</v>
      </c>
      <c r="I8" s="2">
        <f t="shared" si="6"/>
        <v>4938</v>
      </c>
      <c r="J8" s="2">
        <f t="shared" si="7"/>
        <v>3398</v>
      </c>
      <c r="K8" s="2">
        <f t="shared" si="8"/>
        <v>2629</v>
      </c>
      <c r="L8" s="2">
        <f t="shared" si="9"/>
        <v>2167</v>
      </c>
      <c r="M8" s="2">
        <f t="shared" si="10"/>
        <v>1859</v>
      </c>
      <c r="N8" s="2">
        <f t="shared" si="11"/>
        <v>1474</v>
      </c>
      <c r="O8" s="25">
        <f t="shared" si="12"/>
        <v>7500</v>
      </c>
      <c r="P8" s="23">
        <f t="shared" si="13"/>
        <v>22499</v>
      </c>
      <c r="Q8" s="23">
        <f t="shared" si="14"/>
        <v>24399</v>
      </c>
      <c r="R8" s="2">
        <f t="shared" si="15"/>
        <v>4652</v>
      </c>
      <c r="S8" s="2">
        <f t="shared" si="16"/>
        <v>3201</v>
      </c>
      <c r="T8" s="2">
        <f t="shared" si="17"/>
        <v>2476</v>
      </c>
      <c r="U8" s="2">
        <f t="shared" si="18"/>
        <v>2041</v>
      </c>
      <c r="V8" s="2">
        <f t="shared" si="19"/>
        <v>1751</v>
      </c>
      <c r="W8" s="2">
        <f t="shared" si="20"/>
        <v>1389</v>
      </c>
      <c r="X8" s="25">
        <f t="shared" si="21"/>
        <v>9000</v>
      </c>
      <c r="Y8" s="23">
        <f t="shared" si="22"/>
        <v>20999</v>
      </c>
      <c r="Z8" s="23">
        <f t="shared" si="23"/>
        <v>22899</v>
      </c>
      <c r="AA8" s="2">
        <f t="shared" si="24"/>
        <v>4366</v>
      </c>
      <c r="AB8" s="2">
        <f t="shared" si="25"/>
        <v>3005</v>
      </c>
      <c r="AC8" s="2">
        <f t="shared" si="26"/>
        <v>2324</v>
      </c>
      <c r="AD8" s="2">
        <f t="shared" si="27"/>
        <v>1916</v>
      </c>
      <c r="AE8" s="2">
        <f t="shared" si="28"/>
        <v>1643</v>
      </c>
      <c r="AF8" s="2">
        <f t="shared" si="29"/>
        <v>1303</v>
      </c>
      <c r="AG8" s="25">
        <f t="shared" si="30"/>
        <v>10500</v>
      </c>
      <c r="AH8" s="23">
        <f t="shared" si="31"/>
        <v>19499</v>
      </c>
      <c r="AI8" s="23">
        <f t="shared" si="32"/>
        <v>21399</v>
      </c>
      <c r="AJ8" s="2">
        <f t="shared" si="33"/>
        <v>4080</v>
      </c>
      <c r="AK8" s="2">
        <f t="shared" si="34"/>
        <v>2808</v>
      </c>
      <c r="AL8" s="2">
        <f t="shared" si="35"/>
        <v>2172</v>
      </c>
      <c r="AM8" s="2">
        <f t="shared" si="36"/>
        <v>1790</v>
      </c>
      <c r="AN8" s="2">
        <f t="shared" si="37"/>
        <v>1536</v>
      </c>
      <c r="AO8" s="2">
        <f t="shared" si="38"/>
        <v>1218</v>
      </c>
      <c r="AP8" s="25">
        <f t="shared" si="39"/>
        <v>12000</v>
      </c>
      <c r="AQ8" s="23">
        <f t="shared" si="40"/>
        <v>17999</v>
      </c>
      <c r="AR8" s="23">
        <f t="shared" si="41"/>
        <v>19899</v>
      </c>
      <c r="AS8" s="2">
        <f t="shared" si="42"/>
        <v>3794</v>
      </c>
      <c r="AT8" s="2">
        <f t="shared" si="43"/>
        <v>2611</v>
      </c>
      <c r="AU8" s="2">
        <f t="shared" si="44"/>
        <v>2020</v>
      </c>
      <c r="AV8" s="2">
        <f t="shared" si="45"/>
        <v>1665</v>
      </c>
      <c r="AW8" s="2">
        <f t="shared" si="46"/>
        <v>1428</v>
      </c>
      <c r="AX8" s="2">
        <f t="shared" si="47"/>
        <v>1133</v>
      </c>
    </row>
    <row r="9" ht="14.25" customHeight="1">
      <c r="A9" s="2" t="str">
        <f t="array" ref="A9">IFERROR(INDEX('Product Price'!A:A,SMALL('Product Price'!$D:$D,7)),"")</f>
        <v>HONOR X7e 6/256 GB</v>
      </c>
      <c r="B9" s="23">
        <f t="array" ref="B9">IFERROR(INDEX('Product Price'!B:B,SMALL('Product Price'!$D:$D,7)),"")</f>
        <v>8999</v>
      </c>
      <c r="C9" s="2">
        <f t="array" ref="C9">IFERROR(INDEX('Product Price'!C:C,SMALL('Product Price'!$D:$D,7)),"")</f>
        <v>159</v>
      </c>
      <c r="D9" s="2">
        <f t="shared" si="1"/>
        <v>795</v>
      </c>
      <c r="E9" s="23">
        <f t="shared" si="2"/>
        <v>9794</v>
      </c>
      <c r="F9" s="25">
        <f t="shared" si="3"/>
        <v>1800</v>
      </c>
      <c r="G9" s="23">
        <f t="shared" si="4"/>
        <v>7199</v>
      </c>
      <c r="H9" s="23">
        <f t="shared" si="5"/>
        <v>7994</v>
      </c>
      <c r="I9" s="2">
        <f t="shared" si="6"/>
        <v>1524</v>
      </c>
      <c r="J9" s="2">
        <f t="shared" si="7"/>
        <v>1049</v>
      </c>
      <c r="K9" s="2">
        <f t="shared" si="8"/>
        <v>812</v>
      </c>
      <c r="L9" s="2">
        <f t="shared" si="9"/>
        <v>669</v>
      </c>
      <c r="M9" s="2">
        <f t="shared" si="10"/>
        <v>574</v>
      </c>
      <c r="N9" s="2">
        <f t="shared" si="11"/>
        <v>455</v>
      </c>
      <c r="O9" s="25">
        <f t="shared" si="12"/>
        <v>2250</v>
      </c>
      <c r="P9" s="23">
        <f t="shared" si="13"/>
        <v>6749</v>
      </c>
      <c r="Q9" s="23">
        <f t="shared" si="14"/>
        <v>7544</v>
      </c>
      <c r="R9" s="2">
        <f t="shared" si="15"/>
        <v>1439</v>
      </c>
      <c r="S9" s="2">
        <f t="shared" si="16"/>
        <v>990</v>
      </c>
      <c r="T9" s="2">
        <f t="shared" si="17"/>
        <v>766</v>
      </c>
      <c r="U9" s="2">
        <f t="shared" si="18"/>
        <v>631</v>
      </c>
      <c r="V9" s="2">
        <f t="shared" si="19"/>
        <v>542</v>
      </c>
      <c r="W9" s="2">
        <f t="shared" si="20"/>
        <v>430</v>
      </c>
      <c r="X9" s="25">
        <f t="shared" si="21"/>
        <v>2700</v>
      </c>
      <c r="Y9" s="23">
        <f t="shared" si="22"/>
        <v>6299</v>
      </c>
      <c r="Z9" s="23">
        <f t="shared" si="23"/>
        <v>7094</v>
      </c>
      <c r="AA9" s="2">
        <f t="shared" si="24"/>
        <v>1353</v>
      </c>
      <c r="AB9" s="2">
        <f t="shared" si="25"/>
        <v>931</v>
      </c>
      <c r="AC9" s="2">
        <f t="shared" si="26"/>
        <v>720</v>
      </c>
      <c r="AD9" s="2">
        <f t="shared" si="27"/>
        <v>594</v>
      </c>
      <c r="AE9" s="2">
        <f t="shared" si="28"/>
        <v>509</v>
      </c>
      <c r="AF9" s="2">
        <f t="shared" si="29"/>
        <v>404</v>
      </c>
      <c r="AG9" s="25">
        <f t="shared" si="30"/>
        <v>3150</v>
      </c>
      <c r="AH9" s="23">
        <f t="shared" si="31"/>
        <v>5849</v>
      </c>
      <c r="AI9" s="23">
        <f t="shared" si="32"/>
        <v>6644</v>
      </c>
      <c r="AJ9" s="2">
        <f t="shared" si="33"/>
        <v>1267</v>
      </c>
      <c r="AK9" s="2">
        <f t="shared" si="34"/>
        <v>872</v>
      </c>
      <c r="AL9" s="2">
        <f t="shared" si="35"/>
        <v>675</v>
      </c>
      <c r="AM9" s="2">
        <f t="shared" si="36"/>
        <v>556</v>
      </c>
      <c r="AN9" s="2">
        <f t="shared" si="37"/>
        <v>477</v>
      </c>
      <c r="AO9" s="2" t="str">
        <f t="shared" si="38"/>
        <v>-</v>
      </c>
      <c r="AP9" s="25">
        <f t="shared" si="39"/>
        <v>3600</v>
      </c>
      <c r="AQ9" s="23">
        <f t="shared" si="40"/>
        <v>5399</v>
      </c>
      <c r="AR9" s="23">
        <f t="shared" si="41"/>
        <v>6194</v>
      </c>
      <c r="AS9" s="2">
        <f t="shared" si="42"/>
        <v>1181</v>
      </c>
      <c r="AT9" s="2">
        <f t="shared" si="43"/>
        <v>813</v>
      </c>
      <c r="AU9" s="2">
        <f t="shared" si="44"/>
        <v>629</v>
      </c>
      <c r="AV9" s="2">
        <f t="shared" si="45"/>
        <v>519</v>
      </c>
      <c r="AW9" s="2">
        <f t="shared" si="46"/>
        <v>445</v>
      </c>
      <c r="AX9" s="2" t="str">
        <f t="shared" si="47"/>
        <v>-</v>
      </c>
    </row>
    <row r="10" ht="14.25" customHeight="1">
      <c r="A10" s="2" t="str">
        <f t="array" ref="A10">IFERROR(INDEX('Product Price'!A:A,SMALL('Product Price'!$D:$D,8)),"")</f>
        <v>HONOR X7e 6/128 GB</v>
      </c>
      <c r="B10" s="23">
        <f t="array" ref="B10">IFERROR(INDEX('Product Price'!B:B,SMALL('Product Price'!$D:$D,8)),"")</f>
        <v>7999</v>
      </c>
      <c r="C10" s="2">
        <f t="array" ref="C10">IFERROR(INDEX('Product Price'!C:C,SMALL('Product Price'!$D:$D,8)),"")</f>
        <v>160</v>
      </c>
      <c r="D10" s="2">
        <f t="shared" si="1"/>
        <v>795</v>
      </c>
      <c r="E10" s="23">
        <f t="shared" si="2"/>
        <v>8794</v>
      </c>
      <c r="F10" s="25">
        <f t="shared" si="3"/>
        <v>1600</v>
      </c>
      <c r="G10" s="23">
        <f t="shared" si="4"/>
        <v>6399</v>
      </c>
      <c r="H10" s="23">
        <f t="shared" si="5"/>
        <v>7194</v>
      </c>
      <c r="I10" s="2">
        <f t="shared" si="6"/>
        <v>1372</v>
      </c>
      <c r="J10" s="2">
        <f t="shared" si="7"/>
        <v>944</v>
      </c>
      <c r="K10" s="2">
        <f t="shared" si="8"/>
        <v>730</v>
      </c>
      <c r="L10" s="2">
        <f t="shared" si="9"/>
        <v>602</v>
      </c>
      <c r="M10" s="2">
        <f t="shared" si="10"/>
        <v>517</v>
      </c>
      <c r="N10" s="2">
        <f t="shared" si="11"/>
        <v>410</v>
      </c>
      <c r="O10" s="25">
        <f t="shared" si="12"/>
        <v>2000</v>
      </c>
      <c r="P10" s="23">
        <f t="shared" si="13"/>
        <v>5999</v>
      </c>
      <c r="Q10" s="23">
        <f t="shared" si="14"/>
        <v>6794</v>
      </c>
      <c r="R10" s="2">
        <f t="shared" si="15"/>
        <v>1296</v>
      </c>
      <c r="S10" s="2">
        <f t="shared" si="16"/>
        <v>892</v>
      </c>
      <c r="T10" s="2">
        <f t="shared" si="17"/>
        <v>690</v>
      </c>
      <c r="U10" s="2">
        <f t="shared" si="18"/>
        <v>569</v>
      </c>
      <c r="V10" s="2">
        <f t="shared" si="19"/>
        <v>488</v>
      </c>
      <c r="W10" s="2" t="str">
        <f t="shared" si="20"/>
        <v>-</v>
      </c>
      <c r="X10" s="25">
        <f t="shared" si="21"/>
        <v>2400</v>
      </c>
      <c r="Y10" s="23">
        <f t="shared" si="22"/>
        <v>5599</v>
      </c>
      <c r="Z10" s="23">
        <f t="shared" si="23"/>
        <v>6394</v>
      </c>
      <c r="AA10" s="2">
        <f t="shared" si="24"/>
        <v>1219</v>
      </c>
      <c r="AB10" s="2">
        <f t="shared" si="25"/>
        <v>839</v>
      </c>
      <c r="AC10" s="2">
        <f t="shared" si="26"/>
        <v>649</v>
      </c>
      <c r="AD10" s="2">
        <f t="shared" si="27"/>
        <v>535</v>
      </c>
      <c r="AE10" s="2">
        <f t="shared" si="28"/>
        <v>459</v>
      </c>
      <c r="AF10" s="2" t="str">
        <f t="shared" si="29"/>
        <v>-</v>
      </c>
      <c r="AG10" s="25">
        <f t="shared" si="30"/>
        <v>2800</v>
      </c>
      <c r="AH10" s="23">
        <f t="shared" si="31"/>
        <v>5199</v>
      </c>
      <c r="AI10" s="23">
        <f t="shared" si="32"/>
        <v>5994</v>
      </c>
      <c r="AJ10" s="2">
        <f t="shared" si="33"/>
        <v>1143</v>
      </c>
      <c r="AK10" s="2">
        <f t="shared" si="34"/>
        <v>787</v>
      </c>
      <c r="AL10" s="2">
        <f t="shared" si="35"/>
        <v>609</v>
      </c>
      <c r="AM10" s="2">
        <f t="shared" si="36"/>
        <v>502</v>
      </c>
      <c r="AN10" s="2">
        <f t="shared" si="37"/>
        <v>431</v>
      </c>
      <c r="AO10" s="2" t="str">
        <f t="shared" si="38"/>
        <v>-</v>
      </c>
      <c r="AP10" s="25">
        <f t="shared" si="39"/>
        <v>3200</v>
      </c>
      <c r="AQ10" s="23">
        <f t="shared" si="40"/>
        <v>4799</v>
      </c>
      <c r="AR10" s="23">
        <f t="shared" si="41"/>
        <v>5594</v>
      </c>
      <c r="AS10" s="2">
        <f t="shared" si="42"/>
        <v>1067</v>
      </c>
      <c r="AT10" s="2">
        <f t="shared" si="43"/>
        <v>734</v>
      </c>
      <c r="AU10" s="2">
        <f t="shared" si="44"/>
        <v>568</v>
      </c>
      <c r="AV10" s="2">
        <f t="shared" si="45"/>
        <v>468</v>
      </c>
      <c r="AW10" s="2">
        <f t="shared" si="46"/>
        <v>402</v>
      </c>
      <c r="AX10" s="2" t="str">
        <f t="shared" si="47"/>
        <v>-</v>
      </c>
    </row>
    <row r="11" ht="14.25" customHeight="1">
      <c r="A11" s="2" t="str">
        <f t="array" ref="A11">IFERROR(INDEX('Product Price'!A:A,SMALL('Product Price'!$D:$D,9)),"")</f>
        <v>HONOR Pad X8b 6/128 GB</v>
      </c>
      <c r="B11" s="23">
        <f t="array" ref="B11">IFERROR(INDEX('Product Price'!B:B,SMALL('Product Price'!$D:$D,9)),"")</f>
        <v>8999</v>
      </c>
      <c r="C11" s="2">
        <f t="array" ref="C11">IFERROR(INDEX('Product Price'!C:C,SMALL('Product Price'!$D:$D,9)),"")</f>
        <v>6</v>
      </c>
      <c r="D11" s="2">
        <f t="shared" si="1"/>
        <v>795</v>
      </c>
      <c r="E11" s="23">
        <f t="shared" si="2"/>
        <v>9794</v>
      </c>
      <c r="F11" s="25">
        <f t="shared" si="3"/>
        <v>1800</v>
      </c>
      <c r="G11" s="23">
        <f t="shared" si="4"/>
        <v>7199</v>
      </c>
      <c r="H11" s="23">
        <f t="shared" si="5"/>
        <v>7994</v>
      </c>
      <c r="I11" s="2">
        <f t="shared" si="6"/>
        <v>1524</v>
      </c>
      <c r="J11" s="2">
        <f t="shared" si="7"/>
        <v>1049</v>
      </c>
      <c r="K11" s="2">
        <f t="shared" si="8"/>
        <v>812</v>
      </c>
      <c r="L11" s="2">
        <f t="shared" si="9"/>
        <v>669</v>
      </c>
      <c r="M11" s="2">
        <f t="shared" si="10"/>
        <v>574</v>
      </c>
      <c r="N11" s="2">
        <f t="shared" si="11"/>
        <v>455</v>
      </c>
      <c r="O11" s="25">
        <f t="shared" si="12"/>
        <v>2250</v>
      </c>
      <c r="P11" s="23">
        <f t="shared" si="13"/>
        <v>6749</v>
      </c>
      <c r="Q11" s="23">
        <f t="shared" si="14"/>
        <v>7544</v>
      </c>
      <c r="R11" s="2">
        <f t="shared" si="15"/>
        <v>1439</v>
      </c>
      <c r="S11" s="2">
        <f t="shared" si="16"/>
        <v>990</v>
      </c>
      <c r="T11" s="2">
        <f t="shared" si="17"/>
        <v>766</v>
      </c>
      <c r="U11" s="2">
        <f t="shared" si="18"/>
        <v>631</v>
      </c>
      <c r="V11" s="2">
        <f t="shared" si="19"/>
        <v>542</v>
      </c>
      <c r="W11" s="2">
        <f t="shared" si="20"/>
        <v>430</v>
      </c>
      <c r="X11" s="25">
        <f t="shared" si="21"/>
        <v>2700</v>
      </c>
      <c r="Y11" s="23">
        <f t="shared" si="22"/>
        <v>6299</v>
      </c>
      <c r="Z11" s="23">
        <f t="shared" si="23"/>
        <v>7094</v>
      </c>
      <c r="AA11" s="2">
        <f t="shared" si="24"/>
        <v>1353</v>
      </c>
      <c r="AB11" s="2">
        <f t="shared" si="25"/>
        <v>931</v>
      </c>
      <c r="AC11" s="2">
        <f t="shared" si="26"/>
        <v>720</v>
      </c>
      <c r="AD11" s="2">
        <f t="shared" si="27"/>
        <v>594</v>
      </c>
      <c r="AE11" s="2">
        <f t="shared" si="28"/>
        <v>509</v>
      </c>
      <c r="AF11" s="2">
        <f t="shared" si="29"/>
        <v>404</v>
      </c>
      <c r="AG11" s="25">
        <f t="shared" si="30"/>
        <v>3150</v>
      </c>
      <c r="AH11" s="23">
        <f t="shared" si="31"/>
        <v>5849</v>
      </c>
      <c r="AI11" s="23">
        <f t="shared" si="32"/>
        <v>6644</v>
      </c>
      <c r="AJ11" s="2">
        <f t="shared" si="33"/>
        <v>1267</v>
      </c>
      <c r="AK11" s="2">
        <f t="shared" si="34"/>
        <v>872</v>
      </c>
      <c r="AL11" s="2">
        <f t="shared" si="35"/>
        <v>675</v>
      </c>
      <c r="AM11" s="2">
        <f t="shared" si="36"/>
        <v>556</v>
      </c>
      <c r="AN11" s="2">
        <f t="shared" si="37"/>
        <v>477</v>
      </c>
      <c r="AO11" s="2" t="str">
        <f t="shared" si="38"/>
        <v>-</v>
      </c>
      <c r="AP11" s="25">
        <f t="shared" si="39"/>
        <v>3600</v>
      </c>
      <c r="AQ11" s="23">
        <f t="shared" si="40"/>
        <v>5399</v>
      </c>
      <c r="AR11" s="23">
        <f t="shared" si="41"/>
        <v>6194</v>
      </c>
      <c r="AS11" s="2">
        <f t="shared" si="42"/>
        <v>1181</v>
      </c>
      <c r="AT11" s="2">
        <f t="shared" si="43"/>
        <v>813</v>
      </c>
      <c r="AU11" s="2">
        <f t="shared" si="44"/>
        <v>629</v>
      </c>
      <c r="AV11" s="2">
        <f t="shared" si="45"/>
        <v>519</v>
      </c>
      <c r="AW11" s="2">
        <f t="shared" si="46"/>
        <v>445</v>
      </c>
      <c r="AX11" s="2" t="str">
        <f t="shared" si="47"/>
        <v>-</v>
      </c>
    </row>
    <row r="12" ht="14.25" customHeight="1">
      <c r="A12" s="2" t="str">
        <f t="array" ref="A12">IFERROR(INDEX('Product Price'!A:A,SMALL('Product Price'!$D:$D,10)),"")</f>
        <v>HUAWEI Mate X7 16/512 GB</v>
      </c>
      <c r="B12" s="23">
        <f t="array" ref="B12">IFERROR(INDEX('Product Price'!B:B,SMALL('Product Price'!$D:$D,10)),"")</f>
        <v>59990</v>
      </c>
      <c r="C12" s="2">
        <f t="array" ref="C12">IFERROR(INDEX('Product Price'!C:C,SMALL('Product Price'!$D:$D,10)),"")</f>
        <v>7</v>
      </c>
      <c r="D12" s="2">
        <f t="shared" si="1"/>
        <v>2475</v>
      </c>
      <c r="E12" s="23">
        <f t="shared" si="2"/>
        <v>62465</v>
      </c>
      <c r="F12" s="25">
        <f t="shared" si="3"/>
        <v>11998</v>
      </c>
      <c r="G12" s="23">
        <f t="shared" si="4"/>
        <v>47992</v>
      </c>
      <c r="H12" s="23">
        <f t="shared" si="5"/>
        <v>50467</v>
      </c>
      <c r="I12" s="2">
        <f t="shared" si="6"/>
        <v>9621</v>
      </c>
      <c r="J12" s="2">
        <f t="shared" si="7"/>
        <v>6621</v>
      </c>
      <c r="K12" s="2">
        <f t="shared" si="8"/>
        <v>5121</v>
      </c>
      <c r="L12" s="2">
        <f t="shared" si="9"/>
        <v>4221</v>
      </c>
      <c r="M12" s="2">
        <f t="shared" si="10"/>
        <v>3621</v>
      </c>
      <c r="N12" s="2">
        <f t="shared" si="11"/>
        <v>2871</v>
      </c>
      <c r="O12" s="25">
        <f t="shared" si="12"/>
        <v>14998</v>
      </c>
      <c r="P12" s="23">
        <f t="shared" si="13"/>
        <v>44992</v>
      </c>
      <c r="Q12" s="23">
        <f t="shared" si="14"/>
        <v>47467</v>
      </c>
      <c r="R12" s="2">
        <f t="shared" si="15"/>
        <v>9050</v>
      </c>
      <c r="S12" s="2">
        <f t="shared" si="16"/>
        <v>6228</v>
      </c>
      <c r="T12" s="2">
        <f t="shared" si="17"/>
        <v>4817</v>
      </c>
      <c r="U12" s="2">
        <f t="shared" si="18"/>
        <v>3971</v>
      </c>
      <c r="V12" s="2">
        <f t="shared" si="19"/>
        <v>3406</v>
      </c>
      <c r="W12" s="2">
        <f t="shared" si="20"/>
        <v>2701</v>
      </c>
      <c r="X12" s="25">
        <f t="shared" si="21"/>
        <v>17997</v>
      </c>
      <c r="Y12" s="23">
        <f t="shared" si="22"/>
        <v>41993</v>
      </c>
      <c r="Z12" s="23">
        <f t="shared" si="23"/>
        <v>44468</v>
      </c>
      <c r="AA12" s="2">
        <f t="shared" si="24"/>
        <v>8478</v>
      </c>
      <c r="AB12" s="2">
        <f t="shared" si="25"/>
        <v>5834</v>
      </c>
      <c r="AC12" s="2">
        <f t="shared" si="26"/>
        <v>4513</v>
      </c>
      <c r="AD12" s="2">
        <f t="shared" si="27"/>
        <v>3720</v>
      </c>
      <c r="AE12" s="2">
        <f t="shared" si="28"/>
        <v>3191</v>
      </c>
      <c r="AF12" s="2">
        <f t="shared" si="29"/>
        <v>2530</v>
      </c>
      <c r="AG12" s="25">
        <f t="shared" si="30"/>
        <v>20997</v>
      </c>
      <c r="AH12" s="23">
        <f t="shared" si="31"/>
        <v>38993</v>
      </c>
      <c r="AI12" s="23">
        <f t="shared" si="32"/>
        <v>41468</v>
      </c>
      <c r="AJ12" s="2">
        <f t="shared" si="33"/>
        <v>7906</v>
      </c>
      <c r="AK12" s="2">
        <f t="shared" si="34"/>
        <v>5441</v>
      </c>
      <c r="AL12" s="2">
        <f t="shared" si="35"/>
        <v>4208</v>
      </c>
      <c r="AM12" s="2">
        <f t="shared" si="36"/>
        <v>3469</v>
      </c>
      <c r="AN12" s="2">
        <f t="shared" si="37"/>
        <v>2976</v>
      </c>
      <c r="AO12" s="2">
        <f t="shared" si="38"/>
        <v>2360</v>
      </c>
      <c r="AP12" s="25">
        <f t="shared" si="39"/>
        <v>23996</v>
      </c>
      <c r="AQ12" s="23">
        <f t="shared" si="40"/>
        <v>35994</v>
      </c>
      <c r="AR12" s="23">
        <f t="shared" si="41"/>
        <v>38469</v>
      </c>
      <c r="AS12" s="2">
        <f t="shared" si="42"/>
        <v>7334</v>
      </c>
      <c r="AT12" s="2">
        <f t="shared" si="43"/>
        <v>5047</v>
      </c>
      <c r="AU12" s="2">
        <f t="shared" si="44"/>
        <v>3904</v>
      </c>
      <c r="AV12" s="2">
        <f t="shared" si="45"/>
        <v>3218</v>
      </c>
      <c r="AW12" s="2">
        <f t="shared" si="46"/>
        <v>2761</v>
      </c>
      <c r="AX12" s="2">
        <f t="shared" si="47"/>
        <v>2189</v>
      </c>
    </row>
    <row r="13" ht="14.25" customHeight="1">
      <c r="A13" s="2" t="str">
        <f t="array" ref="A13">IFERROR(INDEX('Product Price'!A:A,SMALL('Product Price'!$D:$D,11)),"")</f>
        <v>HUAWEI Pura 90s ProMax 12/512 GB</v>
      </c>
      <c r="B13" s="23">
        <f t="array" ref="B13">IFERROR(INDEX('Product Price'!B:B,SMALL('Product Price'!$D:$D,11)),"")</f>
        <v>49990</v>
      </c>
      <c r="C13" s="2">
        <f t="array" ref="C13">IFERROR(INDEX('Product Price'!C:C,SMALL('Product Price'!$D:$D,11)),"")</f>
        <v>177</v>
      </c>
      <c r="D13" s="2">
        <f t="shared" si="1"/>
        <v>2475</v>
      </c>
      <c r="E13" s="23">
        <f t="shared" si="2"/>
        <v>52465</v>
      </c>
      <c r="F13" s="25">
        <f t="shared" si="3"/>
        <v>9998</v>
      </c>
      <c r="G13" s="23">
        <f t="shared" si="4"/>
        <v>39992</v>
      </c>
      <c r="H13" s="23">
        <f t="shared" si="5"/>
        <v>42467</v>
      </c>
      <c r="I13" s="2">
        <f t="shared" si="6"/>
        <v>8096</v>
      </c>
      <c r="J13" s="2">
        <f t="shared" si="7"/>
        <v>5572</v>
      </c>
      <c r="K13" s="2">
        <f t="shared" si="8"/>
        <v>4310</v>
      </c>
      <c r="L13" s="2">
        <f t="shared" si="9"/>
        <v>3552</v>
      </c>
      <c r="M13" s="2">
        <f t="shared" si="10"/>
        <v>3047</v>
      </c>
      <c r="N13" s="2">
        <f t="shared" si="11"/>
        <v>2416</v>
      </c>
      <c r="O13" s="25">
        <f t="shared" si="12"/>
        <v>12498</v>
      </c>
      <c r="P13" s="23">
        <f t="shared" si="13"/>
        <v>37492</v>
      </c>
      <c r="Q13" s="23">
        <f t="shared" si="14"/>
        <v>39967</v>
      </c>
      <c r="R13" s="2">
        <f t="shared" si="15"/>
        <v>7620</v>
      </c>
      <c r="S13" s="2">
        <f t="shared" si="16"/>
        <v>5244</v>
      </c>
      <c r="T13" s="2">
        <f t="shared" si="17"/>
        <v>4056</v>
      </c>
      <c r="U13" s="2">
        <f t="shared" si="18"/>
        <v>3343</v>
      </c>
      <c r="V13" s="2">
        <f t="shared" si="19"/>
        <v>2868</v>
      </c>
      <c r="W13" s="2">
        <f t="shared" si="20"/>
        <v>2274</v>
      </c>
      <c r="X13" s="25">
        <f t="shared" si="21"/>
        <v>14997</v>
      </c>
      <c r="Y13" s="23">
        <f t="shared" si="22"/>
        <v>34993</v>
      </c>
      <c r="Z13" s="23">
        <f t="shared" si="23"/>
        <v>37468</v>
      </c>
      <c r="AA13" s="2">
        <f t="shared" si="24"/>
        <v>7143</v>
      </c>
      <c r="AB13" s="2">
        <f t="shared" si="25"/>
        <v>4916</v>
      </c>
      <c r="AC13" s="2">
        <f t="shared" si="26"/>
        <v>3802</v>
      </c>
      <c r="AD13" s="2">
        <f t="shared" si="27"/>
        <v>3134</v>
      </c>
      <c r="AE13" s="2">
        <f t="shared" si="28"/>
        <v>2689</v>
      </c>
      <c r="AF13" s="2">
        <f t="shared" si="29"/>
        <v>2132</v>
      </c>
      <c r="AG13" s="25">
        <f t="shared" si="30"/>
        <v>17497</v>
      </c>
      <c r="AH13" s="23">
        <f t="shared" si="31"/>
        <v>32493</v>
      </c>
      <c r="AI13" s="23">
        <f t="shared" si="32"/>
        <v>34968</v>
      </c>
      <c r="AJ13" s="2">
        <f t="shared" si="33"/>
        <v>6667</v>
      </c>
      <c r="AK13" s="2">
        <f t="shared" si="34"/>
        <v>4588</v>
      </c>
      <c r="AL13" s="2">
        <f t="shared" si="35"/>
        <v>3549</v>
      </c>
      <c r="AM13" s="2">
        <f t="shared" si="36"/>
        <v>2925</v>
      </c>
      <c r="AN13" s="2">
        <f t="shared" si="37"/>
        <v>2509</v>
      </c>
      <c r="AO13" s="2">
        <f t="shared" si="38"/>
        <v>1990</v>
      </c>
      <c r="AP13" s="25">
        <f t="shared" si="39"/>
        <v>19996</v>
      </c>
      <c r="AQ13" s="23">
        <f t="shared" si="40"/>
        <v>29994</v>
      </c>
      <c r="AR13" s="23">
        <f t="shared" si="41"/>
        <v>32469</v>
      </c>
      <c r="AS13" s="2">
        <f t="shared" si="42"/>
        <v>6190</v>
      </c>
      <c r="AT13" s="2">
        <f t="shared" si="43"/>
        <v>4260</v>
      </c>
      <c r="AU13" s="2">
        <f t="shared" si="44"/>
        <v>3295</v>
      </c>
      <c r="AV13" s="2">
        <f t="shared" si="45"/>
        <v>2716</v>
      </c>
      <c r="AW13" s="2">
        <f t="shared" si="46"/>
        <v>2330</v>
      </c>
      <c r="AX13" s="2">
        <f t="shared" si="47"/>
        <v>1848</v>
      </c>
    </row>
    <row r="14" ht="14.25" customHeight="1">
      <c r="A14" s="2" t="str">
        <f t="array" ref="A14">IFERROR(INDEX('Product Price'!A:A,SMALL('Product Price'!$D:$D,12)),"")</f>
        <v>HUAWEI Pura 90s 12/512 GB</v>
      </c>
      <c r="B14" s="23">
        <f t="array" ref="B14">IFERROR(INDEX('Product Price'!B:B,SMALL('Product Price'!$D:$D,12)),"")</f>
        <v>38990</v>
      </c>
      <c r="C14" s="2">
        <f t="array" ref="C14">IFERROR(INDEX('Product Price'!C:C,SMALL('Product Price'!$D:$D,12)),"")</f>
        <v>178</v>
      </c>
      <c r="D14" s="2">
        <f t="shared" si="1"/>
        <v>1900</v>
      </c>
      <c r="E14" s="23">
        <f t="shared" si="2"/>
        <v>40890</v>
      </c>
      <c r="F14" s="25">
        <f t="shared" si="3"/>
        <v>7798</v>
      </c>
      <c r="G14" s="23">
        <f t="shared" si="4"/>
        <v>31192</v>
      </c>
      <c r="H14" s="23">
        <f t="shared" si="5"/>
        <v>33092</v>
      </c>
      <c r="I14" s="2">
        <f t="shared" si="6"/>
        <v>6309</v>
      </c>
      <c r="J14" s="2">
        <f t="shared" si="7"/>
        <v>4342</v>
      </c>
      <c r="K14" s="2">
        <f t="shared" si="8"/>
        <v>3358</v>
      </c>
      <c r="L14" s="2">
        <f t="shared" si="9"/>
        <v>2768</v>
      </c>
      <c r="M14" s="2">
        <f t="shared" si="10"/>
        <v>2375</v>
      </c>
      <c r="N14" s="2">
        <f t="shared" si="11"/>
        <v>1883</v>
      </c>
      <c r="O14" s="25">
        <f t="shared" si="12"/>
        <v>9748</v>
      </c>
      <c r="P14" s="23">
        <f t="shared" si="13"/>
        <v>29242</v>
      </c>
      <c r="Q14" s="23">
        <f t="shared" si="14"/>
        <v>31142</v>
      </c>
      <c r="R14" s="2">
        <f t="shared" si="15"/>
        <v>5937</v>
      </c>
      <c r="S14" s="2">
        <f t="shared" si="16"/>
        <v>4086</v>
      </c>
      <c r="T14" s="2">
        <f t="shared" si="17"/>
        <v>3161</v>
      </c>
      <c r="U14" s="2">
        <f t="shared" si="18"/>
        <v>2605</v>
      </c>
      <c r="V14" s="2">
        <f t="shared" si="19"/>
        <v>2235</v>
      </c>
      <c r="W14" s="2">
        <f t="shared" si="20"/>
        <v>1772</v>
      </c>
      <c r="X14" s="25">
        <f t="shared" si="21"/>
        <v>11697</v>
      </c>
      <c r="Y14" s="23">
        <f t="shared" si="22"/>
        <v>27293</v>
      </c>
      <c r="Z14" s="23">
        <f t="shared" si="23"/>
        <v>29193</v>
      </c>
      <c r="AA14" s="2">
        <f t="shared" si="24"/>
        <v>5566</v>
      </c>
      <c r="AB14" s="2">
        <f t="shared" si="25"/>
        <v>3830</v>
      </c>
      <c r="AC14" s="2">
        <f t="shared" si="26"/>
        <v>2963</v>
      </c>
      <c r="AD14" s="2">
        <f t="shared" si="27"/>
        <v>2442</v>
      </c>
      <c r="AE14" s="2">
        <f t="shared" si="28"/>
        <v>2095</v>
      </c>
      <c r="AF14" s="2">
        <f t="shared" si="29"/>
        <v>1661</v>
      </c>
      <c r="AG14" s="25">
        <f t="shared" si="30"/>
        <v>13647</v>
      </c>
      <c r="AH14" s="23">
        <f t="shared" si="31"/>
        <v>25343</v>
      </c>
      <c r="AI14" s="23">
        <f t="shared" si="32"/>
        <v>27243</v>
      </c>
      <c r="AJ14" s="2">
        <f t="shared" si="33"/>
        <v>5194</v>
      </c>
      <c r="AK14" s="2">
        <f t="shared" si="34"/>
        <v>3575</v>
      </c>
      <c r="AL14" s="2">
        <f t="shared" si="35"/>
        <v>2765</v>
      </c>
      <c r="AM14" s="2">
        <f t="shared" si="36"/>
        <v>2279</v>
      </c>
      <c r="AN14" s="2">
        <f t="shared" si="37"/>
        <v>1955</v>
      </c>
      <c r="AO14" s="2">
        <f t="shared" si="38"/>
        <v>1550</v>
      </c>
      <c r="AP14" s="25">
        <f t="shared" si="39"/>
        <v>15596</v>
      </c>
      <c r="AQ14" s="23">
        <f t="shared" si="40"/>
        <v>23394</v>
      </c>
      <c r="AR14" s="23">
        <f t="shared" si="41"/>
        <v>25294</v>
      </c>
      <c r="AS14" s="2">
        <f t="shared" si="42"/>
        <v>4823</v>
      </c>
      <c r="AT14" s="2">
        <f t="shared" si="43"/>
        <v>3319</v>
      </c>
      <c r="AU14" s="2">
        <f t="shared" si="44"/>
        <v>2567</v>
      </c>
      <c r="AV14" s="2">
        <f t="shared" si="45"/>
        <v>2116</v>
      </c>
      <c r="AW14" s="2">
        <f t="shared" si="46"/>
        <v>1815</v>
      </c>
      <c r="AX14" s="2">
        <f t="shared" si="47"/>
        <v>1439</v>
      </c>
    </row>
    <row r="15" ht="14.25" customHeight="1">
      <c r="A15" s="2" t="str">
        <f t="array" ref="A15">IFERROR(INDEX('Product Price'!A:A,SMALL('Product Price'!$D:$D,13)),"")</f>
        <v>HUAWEI Pura 90s 12/256 GB</v>
      </c>
      <c r="B15" s="23">
        <f t="array" ref="B15">IFERROR(INDEX('Product Price'!B:B,SMALL('Product Price'!$D:$D,13)),"")</f>
        <v>34990</v>
      </c>
      <c r="C15" s="2">
        <f t="array" ref="C15">IFERROR(INDEX('Product Price'!C:C,SMALL('Product Price'!$D:$D,13)),"")</f>
        <v>179</v>
      </c>
      <c r="D15" s="2">
        <f t="shared" si="1"/>
        <v>1900</v>
      </c>
      <c r="E15" s="23">
        <f t="shared" si="2"/>
        <v>36890</v>
      </c>
      <c r="F15" s="25">
        <f t="shared" si="3"/>
        <v>6998</v>
      </c>
      <c r="G15" s="23">
        <f t="shared" si="4"/>
        <v>27992</v>
      </c>
      <c r="H15" s="23">
        <f t="shared" si="5"/>
        <v>29892</v>
      </c>
      <c r="I15" s="2">
        <f t="shared" si="6"/>
        <v>5699</v>
      </c>
      <c r="J15" s="2">
        <f t="shared" si="7"/>
        <v>3922</v>
      </c>
      <c r="K15" s="2">
        <f t="shared" si="8"/>
        <v>3034</v>
      </c>
      <c r="L15" s="2">
        <f t="shared" si="9"/>
        <v>2501</v>
      </c>
      <c r="M15" s="2">
        <f t="shared" si="10"/>
        <v>2145</v>
      </c>
      <c r="N15" s="2">
        <f t="shared" si="11"/>
        <v>1701</v>
      </c>
      <c r="O15" s="25">
        <f t="shared" si="12"/>
        <v>8748</v>
      </c>
      <c r="P15" s="23">
        <f t="shared" si="13"/>
        <v>26242</v>
      </c>
      <c r="Q15" s="23">
        <f t="shared" si="14"/>
        <v>28142</v>
      </c>
      <c r="R15" s="2">
        <f t="shared" si="15"/>
        <v>5365</v>
      </c>
      <c r="S15" s="2">
        <f t="shared" si="16"/>
        <v>3693</v>
      </c>
      <c r="T15" s="2">
        <f t="shared" si="17"/>
        <v>2856</v>
      </c>
      <c r="U15" s="2">
        <f t="shared" si="18"/>
        <v>2354</v>
      </c>
      <c r="V15" s="2">
        <f t="shared" si="19"/>
        <v>2020</v>
      </c>
      <c r="W15" s="2">
        <f t="shared" si="20"/>
        <v>1601</v>
      </c>
      <c r="X15" s="25">
        <f t="shared" si="21"/>
        <v>10497</v>
      </c>
      <c r="Y15" s="23">
        <f t="shared" si="22"/>
        <v>24493</v>
      </c>
      <c r="Z15" s="23">
        <f t="shared" si="23"/>
        <v>26393</v>
      </c>
      <c r="AA15" s="2">
        <f t="shared" si="24"/>
        <v>5032</v>
      </c>
      <c r="AB15" s="2">
        <f t="shared" si="25"/>
        <v>3463</v>
      </c>
      <c r="AC15" s="2">
        <f t="shared" si="26"/>
        <v>2679</v>
      </c>
      <c r="AD15" s="2">
        <f t="shared" si="27"/>
        <v>2208</v>
      </c>
      <c r="AE15" s="2">
        <f t="shared" si="28"/>
        <v>1894</v>
      </c>
      <c r="AF15" s="2">
        <f t="shared" si="29"/>
        <v>1502</v>
      </c>
      <c r="AG15" s="25">
        <f t="shared" si="30"/>
        <v>12247</v>
      </c>
      <c r="AH15" s="23">
        <f t="shared" si="31"/>
        <v>22743</v>
      </c>
      <c r="AI15" s="23">
        <f t="shared" si="32"/>
        <v>24643</v>
      </c>
      <c r="AJ15" s="2">
        <f t="shared" si="33"/>
        <v>4698</v>
      </c>
      <c r="AK15" s="2">
        <f t="shared" si="34"/>
        <v>3234</v>
      </c>
      <c r="AL15" s="2">
        <f t="shared" si="35"/>
        <v>2501</v>
      </c>
      <c r="AM15" s="2">
        <f t="shared" si="36"/>
        <v>2062</v>
      </c>
      <c r="AN15" s="2">
        <f t="shared" si="37"/>
        <v>1769</v>
      </c>
      <c r="AO15" s="2">
        <f t="shared" si="38"/>
        <v>1402</v>
      </c>
      <c r="AP15" s="25">
        <f t="shared" si="39"/>
        <v>13996</v>
      </c>
      <c r="AQ15" s="23">
        <f t="shared" si="40"/>
        <v>20994</v>
      </c>
      <c r="AR15" s="23">
        <f t="shared" si="41"/>
        <v>22894</v>
      </c>
      <c r="AS15" s="2">
        <f t="shared" si="42"/>
        <v>4365</v>
      </c>
      <c r="AT15" s="2">
        <f t="shared" si="43"/>
        <v>3004</v>
      </c>
      <c r="AU15" s="2">
        <f t="shared" si="44"/>
        <v>2324</v>
      </c>
      <c r="AV15" s="2">
        <f t="shared" si="45"/>
        <v>1915</v>
      </c>
      <c r="AW15" s="2">
        <f t="shared" si="46"/>
        <v>1643</v>
      </c>
      <c r="AX15" s="2">
        <f t="shared" si="47"/>
        <v>1303</v>
      </c>
    </row>
    <row r="16" ht="14.25" customHeight="1">
      <c r="A16" s="2" t="str">
        <f t="array" ref="A16">IFERROR(INDEX('Product Price'!A:A,SMALL('Product Price'!$D:$D,14)),"")</f>
        <v>HUAWEI 80 Pro 16/512 GB</v>
      </c>
      <c r="B16" s="23">
        <f t="array" ref="B16">IFERROR(INDEX('Product Price'!B:B,SMALL('Product Price'!$D:$D,14)),"")</f>
        <v>37990</v>
      </c>
      <c r="C16" s="2">
        <f t="array" ref="C16">IFERROR(INDEX('Product Price'!C:C,SMALL('Product Price'!$D:$D,14)),"")</f>
        <v>8</v>
      </c>
      <c r="D16" s="2">
        <f t="shared" si="1"/>
        <v>1900</v>
      </c>
      <c r="E16" s="23">
        <f t="shared" si="2"/>
        <v>39890</v>
      </c>
      <c r="F16" s="25">
        <f t="shared" si="3"/>
        <v>7598</v>
      </c>
      <c r="G16" s="23">
        <f t="shared" si="4"/>
        <v>30392</v>
      </c>
      <c r="H16" s="23">
        <f t="shared" si="5"/>
        <v>32292</v>
      </c>
      <c r="I16" s="2">
        <f t="shared" si="6"/>
        <v>6157</v>
      </c>
      <c r="J16" s="2">
        <f t="shared" si="7"/>
        <v>4237</v>
      </c>
      <c r="K16" s="2">
        <f t="shared" si="8"/>
        <v>3277</v>
      </c>
      <c r="L16" s="2">
        <f t="shared" si="9"/>
        <v>2701</v>
      </c>
      <c r="M16" s="2">
        <f t="shared" si="10"/>
        <v>2317</v>
      </c>
      <c r="N16" s="2">
        <f t="shared" si="11"/>
        <v>1838</v>
      </c>
      <c r="O16" s="25">
        <f t="shared" si="12"/>
        <v>9498</v>
      </c>
      <c r="P16" s="23">
        <f t="shared" si="13"/>
        <v>28492</v>
      </c>
      <c r="Q16" s="23">
        <f t="shared" si="14"/>
        <v>30392</v>
      </c>
      <c r="R16" s="2">
        <f t="shared" si="15"/>
        <v>5794</v>
      </c>
      <c r="S16" s="2">
        <f t="shared" si="16"/>
        <v>3988</v>
      </c>
      <c r="T16" s="2">
        <f t="shared" si="17"/>
        <v>3084</v>
      </c>
      <c r="U16" s="2">
        <f t="shared" si="18"/>
        <v>2542</v>
      </c>
      <c r="V16" s="2">
        <f t="shared" si="19"/>
        <v>2181</v>
      </c>
      <c r="W16" s="2">
        <f t="shared" si="20"/>
        <v>1729</v>
      </c>
      <c r="X16" s="25">
        <f t="shared" si="21"/>
        <v>11397</v>
      </c>
      <c r="Y16" s="23">
        <f t="shared" si="22"/>
        <v>26593</v>
      </c>
      <c r="Z16" s="23">
        <f t="shared" si="23"/>
        <v>28493</v>
      </c>
      <c r="AA16" s="2">
        <f t="shared" si="24"/>
        <v>5432</v>
      </c>
      <c r="AB16" s="2">
        <f t="shared" si="25"/>
        <v>3739</v>
      </c>
      <c r="AC16" s="2">
        <f t="shared" si="26"/>
        <v>2892</v>
      </c>
      <c r="AD16" s="2">
        <f t="shared" si="27"/>
        <v>2384</v>
      </c>
      <c r="AE16" s="2">
        <f t="shared" si="28"/>
        <v>2045</v>
      </c>
      <c r="AF16" s="2">
        <f t="shared" si="29"/>
        <v>1621</v>
      </c>
      <c r="AG16" s="25">
        <f t="shared" si="30"/>
        <v>13297</v>
      </c>
      <c r="AH16" s="23">
        <f t="shared" si="31"/>
        <v>24693</v>
      </c>
      <c r="AI16" s="23">
        <f t="shared" si="32"/>
        <v>26593</v>
      </c>
      <c r="AJ16" s="2">
        <f t="shared" si="33"/>
        <v>5070</v>
      </c>
      <c r="AK16" s="2">
        <f t="shared" si="34"/>
        <v>3489</v>
      </c>
      <c r="AL16" s="2">
        <f t="shared" si="35"/>
        <v>2699</v>
      </c>
      <c r="AM16" s="2">
        <f t="shared" si="36"/>
        <v>2225</v>
      </c>
      <c r="AN16" s="2">
        <f t="shared" si="37"/>
        <v>1909</v>
      </c>
      <c r="AO16" s="2">
        <f t="shared" si="38"/>
        <v>1513</v>
      </c>
      <c r="AP16" s="25">
        <f t="shared" si="39"/>
        <v>15196</v>
      </c>
      <c r="AQ16" s="23">
        <f t="shared" si="40"/>
        <v>22794</v>
      </c>
      <c r="AR16" s="23">
        <f t="shared" si="41"/>
        <v>24694</v>
      </c>
      <c r="AS16" s="2">
        <f t="shared" si="42"/>
        <v>4708</v>
      </c>
      <c r="AT16" s="2">
        <f t="shared" si="43"/>
        <v>3240</v>
      </c>
      <c r="AU16" s="2">
        <f t="shared" si="44"/>
        <v>2506</v>
      </c>
      <c r="AV16" s="2">
        <f t="shared" si="45"/>
        <v>2066</v>
      </c>
      <c r="AW16" s="2">
        <f t="shared" si="46"/>
        <v>1772</v>
      </c>
      <c r="AX16" s="2">
        <f t="shared" si="47"/>
        <v>1405</v>
      </c>
    </row>
    <row r="17" ht="14.25" customHeight="1">
      <c r="A17" s="2" t="str">
        <f t="array" ref="A17">IFERROR(INDEX('Product Price'!A:A,SMALL('Product Price'!$D:$D,15)),"")</f>
        <v>HUAWEI Pura 80 Ultra 16/512 GB</v>
      </c>
      <c r="B17" s="23">
        <f t="array" ref="B17">IFERROR(INDEX('Product Price'!B:B,SMALL('Product Price'!$D:$D,15)),"")</f>
        <v>39990</v>
      </c>
      <c r="C17" s="2">
        <f t="array" ref="C17">IFERROR(INDEX('Product Price'!C:C,SMALL('Product Price'!$D:$D,15)),"")</f>
        <v>9</v>
      </c>
      <c r="D17" s="2">
        <f t="shared" si="1"/>
        <v>1900</v>
      </c>
      <c r="E17" s="23">
        <f t="shared" si="2"/>
        <v>41890</v>
      </c>
      <c r="F17" s="25">
        <f t="shared" si="3"/>
        <v>7998</v>
      </c>
      <c r="G17" s="23">
        <f t="shared" si="4"/>
        <v>31992</v>
      </c>
      <c r="H17" s="23">
        <f t="shared" si="5"/>
        <v>33892</v>
      </c>
      <c r="I17" s="2">
        <f t="shared" si="6"/>
        <v>6462</v>
      </c>
      <c r="J17" s="2">
        <f t="shared" si="7"/>
        <v>4447</v>
      </c>
      <c r="K17" s="2">
        <f t="shared" si="8"/>
        <v>3440</v>
      </c>
      <c r="L17" s="2">
        <f t="shared" si="9"/>
        <v>2835</v>
      </c>
      <c r="M17" s="2">
        <f t="shared" si="10"/>
        <v>2432</v>
      </c>
      <c r="N17" s="2">
        <f t="shared" si="11"/>
        <v>1929</v>
      </c>
      <c r="O17" s="25">
        <f t="shared" si="12"/>
        <v>9998</v>
      </c>
      <c r="P17" s="23">
        <f t="shared" si="13"/>
        <v>29992</v>
      </c>
      <c r="Q17" s="23">
        <f t="shared" si="14"/>
        <v>31892</v>
      </c>
      <c r="R17" s="2">
        <f t="shared" si="15"/>
        <v>6080</v>
      </c>
      <c r="S17" s="2">
        <f t="shared" si="16"/>
        <v>4185</v>
      </c>
      <c r="T17" s="2">
        <f t="shared" si="17"/>
        <v>3237</v>
      </c>
      <c r="U17" s="2">
        <f t="shared" si="18"/>
        <v>2668</v>
      </c>
      <c r="V17" s="2">
        <f t="shared" si="19"/>
        <v>2289</v>
      </c>
      <c r="W17" s="2">
        <f t="shared" si="20"/>
        <v>1815</v>
      </c>
      <c r="X17" s="25">
        <f t="shared" si="21"/>
        <v>11997</v>
      </c>
      <c r="Y17" s="23">
        <f t="shared" si="22"/>
        <v>27993</v>
      </c>
      <c r="Z17" s="23">
        <f t="shared" si="23"/>
        <v>29893</v>
      </c>
      <c r="AA17" s="2">
        <f t="shared" si="24"/>
        <v>5699</v>
      </c>
      <c r="AB17" s="2">
        <f t="shared" si="25"/>
        <v>3922</v>
      </c>
      <c r="AC17" s="2">
        <f t="shared" si="26"/>
        <v>3034</v>
      </c>
      <c r="AD17" s="2">
        <f t="shared" si="27"/>
        <v>2501</v>
      </c>
      <c r="AE17" s="2">
        <f t="shared" si="28"/>
        <v>2145</v>
      </c>
      <c r="AF17" s="2">
        <f t="shared" si="29"/>
        <v>1701</v>
      </c>
      <c r="AG17" s="25">
        <f t="shared" si="30"/>
        <v>13997</v>
      </c>
      <c r="AH17" s="23">
        <f t="shared" si="31"/>
        <v>25993</v>
      </c>
      <c r="AI17" s="23">
        <f t="shared" si="32"/>
        <v>27893</v>
      </c>
      <c r="AJ17" s="2">
        <f t="shared" si="33"/>
        <v>5318</v>
      </c>
      <c r="AK17" s="2">
        <f t="shared" si="34"/>
        <v>3660</v>
      </c>
      <c r="AL17" s="2">
        <f t="shared" si="35"/>
        <v>2831</v>
      </c>
      <c r="AM17" s="2">
        <f t="shared" si="36"/>
        <v>2333</v>
      </c>
      <c r="AN17" s="2">
        <f t="shared" si="37"/>
        <v>2002</v>
      </c>
      <c r="AO17" s="2">
        <f t="shared" si="38"/>
        <v>1587</v>
      </c>
      <c r="AP17" s="25">
        <f t="shared" si="39"/>
        <v>15996</v>
      </c>
      <c r="AQ17" s="23">
        <f t="shared" si="40"/>
        <v>23994</v>
      </c>
      <c r="AR17" s="23">
        <f t="shared" si="41"/>
        <v>25894</v>
      </c>
      <c r="AS17" s="2">
        <f t="shared" si="42"/>
        <v>4937</v>
      </c>
      <c r="AT17" s="2">
        <f t="shared" si="43"/>
        <v>3398</v>
      </c>
      <c r="AU17" s="2">
        <f t="shared" si="44"/>
        <v>2628</v>
      </c>
      <c r="AV17" s="2">
        <f t="shared" si="45"/>
        <v>2166</v>
      </c>
      <c r="AW17" s="2">
        <f t="shared" si="46"/>
        <v>1858</v>
      </c>
      <c r="AX17" s="2">
        <f t="shared" si="47"/>
        <v>1474</v>
      </c>
    </row>
    <row r="18" ht="14.25" customHeight="1">
      <c r="A18" s="2" t="str">
        <f t="array" ref="A18">IFERROR(INDEX('Product Price'!A:A,SMALL('Product Price'!$D:$D,16)),"")</f>
        <v>HUAWEI Pura 80 Pro 12/512 GB</v>
      </c>
      <c r="B18" s="23">
        <f t="array" ref="B18">IFERROR(INDEX('Product Price'!B:B,SMALL('Product Price'!$D:$D,16)),"")</f>
        <v>29990</v>
      </c>
      <c r="C18" s="2">
        <f t="array" ref="C18">IFERROR(INDEX('Product Price'!C:C,SMALL('Product Price'!$D:$D,16)),"")</f>
        <v>10</v>
      </c>
      <c r="D18" s="2">
        <f t="shared" si="1"/>
        <v>1900</v>
      </c>
      <c r="E18" s="23">
        <f t="shared" si="2"/>
        <v>31890</v>
      </c>
      <c r="F18" s="25">
        <f t="shared" si="3"/>
        <v>5998</v>
      </c>
      <c r="G18" s="23">
        <f t="shared" si="4"/>
        <v>23992</v>
      </c>
      <c r="H18" s="23">
        <f t="shared" si="5"/>
        <v>25892</v>
      </c>
      <c r="I18" s="2">
        <f t="shared" si="6"/>
        <v>4937</v>
      </c>
      <c r="J18" s="2">
        <f t="shared" si="7"/>
        <v>3397</v>
      </c>
      <c r="K18" s="2">
        <f t="shared" si="8"/>
        <v>2628</v>
      </c>
      <c r="L18" s="2">
        <f t="shared" si="9"/>
        <v>2166</v>
      </c>
      <c r="M18" s="2">
        <f t="shared" si="10"/>
        <v>1858</v>
      </c>
      <c r="N18" s="2">
        <f t="shared" si="11"/>
        <v>1473</v>
      </c>
      <c r="O18" s="25">
        <f t="shared" si="12"/>
        <v>7498</v>
      </c>
      <c r="P18" s="23">
        <f t="shared" si="13"/>
        <v>22492</v>
      </c>
      <c r="Q18" s="23">
        <f t="shared" si="14"/>
        <v>24392</v>
      </c>
      <c r="R18" s="2">
        <f t="shared" si="15"/>
        <v>4651</v>
      </c>
      <c r="S18" s="2">
        <f t="shared" si="16"/>
        <v>3201</v>
      </c>
      <c r="T18" s="2">
        <f t="shared" si="17"/>
        <v>2476</v>
      </c>
      <c r="U18" s="2">
        <f t="shared" si="18"/>
        <v>2041</v>
      </c>
      <c r="V18" s="2">
        <f t="shared" si="19"/>
        <v>1751</v>
      </c>
      <c r="W18" s="2">
        <f t="shared" si="20"/>
        <v>1388</v>
      </c>
      <c r="X18" s="25">
        <f t="shared" si="21"/>
        <v>8997</v>
      </c>
      <c r="Y18" s="23">
        <f t="shared" si="22"/>
        <v>20993</v>
      </c>
      <c r="Z18" s="23">
        <f t="shared" si="23"/>
        <v>22893</v>
      </c>
      <c r="AA18" s="2">
        <f t="shared" si="24"/>
        <v>4365</v>
      </c>
      <c r="AB18" s="2">
        <f t="shared" si="25"/>
        <v>3004</v>
      </c>
      <c r="AC18" s="2">
        <f t="shared" si="26"/>
        <v>2323</v>
      </c>
      <c r="AD18" s="2">
        <f t="shared" si="27"/>
        <v>1915</v>
      </c>
      <c r="AE18" s="2">
        <f t="shared" si="28"/>
        <v>1643</v>
      </c>
      <c r="AF18" s="2">
        <f t="shared" si="29"/>
        <v>1303</v>
      </c>
      <c r="AG18" s="25">
        <f t="shared" si="30"/>
        <v>10497</v>
      </c>
      <c r="AH18" s="23">
        <f t="shared" si="31"/>
        <v>19493</v>
      </c>
      <c r="AI18" s="23">
        <f t="shared" si="32"/>
        <v>21393</v>
      </c>
      <c r="AJ18" s="2">
        <f t="shared" si="33"/>
        <v>4079</v>
      </c>
      <c r="AK18" s="2">
        <f t="shared" si="34"/>
        <v>2807</v>
      </c>
      <c r="AL18" s="2">
        <f t="shared" si="35"/>
        <v>2171</v>
      </c>
      <c r="AM18" s="2">
        <f t="shared" si="36"/>
        <v>1790</v>
      </c>
      <c r="AN18" s="2">
        <f t="shared" si="37"/>
        <v>1535</v>
      </c>
      <c r="AO18" s="2">
        <f t="shared" si="38"/>
        <v>1218</v>
      </c>
      <c r="AP18" s="25">
        <f t="shared" si="39"/>
        <v>11996</v>
      </c>
      <c r="AQ18" s="23">
        <f t="shared" si="40"/>
        <v>17994</v>
      </c>
      <c r="AR18" s="23">
        <f t="shared" si="41"/>
        <v>19894</v>
      </c>
      <c r="AS18" s="2">
        <f t="shared" si="42"/>
        <v>3793</v>
      </c>
      <c r="AT18" s="2">
        <f t="shared" si="43"/>
        <v>2610</v>
      </c>
      <c r="AU18" s="2">
        <f t="shared" si="44"/>
        <v>2019</v>
      </c>
      <c r="AV18" s="2">
        <f t="shared" si="45"/>
        <v>1664</v>
      </c>
      <c r="AW18" s="2">
        <f t="shared" si="46"/>
        <v>1428</v>
      </c>
      <c r="AX18" s="2">
        <f t="shared" si="47"/>
        <v>1132</v>
      </c>
    </row>
    <row r="19" ht="14.25" customHeight="1">
      <c r="A19" s="2" t="str">
        <f t="array" ref="A19">IFERROR(INDEX('Product Price'!A:A,SMALL('Product Price'!$D:$D,17)),"")</f>
        <v>HUAWEI Pura 80 12/256 GB</v>
      </c>
      <c r="B19" s="23">
        <f t="array" ref="B19">IFERROR(INDEX('Product Price'!B:B,SMALL('Product Price'!$D:$D,17)),"")</f>
        <v>19990</v>
      </c>
      <c r="C19" s="2">
        <f t="array" ref="C19">IFERROR(INDEX('Product Price'!C:C,SMALL('Product Price'!$D:$D,17)),"")</f>
        <v>11</v>
      </c>
      <c r="D19" s="2">
        <f t="shared" si="1"/>
        <v>1450</v>
      </c>
      <c r="E19" s="23">
        <f t="shared" si="2"/>
        <v>21440</v>
      </c>
      <c r="F19" s="25">
        <f t="shared" si="3"/>
        <v>3998</v>
      </c>
      <c r="G19" s="23">
        <f t="shared" si="4"/>
        <v>15992</v>
      </c>
      <c r="H19" s="23">
        <f t="shared" si="5"/>
        <v>17442</v>
      </c>
      <c r="I19" s="2">
        <f t="shared" si="6"/>
        <v>3326</v>
      </c>
      <c r="J19" s="2">
        <f t="shared" si="7"/>
        <v>2289</v>
      </c>
      <c r="K19" s="2">
        <f t="shared" si="8"/>
        <v>1770</v>
      </c>
      <c r="L19" s="2">
        <f t="shared" si="9"/>
        <v>1459</v>
      </c>
      <c r="M19" s="2">
        <f t="shared" si="10"/>
        <v>1252</v>
      </c>
      <c r="N19" s="2">
        <f t="shared" si="11"/>
        <v>993</v>
      </c>
      <c r="O19" s="25">
        <f t="shared" si="12"/>
        <v>4998</v>
      </c>
      <c r="P19" s="23">
        <f t="shared" si="13"/>
        <v>14992</v>
      </c>
      <c r="Q19" s="23">
        <f t="shared" si="14"/>
        <v>16442</v>
      </c>
      <c r="R19" s="2">
        <f t="shared" si="15"/>
        <v>3135</v>
      </c>
      <c r="S19" s="2">
        <f t="shared" si="16"/>
        <v>2158</v>
      </c>
      <c r="T19" s="2">
        <f t="shared" si="17"/>
        <v>1669</v>
      </c>
      <c r="U19" s="2">
        <f t="shared" si="18"/>
        <v>1376</v>
      </c>
      <c r="V19" s="2">
        <f t="shared" si="19"/>
        <v>1180</v>
      </c>
      <c r="W19" s="2">
        <f t="shared" si="20"/>
        <v>936</v>
      </c>
      <c r="X19" s="25">
        <f t="shared" si="21"/>
        <v>5997</v>
      </c>
      <c r="Y19" s="23">
        <f t="shared" si="22"/>
        <v>13993</v>
      </c>
      <c r="Z19" s="23">
        <f t="shared" si="23"/>
        <v>15443</v>
      </c>
      <c r="AA19" s="2">
        <f t="shared" si="24"/>
        <v>2945</v>
      </c>
      <c r="AB19" s="2">
        <f t="shared" si="25"/>
        <v>2027</v>
      </c>
      <c r="AC19" s="2">
        <f t="shared" si="26"/>
        <v>1568</v>
      </c>
      <c r="AD19" s="2">
        <f t="shared" si="27"/>
        <v>1292</v>
      </c>
      <c r="AE19" s="2">
        <f t="shared" si="28"/>
        <v>1109</v>
      </c>
      <c r="AF19" s="2">
        <f t="shared" si="29"/>
        <v>879</v>
      </c>
      <c r="AG19" s="25">
        <f t="shared" si="30"/>
        <v>6997</v>
      </c>
      <c r="AH19" s="23">
        <f t="shared" si="31"/>
        <v>12993</v>
      </c>
      <c r="AI19" s="23">
        <f t="shared" si="32"/>
        <v>14443</v>
      </c>
      <c r="AJ19" s="2">
        <f t="shared" si="33"/>
        <v>2754</v>
      </c>
      <c r="AK19" s="2">
        <f t="shared" si="34"/>
        <v>1895</v>
      </c>
      <c r="AL19" s="2">
        <f t="shared" si="35"/>
        <v>1466</v>
      </c>
      <c r="AM19" s="2">
        <f t="shared" si="36"/>
        <v>1208</v>
      </c>
      <c r="AN19" s="2">
        <f t="shared" si="37"/>
        <v>1037</v>
      </c>
      <c r="AO19" s="2">
        <f t="shared" si="38"/>
        <v>822</v>
      </c>
      <c r="AP19" s="25">
        <f t="shared" si="39"/>
        <v>7996</v>
      </c>
      <c r="AQ19" s="23">
        <f t="shared" si="40"/>
        <v>11994</v>
      </c>
      <c r="AR19" s="23">
        <f t="shared" si="41"/>
        <v>13444</v>
      </c>
      <c r="AS19" s="2">
        <f t="shared" si="42"/>
        <v>2563</v>
      </c>
      <c r="AT19" s="2">
        <f t="shared" si="43"/>
        <v>1764</v>
      </c>
      <c r="AU19" s="2">
        <f t="shared" si="44"/>
        <v>1365</v>
      </c>
      <c r="AV19" s="2">
        <f t="shared" si="45"/>
        <v>1125</v>
      </c>
      <c r="AW19" s="2">
        <f t="shared" si="46"/>
        <v>965</v>
      </c>
      <c r="AX19" s="2">
        <f t="shared" si="47"/>
        <v>765</v>
      </c>
    </row>
    <row r="20" ht="14.25" customHeight="1">
      <c r="A20" s="2" t="str">
        <f t="array" ref="A20">IFERROR(INDEX('Product Price'!A:A,SMALL('Product Price'!$D:$D,18)),"")</f>
        <v>HUAWEI Nova 14 Pro 12/512 GB</v>
      </c>
      <c r="B20" s="23">
        <f t="array" ref="B20">IFERROR(INDEX('Product Price'!B:B,SMALL('Product Price'!$D:$D,18)),"")</f>
        <v>15990</v>
      </c>
      <c r="C20" s="2">
        <f t="array" ref="C20">IFERROR(INDEX('Product Price'!C:C,SMALL('Product Price'!$D:$D,18)),"")</f>
        <v>12</v>
      </c>
      <c r="D20" s="2">
        <f t="shared" si="1"/>
        <v>1450</v>
      </c>
      <c r="E20" s="23">
        <f t="shared" si="2"/>
        <v>17440</v>
      </c>
      <c r="F20" s="25">
        <f t="shared" si="3"/>
        <v>3198</v>
      </c>
      <c r="G20" s="23">
        <f t="shared" si="4"/>
        <v>12792</v>
      </c>
      <c r="H20" s="23">
        <f t="shared" si="5"/>
        <v>14242</v>
      </c>
      <c r="I20" s="2">
        <f t="shared" si="6"/>
        <v>2716</v>
      </c>
      <c r="J20" s="2">
        <f t="shared" si="7"/>
        <v>1869</v>
      </c>
      <c r="K20" s="2">
        <f t="shared" si="8"/>
        <v>1446</v>
      </c>
      <c r="L20" s="2">
        <f t="shared" si="9"/>
        <v>1192</v>
      </c>
      <c r="M20" s="2">
        <f t="shared" si="10"/>
        <v>1022</v>
      </c>
      <c r="N20" s="2">
        <f t="shared" si="11"/>
        <v>811</v>
      </c>
      <c r="O20" s="25">
        <f t="shared" si="12"/>
        <v>3998</v>
      </c>
      <c r="P20" s="23">
        <f t="shared" si="13"/>
        <v>11992</v>
      </c>
      <c r="Q20" s="23">
        <f t="shared" si="14"/>
        <v>13442</v>
      </c>
      <c r="R20" s="2">
        <f t="shared" si="15"/>
        <v>2563</v>
      </c>
      <c r="S20" s="2">
        <f t="shared" si="16"/>
        <v>1764</v>
      </c>
      <c r="T20" s="2">
        <f t="shared" si="17"/>
        <v>1364</v>
      </c>
      <c r="U20" s="2">
        <f t="shared" si="18"/>
        <v>1125</v>
      </c>
      <c r="V20" s="2">
        <f t="shared" si="19"/>
        <v>965</v>
      </c>
      <c r="W20" s="2">
        <f t="shared" si="20"/>
        <v>765</v>
      </c>
      <c r="X20" s="25">
        <f t="shared" si="21"/>
        <v>4797</v>
      </c>
      <c r="Y20" s="23">
        <f t="shared" si="22"/>
        <v>11193</v>
      </c>
      <c r="Z20" s="23">
        <f t="shared" si="23"/>
        <v>12643</v>
      </c>
      <c r="AA20" s="2">
        <f t="shared" si="24"/>
        <v>2411</v>
      </c>
      <c r="AB20" s="2">
        <f t="shared" si="25"/>
        <v>1659</v>
      </c>
      <c r="AC20" s="2">
        <f t="shared" si="26"/>
        <v>1283</v>
      </c>
      <c r="AD20" s="2">
        <f t="shared" si="27"/>
        <v>1058</v>
      </c>
      <c r="AE20" s="2">
        <f t="shared" si="28"/>
        <v>908</v>
      </c>
      <c r="AF20" s="2">
        <f t="shared" si="29"/>
        <v>720</v>
      </c>
      <c r="AG20" s="25">
        <f t="shared" si="30"/>
        <v>5597</v>
      </c>
      <c r="AH20" s="23">
        <f t="shared" si="31"/>
        <v>10393</v>
      </c>
      <c r="AI20" s="23">
        <f t="shared" si="32"/>
        <v>11843</v>
      </c>
      <c r="AJ20" s="2">
        <f t="shared" si="33"/>
        <v>2258</v>
      </c>
      <c r="AK20" s="2">
        <f t="shared" si="34"/>
        <v>1554</v>
      </c>
      <c r="AL20" s="2">
        <f t="shared" si="35"/>
        <v>1202</v>
      </c>
      <c r="AM20" s="2">
        <f t="shared" si="36"/>
        <v>991</v>
      </c>
      <c r="AN20" s="2">
        <f t="shared" si="37"/>
        <v>850</v>
      </c>
      <c r="AO20" s="2">
        <f t="shared" si="38"/>
        <v>674</v>
      </c>
      <c r="AP20" s="25">
        <f t="shared" si="39"/>
        <v>6396</v>
      </c>
      <c r="AQ20" s="23">
        <f t="shared" si="40"/>
        <v>9594</v>
      </c>
      <c r="AR20" s="23">
        <f t="shared" si="41"/>
        <v>11044</v>
      </c>
      <c r="AS20" s="2">
        <f t="shared" si="42"/>
        <v>2106</v>
      </c>
      <c r="AT20" s="2">
        <f t="shared" si="43"/>
        <v>1449</v>
      </c>
      <c r="AU20" s="2">
        <f t="shared" si="44"/>
        <v>1121</v>
      </c>
      <c r="AV20" s="2">
        <f t="shared" si="45"/>
        <v>924</v>
      </c>
      <c r="AW20" s="2">
        <f t="shared" si="46"/>
        <v>793</v>
      </c>
      <c r="AX20" s="2">
        <f t="shared" si="47"/>
        <v>629</v>
      </c>
    </row>
    <row r="21" ht="14.25" customHeight="1">
      <c r="A21" s="2" t="str">
        <f t="array" ref="A21">IFERROR(INDEX('Product Price'!A:A,SMALL('Product Price'!$D:$D,19)),"")</f>
        <v>HUAWEI Nova 14 12/256 GB</v>
      </c>
      <c r="B21" s="23">
        <f t="array" ref="B21">IFERROR(INDEX('Product Price'!B:B,SMALL('Product Price'!$D:$D,19)),"")</f>
        <v>11990</v>
      </c>
      <c r="C21" s="2">
        <f t="array" ref="C21">IFERROR(INDEX('Product Price'!C:C,SMALL('Product Price'!$D:$D,19)),"")</f>
        <v>13</v>
      </c>
      <c r="D21" s="2">
        <f t="shared" si="1"/>
        <v>1450</v>
      </c>
      <c r="E21" s="23">
        <f t="shared" si="2"/>
        <v>13440</v>
      </c>
      <c r="F21" s="25">
        <f t="shared" si="3"/>
        <v>2398</v>
      </c>
      <c r="G21" s="23">
        <f t="shared" si="4"/>
        <v>9592</v>
      </c>
      <c r="H21" s="23">
        <f t="shared" si="5"/>
        <v>11042</v>
      </c>
      <c r="I21" s="2">
        <f t="shared" si="6"/>
        <v>2106</v>
      </c>
      <c r="J21" s="2">
        <f t="shared" si="7"/>
        <v>1449</v>
      </c>
      <c r="K21" s="2">
        <f t="shared" si="8"/>
        <v>1121</v>
      </c>
      <c r="L21" s="2">
        <f t="shared" si="9"/>
        <v>924</v>
      </c>
      <c r="M21" s="2">
        <f t="shared" si="10"/>
        <v>793</v>
      </c>
      <c r="N21" s="2">
        <f t="shared" si="11"/>
        <v>629</v>
      </c>
      <c r="O21" s="25">
        <f t="shared" si="12"/>
        <v>2998</v>
      </c>
      <c r="P21" s="23">
        <f t="shared" si="13"/>
        <v>8992</v>
      </c>
      <c r="Q21" s="23">
        <f t="shared" si="14"/>
        <v>10442</v>
      </c>
      <c r="R21" s="2">
        <f t="shared" si="15"/>
        <v>1991</v>
      </c>
      <c r="S21" s="2">
        <f t="shared" si="16"/>
        <v>1370</v>
      </c>
      <c r="T21" s="2">
        <f t="shared" si="17"/>
        <v>1060</v>
      </c>
      <c r="U21" s="2">
        <f t="shared" si="18"/>
        <v>874</v>
      </c>
      <c r="V21" s="2">
        <f t="shared" si="19"/>
        <v>750</v>
      </c>
      <c r="W21" s="2">
        <f t="shared" si="20"/>
        <v>595</v>
      </c>
      <c r="X21" s="25">
        <f t="shared" si="21"/>
        <v>3597</v>
      </c>
      <c r="Y21" s="23">
        <f t="shared" si="22"/>
        <v>8393</v>
      </c>
      <c r="Z21" s="23">
        <f t="shared" si="23"/>
        <v>9843</v>
      </c>
      <c r="AA21" s="2">
        <f t="shared" si="24"/>
        <v>1877</v>
      </c>
      <c r="AB21" s="2">
        <f t="shared" si="25"/>
        <v>1292</v>
      </c>
      <c r="AC21" s="2">
        <f t="shared" si="26"/>
        <v>999</v>
      </c>
      <c r="AD21" s="2">
        <f t="shared" si="27"/>
        <v>824</v>
      </c>
      <c r="AE21" s="2">
        <f t="shared" si="28"/>
        <v>707</v>
      </c>
      <c r="AF21" s="2">
        <f t="shared" si="29"/>
        <v>560</v>
      </c>
      <c r="AG21" s="25">
        <f t="shared" si="30"/>
        <v>4197</v>
      </c>
      <c r="AH21" s="23">
        <f t="shared" si="31"/>
        <v>7793</v>
      </c>
      <c r="AI21" s="23">
        <f t="shared" si="32"/>
        <v>9243</v>
      </c>
      <c r="AJ21" s="2">
        <f t="shared" si="33"/>
        <v>1763</v>
      </c>
      <c r="AK21" s="2">
        <f t="shared" si="34"/>
        <v>1213</v>
      </c>
      <c r="AL21" s="2">
        <f t="shared" si="35"/>
        <v>938</v>
      </c>
      <c r="AM21" s="2">
        <f t="shared" si="36"/>
        <v>774</v>
      </c>
      <c r="AN21" s="2">
        <f t="shared" si="37"/>
        <v>664</v>
      </c>
      <c r="AO21" s="2">
        <f t="shared" si="38"/>
        <v>526</v>
      </c>
      <c r="AP21" s="25">
        <f t="shared" si="39"/>
        <v>4796</v>
      </c>
      <c r="AQ21" s="23">
        <f t="shared" si="40"/>
        <v>7194</v>
      </c>
      <c r="AR21" s="23">
        <f t="shared" si="41"/>
        <v>8644</v>
      </c>
      <c r="AS21" s="2">
        <f t="shared" si="42"/>
        <v>1648</v>
      </c>
      <c r="AT21" s="2">
        <f t="shared" si="43"/>
        <v>1135</v>
      </c>
      <c r="AU21" s="2">
        <f t="shared" si="44"/>
        <v>878</v>
      </c>
      <c r="AV21" s="2">
        <f t="shared" si="45"/>
        <v>723</v>
      </c>
      <c r="AW21" s="2">
        <f t="shared" si="46"/>
        <v>621</v>
      </c>
      <c r="AX21" s="2">
        <f t="shared" si="47"/>
        <v>492</v>
      </c>
    </row>
    <row r="22" ht="14.25" customHeight="1">
      <c r="A22" s="2" t="str">
        <f t="array" ref="A22">IFERROR(INDEX('Product Price'!A:A,SMALL('Product Price'!$D:$D,20)),"")</f>
        <v>HUAWEI Nova Y73 8/256 GB</v>
      </c>
      <c r="B22" s="23">
        <f t="array" ref="B22">IFERROR(INDEX('Product Price'!B:B,SMALL('Product Price'!$D:$D,20)),"")</f>
        <v>5990</v>
      </c>
      <c r="C22" s="2">
        <f t="array" ref="C22">IFERROR(INDEX('Product Price'!C:C,SMALL('Product Price'!$D:$D,20)),"")</f>
        <v>14</v>
      </c>
      <c r="D22" s="2">
        <f t="shared" si="1"/>
        <v>795</v>
      </c>
      <c r="E22" s="23">
        <f t="shared" si="2"/>
        <v>6785</v>
      </c>
      <c r="F22" s="25">
        <f t="shared" si="3"/>
        <v>1198</v>
      </c>
      <c r="G22" s="23">
        <f t="shared" si="4"/>
        <v>4792</v>
      </c>
      <c r="H22" s="23">
        <f t="shared" si="5"/>
        <v>5587</v>
      </c>
      <c r="I22" s="2">
        <f t="shared" si="6"/>
        <v>1066</v>
      </c>
      <c r="J22" s="2">
        <f t="shared" si="7"/>
        <v>733</v>
      </c>
      <c r="K22" s="2">
        <f t="shared" si="8"/>
        <v>567</v>
      </c>
      <c r="L22" s="2">
        <f t="shared" si="9"/>
        <v>468</v>
      </c>
      <c r="M22" s="2">
        <f t="shared" si="10"/>
        <v>401</v>
      </c>
      <c r="N22" s="2" t="str">
        <f t="shared" si="11"/>
        <v>-</v>
      </c>
      <c r="O22" s="25">
        <f t="shared" si="12"/>
        <v>1498</v>
      </c>
      <c r="P22" s="23">
        <f t="shared" si="13"/>
        <v>4492</v>
      </c>
      <c r="Q22" s="23">
        <f t="shared" si="14"/>
        <v>5287</v>
      </c>
      <c r="R22" s="2">
        <f t="shared" si="15"/>
        <v>1008</v>
      </c>
      <c r="S22" s="2">
        <f t="shared" si="16"/>
        <v>694</v>
      </c>
      <c r="T22" s="2">
        <f t="shared" si="17"/>
        <v>537</v>
      </c>
      <c r="U22" s="2">
        <f t="shared" si="18"/>
        <v>443</v>
      </c>
      <c r="V22" s="2" t="str">
        <f t="shared" si="19"/>
        <v>-</v>
      </c>
      <c r="W22" s="2" t="str">
        <f t="shared" si="20"/>
        <v>-</v>
      </c>
      <c r="X22" s="25">
        <f t="shared" si="21"/>
        <v>1797</v>
      </c>
      <c r="Y22" s="23">
        <f t="shared" si="22"/>
        <v>4193</v>
      </c>
      <c r="Z22" s="23">
        <f t="shared" si="23"/>
        <v>4988</v>
      </c>
      <c r="AA22" s="2">
        <f t="shared" si="24"/>
        <v>951</v>
      </c>
      <c r="AB22" s="2">
        <f t="shared" si="25"/>
        <v>655</v>
      </c>
      <c r="AC22" s="2">
        <f t="shared" si="26"/>
        <v>507</v>
      </c>
      <c r="AD22" s="2">
        <f t="shared" si="27"/>
        <v>418</v>
      </c>
      <c r="AE22" s="2" t="str">
        <f t="shared" si="28"/>
        <v>-</v>
      </c>
      <c r="AF22" s="2" t="str">
        <f t="shared" si="29"/>
        <v>-</v>
      </c>
      <c r="AG22" s="25">
        <f t="shared" si="30"/>
        <v>2097</v>
      </c>
      <c r="AH22" s="23">
        <f t="shared" si="31"/>
        <v>3893</v>
      </c>
      <c r="AI22" s="23">
        <f t="shared" si="32"/>
        <v>4688</v>
      </c>
      <c r="AJ22" s="2">
        <f t="shared" si="33"/>
        <v>894</v>
      </c>
      <c r="AK22" s="2">
        <f t="shared" si="34"/>
        <v>616</v>
      </c>
      <c r="AL22" s="2">
        <f t="shared" si="35"/>
        <v>476</v>
      </c>
      <c r="AM22" s="2" t="str">
        <f t="shared" si="36"/>
        <v>-</v>
      </c>
      <c r="AN22" s="2" t="str">
        <f t="shared" si="37"/>
        <v>-</v>
      </c>
      <c r="AO22" s="2" t="str">
        <f t="shared" si="38"/>
        <v>-</v>
      </c>
      <c r="AP22" s="25">
        <f t="shared" si="39"/>
        <v>2396</v>
      </c>
      <c r="AQ22" s="23">
        <f t="shared" si="40"/>
        <v>3594</v>
      </c>
      <c r="AR22" s="23">
        <f t="shared" si="41"/>
        <v>4389</v>
      </c>
      <c r="AS22" s="2">
        <f t="shared" si="42"/>
        <v>837</v>
      </c>
      <c r="AT22" s="2">
        <f t="shared" si="43"/>
        <v>576</v>
      </c>
      <c r="AU22" s="2">
        <f t="shared" si="44"/>
        <v>446</v>
      </c>
      <c r="AV22" s="2" t="str">
        <f t="shared" si="45"/>
        <v>-</v>
      </c>
      <c r="AW22" s="2" t="str">
        <f t="shared" si="46"/>
        <v>-</v>
      </c>
      <c r="AX22" s="2" t="str">
        <f t="shared" si="47"/>
        <v>-</v>
      </c>
    </row>
    <row r="23" ht="14.25" customHeight="1">
      <c r="A23" s="2" t="str">
        <f t="array" ref="A23">IFERROR(INDEX('Product Price'!A:A,SMALL('Product Price'!$D:$D,21)),"")</f>
        <v>HUAWEI MatePad ProMax 12/512 GB</v>
      </c>
      <c r="B23" s="23">
        <f t="array" ref="B23">IFERROR(INDEX('Product Price'!B:B,SMALL('Product Price'!$D:$D,21)),"")</f>
        <v>52990</v>
      </c>
      <c r="C23" s="2">
        <f t="array" ref="C23">IFERROR(INDEX('Product Price'!C:C,SMALL('Product Price'!$D:$D,21)),"")</f>
        <v>180</v>
      </c>
      <c r="D23" s="2">
        <f t="shared" si="1"/>
        <v>2475</v>
      </c>
      <c r="E23" s="23">
        <f t="shared" si="2"/>
        <v>55465</v>
      </c>
      <c r="F23" s="25">
        <f t="shared" si="3"/>
        <v>10598</v>
      </c>
      <c r="G23" s="23">
        <f t="shared" si="4"/>
        <v>42392</v>
      </c>
      <c r="H23" s="23">
        <f t="shared" si="5"/>
        <v>44867</v>
      </c>
      <c r="I23" s="2">
        <f t="shared" si="6"/>
        <v>8554</v>
      </c>
      <c r="J23" s="2">
        <f t="shared" si="7"/>
        <v>5887</v>
      </c>
      <c r="K23" s="2">
        <f t="shared" si="8"/>
        <v>4553</v>
      </c>
      <c r="L23" s="2">
        <f t="shared" si="9"/>
        <v>3753</v>
      </c>
      <c r="M23" s="2">
        <f t="shared" si="10"/>
        <v>3220</v>
      </c>
      <c r="N23" s="2">
        <f t="shared" si="11"/>
        <v>2553</v>
      </c>
      <c r="O23" s="25">
        <f t="shared" si="12"/>
        <v>13248</v>
      </c>
      <c r="P23" s="23">
        <f t="shared" si="13"/>
        <v>39742</v>
      </c>
      <c r="Q23" s="23">
        <f t="shared" si="14"/>
        <v>42217</v>
      </c>
      <c r="R23" s="2">
        <f t="shared" si="15"/>
        <v>8049</v>
      </c>
      <c r="S23" s="2">
        <f t="shared" si="16"/>
        <v>5539</v>
      </c>
      <c r="T23" s="2">
        <f t="shared" si="17"/>
        <v>4284</v>
      </c>
      <c r="U23" s="2">
        <f t="shared" si="18"/>
        <v>3531</v>
      </c>
      <c r="V23" s="2">
        <f t="shared" si="19"/>
        <v>3030</v>
      </c>
      <c r="W23" s="2">
        <f t="shared" si="20"/>
        <v>2402</v>
      </c>
      <c r="X23" s="25">
        <f t="shared" si="21"/>
        <v>15897</v>
      </c>
      <c r="Y23" s="23">
        <f t="shared" si="22"/>
        <v>37093</v>
      </c>
      <c r="Z23" s="23">
        <f t="shared" si="23"/>
        <v>39568</v>
      </c>
      <c r="AA23" s="2">
        <f t="shared" si="24"/>
        <v>7544</v>
      </c>
      <c r="AB23" s="2">
        <f t="shared" si="25"/>
        <v>5192</v>
      </c>
      <c r="AC23" s="2">
        <f t="shared" si="26"/>
        <v>4016</v>
      </c>
      <c r="AD23" s="2">
        <f t="shared" si="27"/>
        <v>3310</v>
      </c>
      <c r="AE23" s="2">
        <f t="shared" si="28"/>
        <v>2839</v>
      </c>
      <c r="AF23" s="2">
        <f t="shared" si="29"/>
        <v>2251</v>
      </c>
      <c r="AG23" s="25">
        <f t="shared" si="30"/>
        <v>18547</v>
      </c>
      <c r="AH23" s="23">
        <f t="shared" si="31"/>
        <v>34443</v>
      </c>
      <c r="AI23" s="23">
        <f t="shared" si="32"/>
        <v>36918</v>
      </c>
      <c r="AJ23" s="2">
        <f t="shared" si="33"/>
        <v>7038</v>
      </c>
      <c r="AK23" s="2">
        <f t="shared" si="34"/>
        <v>4844</v>
      </c>
      <c r="AL23" s="2">
        <f t="shared" si="35"/>
        <v>3747</v>
      </c>
      <c r="AM23" s="2">
        <f t="shared" si="36"/>
        <v>3088</v>
      </c>
      <c r="AN23" s="2">
        <f t="shared" si="37"/>
        <v>2649</v>
      </c>
      <c r="AO23" s="2">
        <f t="shared" si="38"/>
        <v>2101</v>
      </c>
      <c r="AP23" s="25">
        <f t="shared" si="39"/>
        <v>21196</v>
      </c>
      <c r="AQ23" s="23">
        <f t="shared" si="40"/>
        <v>31794</v>
      </c>
      <c r="AR23" s="23">
        <f t="shared" si="41"/>
        <v>34269</v>
      </c>
      <c r="AS23" s="2">
        <f t="shared" si="42"/>
        <v>6533</v>
      </c>
      <c r="AT23" s="2">
        <f t="shared" si="43"/>
        <v>4496</v>
      </c>
      <c r="AU23" s="2">
        <f t="shared" si="44"/>
        <v>3478</v>
      </c>
      <c r="AV23" s="2">
        <f t="shared" si="45"/>
        <v>2867</v>
      </c>
      <c r="AW23" s="2">
        <f t="shared" si="46"/>
        <v>2459</v>
      </c>
      <c r="AX23" s="2">
        <f t="shared" si="47"/>
        <v>1950</v>
      </c>
    </row>
    <row r="24" ht="14.25" customHeight="1">
      <c r="A24" s="2" t="str">
        <f t="array" ref="A24">IFERROR(INDEX('Product Price'!A:A,SMALL('Product Price'!$D:$D,22)),"")</f>
        <v>HUAWEI MatePad ProMax 12/256 GB</v>
      </c>
      <c r="B24" s="23">
        <f t="array" ref="B24">IFERROR(INDEX('Product Price'!B:B,SMALL('Product Price'!$D:$D,22)),"")</f>
        <v>39990</v>
      </c>
      <c r="C24" s="2">
        <f t="array" ref="C24">IFERROR(INDEX('Product Price'!C:C,SMALL('Product Price'!$D:$D,22)),"")</f>
        <v>181</v>
      </c>
      <c r="D24" s="2">
        <f t="shared" si="1"/>
        <v>1900</v>
      </c>
      <c r="E24" s="23">
        <f t="shared" si="2"/>
        <v>41890</v>
      </c>
      <c r="F24" s="25">
        <f t="shared" si="3"/>
        <v>7998</v>
      </c>
      <c r="G24" s="23">
        <f t="shared" si="4"/>
        <v>31992</v>
      </c>
      <c r="H24" s="23">
        <f t="shared" si="5"/>
        <v>33892</v>
      </c>
      <c r="I24" s="2">
        <f t="shared" si="6"/>
        <v>6462</v>
      </c>
      <c r="J24" s="2">
        <f t="shared" si="7"/>
        <v>4447</v>
      </c>
      <c r="K24" s="2">
        <f t="shared" si="8"/>
        <v>3440</v>
      </c>
      <c r="L24" s="2">
        <f t="shared" si="9"/>
        <v>2835</v>
      </c>
      <c r="M24" s="2">
        <f t="shared" si="10"/>
        <v>2432</v>
      </c>
      <c r="N24" s="2">
        <f t="shared" si="11"/>
        <v>1929</v>
      </c>
      <c r="O24" s="25">
        <f t="shared" si="12"/>
        <v>9998</v>
      </c>
      <c r="P24" s="23">
        <f t="shared" si="13"/>
        <v>29992</v>
      </c>
      <c r="Q24" s="23">
        <f t="shared" si="14"/>
        <v>31892</v>
      </c>
      <c r="R24" s="2">
        <f t="shared" si="15"/>
        <v>6080</v>
      </c>
      <c r="S24" s="2">
        <f t="shared" si="16"/>
        <v>4185</v>
      </c>
      <c r="T24" s="2">
        <f t="shared" si="17"/>
        <v>3237</v>
      </c>
      <c r="U24" s="2">
        <f t="shared" si="18"/>
        <v>2668</v>
      </c>
      <c r="V24" s="2">
        <f t="shared" si="19"/>
        <v>2289</v>
      </c>
      <c r="W24" s="2">
        <f t="shared" si="20"/>
        <v>1815</v>
      </c>
      <c r="X24" s="25">
        <f t="shared" si="21"/>
        <v>11997</v>
      </c>
      <c r="Y24" s="23">
        <f t="shared" si="22"/>
        <v>27993</v>
      </c>
      <c r="Z24" s="23">
        <f t="shared" si="23"/>
        <v>29893</v>
      </c>
      <c r="AA24" s="2">
        <f t="shared" si="24"/>
        <v>5699</v>
      </c>
      <c r="AB24" s="2">
        <f t="shared" si="25"/>
        <v>3922</v>
      </c>
      <c r="AC24" s="2">
        <f t="shared" si="26"/>
        <v>3034</v>
      </c>
      <c r="AD24" s="2">
        <f t="shared" si="27"/>
        <v>2501</v>
      </c>
      <c r="AE24" s="2">
        <f t="shared" si="28"/>
        <v>2145</v>
      </c>
      <c r="AF24" s="2">
        <f t="shared" si="29"/>
        <v>1701</v>
      </c>
      <c r="AG24" s="25">
        <f t="shared" si="30"/>
        <v>13997</v>
      </c>
      <c r="AH24" s="23">
        <f t="shared" si="31"/>
        <v>25993</v>
      </c>
      <c r="AI24" s="23">
        <f t="shared" si="32"/>
        <v>27893</v>
      </c>
      <c r="AJ24" s="2">
        <f t="shared" si="33"/>
        <v>5318</v>
      </c>
      <c r="AK24" s="2">
        <f t="shared" si="34"/>
        <v>3660</v>
      </c>
      <c r="AL24" s="2">
        <f t="shared" si="35"/>
        <v>2831</v>
      </c>
      <c r="AM24" s="2">
        <f t="shared" si="36"/>
        <v>2333</v>
      </c>
      <c r="AN24" s="2">
        <f t="shared" si="37"/>
        <v>2002</v>
      </c>
      <c r="AO24" s="2">
        <f t="shared" si="38"/>
        <v>1587</v>
      </c>
      <c r="AP24" s="25">
        <f t="shared" si="39"/>
        <v>15996</v>
      </c>
      <c r="AQ24" s="23">
        <f t="shared" si="40"/>
        <v>23994</v>
      </c>
      <c r="AR24" s="23">
        <f t="shared" si="41"/>
        <v>25894</v>
      </c>
      <c r="AS24" s="2">
        <f t="shared" si="42"/>
        <v>4937</v>
      </c>
      <c r="AT24" s="2">
        <f t="shared" si="43"/>
        <v>3398</v>
      </c>
      <c r="AU24" s="2">
        <f t="shared" si="44"/>
        <v>2628</v>
      </c>
      <c r="AV24" s="2">
        <f t="shared" si="45"/>
        <v>2166</v>
      </c>
      <c r="AW24" s="2">
        <f t="shared" si="46"/>
        <v>1858</v>
      </c>
      <c r="AX24" s="2">
        <f t="shared" si="47"/>
        <v>1474</v>
      </c>
    </row>
    <row r="25" ht="14.25" customHeight="1">
      <c r="A25" s="2" t="str">
        <f t="array" ref="A25">IFERROR(INDEX('Product Price'!A:A,SMALL('Product Price'!$D:$D,23)),"")</f>
        <v>HUAWEI MatePad Pro 13.2 12/512 GB</v>
      </c>
      <c r="B25" s="23">
        <f t="array" ref="B25">IFERROR(INDEX('Product Price'!B:B,SMALL('Product Price'!$D:$D,23)),"")</f>
        <v>32990</v>
      </c>
      <c r="C25" s="2">
        <f t="array" ref="C25">IFERROR(INDEX('Product Price'!C:C,SMALL('Product Price'!$D:$D,23)),"")</f>
        <v>15</v>
      </c>
      <c r="D25" s="2">
        <f t="shared" si="1"/>
        <v>1900</v>
      </c>
      <c r="E25" s="23">
        <f t="shared" si="2"/>
        <v>34890</v>
      </c>
      <c r="F25" s="25">
        <f t="shared" si="3"/>
        <v>6598</v>
      </c>
      <c r="G25" s="23">
        <f t="shared" si="4"/>
        <v>26392</v>
      </c>
      <c r="H25" s="23">
        <f t="shared" si="5"/>
        <v>28292</v>
      </c>
      <c r="I25" s="2">
        <f t="shared" si="6"/>
        <v>5394</v>
      </c>
      <c r="J25" s="2">
        <f t="shared" si="7"/>
        <v>3712</v>
      </c>
      <c r="K25" s="2">
        <f t="shared" si="8"/>
        <v>2871</v>
      </c>
      <c r="L25" s="2">
        <f t="shared" si="9"/>
        <v>2367</v>
      </c>
      <c r="M25" s="2">
        <f t="shared" si="10"/>
        <v>2030</v>
      </c>
      <c r="N25" s="2">
        <f t="shared" si="11"/>
        <v>1610</v>
      </c>
      <c r="O25" s="25">
        <f t="shared" si="12"/>
        <v>8248</v>
      </c>
      <c r="P25" s="23">
        <f t="shared" si="13"/>
        <v>24742</v>
      </c>
      <c r="Q25" s="23">
        <f t="shared" si="14"/>
        <v>26642</v>
      </c>
      <c r="R25" s="2">
        <f t="shared" si="15"/>
        <v>5079</v>
      </c>
      <c r="S25" s="2">
        <f t="shared" si="16"/>
        <v>3496</v>
      </c>
      <c r="T25" s="2">
        <f t="shared" si="17"/>
        <v>2704</v>
      </c>
      <c r="U25" s="2">
        <f t="shared" si="18"/>
        <v>2229</v>
      </c>
      <c r="V25" s="2">
        <f t="shared" si="19"/>
        <v>1912</v>
      </c>
      <c r="W25" s="2">
        <f t="shared" si="20"/>
        <v>1516</v>
      </c>
      <c r="X25" s="25">
        <f t="shared" si="21"/>
        <v>9897</v>
      </c>
      <c r="Y25" s="23">
        <f t="shared" si="22"/>
        <v>23093</v>
      </c>
      <c r="Z25" s="23">
        <f t="shared" si="23"/>
        <v>24993</v>
      </c>
      <c r="AA25" s="2">
        <f t="shared" si="24"/>
        <v>4765</v>
      </c>
      <c r="AB25" s="2">
        <f t="shared" si="25"/>
        <v>3279</v>
      </c>
      <c r="AC25" s="2">
        <f t="shared" si="26"/>
        <v>2537</v>
      </c>
      <c r="AD25" s="2">
        <f t="shared" si="27"/>
        <v>2091</v>
      </c>
      <c r="AE25" s="2">
        <f t="shared" si="28"/>
        <v>1794</v>
      </c>
      <c r="AF25" s="2">
        <f t="shared" si="29"/>
        <v>1422</v>
      </c>
      <c r="AG25" s="25">
        <f t="shared" si="30"/>
        <v>11547</v>
      </c>
      <c r="AH25" s="23">
        <f t="shared" si="31"/>
        <v>21443</v>
      </c>
      <c r="AI25" s="23">
        <f t="shared" si="32"/>
        <v>23343</v>
      </c>
      <c r="AJ25" s="2">
        <f t="shared" si="33"/>
        <v>4451</v>
      </c>
      <c r="AK25" s="2">
        <f t="shared" si="34"/>
        <v>3063</v>
      </c>
      <c r="AL25" s="2">
        <f t="shared" si="35"/>
        <v>2369</v>
      </c>
      <c r="AM25" s="2">
        <f t="shared" si="36"/>
        <v>1953</v>
      </c>
      <c r="AN25" s="2">
        <f t="shared" si="37"/>
        <v>1675</v>
      </c>
      <c r="AO25" s="2">
        <f t="shared" si="38"/>
        <v>1328</v>
      </c>
      <c r="AP25" s="25">
        <f t="shared" si="39"/>
        <v>13196</v>
      </c>
      <c r="AQ25" s="23">
        <f t="shared" si="40"/>
        <v>19794</v>
      </c>
      <c r="AR25" s="23">
        <f t="shared" si="41"/>
        <v>21694</v>
      </c>
      <c r="AS25" s="2">
        <f t="shared" si="42"/>
        <v>4136</v>
      </c>
      <c r="AT25" s="2">
        <f t="shared" si="43"/>
        <v>2847</v>
      </c>
      <c r="AU25" s="2">
        <f t="shared" si="44"/>
        <v>2202</v>
      </c>
      <c r="AV25" s="2">
        <f t="shared" si="45"/>
        <v>1815</v>
      </c>
      <c r="AW25" s="2">
        <f t="shared" si="46"/>
        <v>1557</v>
      </c>
      <c r="AX25" s="2">
        <f t="shared" si="47"/>
        <v>1235</v>
      </c>
    </row>
    <row r="26" ht="14.25" customHeight="1">
      <c r="A26" s="2" t="str">
        <f t="array" ref="A26">IFERROR(INDEX('Product Price'!A:A,SMALL('Product Price'!$D:$D,24)),"")</f>
        <v>HUAWEI MatePad Pro 12.2 2025 12/512 GB</v>
      </c>
      <c r="B26" s="23">
        <f t="array" ref="B26">IFERROR(INDEX('Product Price'!B:B,SMALL('Product Price'!$D:$D,24)),"")</f>
        <v>27990</v>
      </c>
      <c r="C26" s="2">
        <f t="array" ref="C26">IFERROR(INDEX('Product Price'!C:C,SMALL('Product Price'!$D:$D,24)),"")</f>
        <v>16</v>
      </c>
      <c r="D26" s="2">
        <f t="shared" si="1"/>
        <v>1900</v>
      </c>
      <c r="E26" s="23">
        <f t="shared" si="2"/>
        <v>29890</v>
      </c>
      <c r="F26" s="25">
        <f t="shared" si="3"/>
        <v>5598</v>
      </c>
      <c r="G26" s="23">
        <f t="shared" si="4"/>
        <v>22392</v>
      </c>
      <c r="H26" s="23">
        <f t="shared" si="5"/>
        <v>24292</v>
      </c>
      <c r="I26" s="2">
        <f t="shared" si="6"/>
        <v>4631</v>
      </c>
      <c r="J26" s="2">
        <f t="shared" si="7"/>
        <v>3187</v>
      </c>
      <c r="K26" s="2">
        <f t="shared" si="8"/>
        <v>2465</v>
      </c>
      <c r="L26" s="2">
        <f t="shared" si="9"/>
        <v>2032</v>
      </c>
      <c r="M26" s="2">
        <f t="shared" si="10"/>
        <v>1743</v>
      </c>
      <c r="N26" s="2">
        <f t="shared" si="11"/>
        <v>1382</v>
      </c>
      <c r="O26" s="25">
        <f t="shared" si="12"/>
        <v>6998</v>
      </c>
      <c r="P26" s="23">
        <f t="shared" si="13"/>
        <v>20992</v>
      </c>
      <c r="Q26" s="23">
        <f t="shared" si="14"/>
        <v>22892</v>
      </c>
      <c r="R26" s="2">
        <f t="shared" si="15"/>
        <v>4365</v>
      </c>
      <c r="S26" s="2">
        <f t="shared" si="16"/>
        <v>3004</v>
      </c>
      <c r="T26" s="2">
        <f t="shared" si="17"/>
        <v>2323</v>
      </c>
      <c r="U26" s="2">
        <f t="shared" si="18"/>
        <v>1915</v>
      </c>
      <c r="V26" s="2">
        <f t="shared" si="19"/>
        <v>1643</v>
      </c>
      <c r="W26" s="2">
        <f t="shared" si="20"/>
        <v>1303</v>
      </c>
      <c r="X26" s="25">
        <f t="shared" si="21"/>
        <v>8397</v>
      </c>
      <c r="Y26" s="23">
        <f t="shared" si="22"/>
        <v>19593</v>
      </c>
      <c r="Z26" s="23">
        <f t="shared" si="23"/>
        <v>21493</v>
      </c>
      <c r="AA26" s="2">
        <f t="shared" si="24"/>
        <v>4098</v>
      </c>
      <c r="AB26" s="2">
        <f t="shared" si="25"/>
        <v>2820</v>
      </c>
      <c r="AC26" s="2">
        <f t="shared" si="26"/>
        <v>2181</v>
      </c>
      <c r="AD26" s="2">
        <f t="shared" si="27"/>
        <v>1798</v>
      </c>
      <c r="AE26" s="2">
        <f t="shared" si="28"/>
        <v>1543</v>
      </c>
      <c r="AF26" s="2">
        <f t="shared" si="29"/>
        <v>1223</v>
      </c>
      <c r="AG26" s="25">
        <f t="shared" si="30"/>
        <v>9797</v>
      </c>
      <c r="AH26" s="23">
        <f t="shared" si="31"/>
        <v>18193</v>
      </c>
      <c r="AI26" s="23">
        <f t="shared" si="32"/>
        <v>20093</v>
      </c>
      <c r="AJ26" s="2">
        <f t="shared" si="33"/>
        <v>3831</v>
      </c>
      <c r="AK26" s="2">
        <f t="shared" si="34"/>
        <v>2637</v>
      </c>
      <c r="AL26" s="2">
        <f t="shared" si="35"/>
        <v>2039</v>
      </c>
      <c r="AM26" s="2">
        <f t="shared" si="36"/>
        <v>1681</v>
      </c>
      <c r="AN26" s="2">
        <f t="shared" si="37"/>
        <v>1442</v>
      </c>
      <c r="AO26" s="2">
        <f t="shared" si="38"/>
        <v>1144</v>
      </c>
      <c r="AP26" s="25">
        <f t="shared" si="39"/>
        <v>11196</v>
      </c>
      <c r="AQ26" s="23">
        <f t="shared" si="40"/>
        <v>16794</v>
      </c>
      <c r="AR26" s="23">
        <f t="shared" si="41"/>
        <v>18694</v>
      </c>
      <c r="AS26" s="2">
        <f t="shared" si="42"/>
        <v>3564</v>
      </c>
      <c r="AT26" s="2">
        <f t="shared" si="43"/>
        <v>2453</v>
      </c>
      <c r="AU26" s="2">
        <f t="shared" si="44"/>
        <v>1897</v>
      </c>
      <c r="AV26" s="2">
        <f t="shared" si="45"/>
        <v>1564</v>
      </c>
      <c r="AW26" s="2">
        <f t="shared" si="46"/>
        <v>1342</v>
      </c>
      <c r="AX26" s="2">
        <f t="shared" si="47"/>
        <v>1064</v>
      </c>
    </row>
    <row r="27" ht="14.25" customHeight="1">
      <c r="A27" s="2" t="str">
        <f t="array" ref="A27">IFERROR(INDEX('Product Price'!A:A,SMALL('Product Price'!$D:$D,25)),"")</f>
        <v>HUAWEI MatePad 11.5 2025 8/256 GB</v>
      </c>
      <c r="B27" s="23">
        <f t="array" ref="B27">IFERROR(INDEX('Product Price'!B:B,SMALL('Product Price'!$D:$D,25)),"")</f>
        <v>11990</v>
      </c>
      <c r="C27" s="2">
        <f t="array" ref="C27">IFERROR(INDEX('Product Price'!C:C,SMALL('Product Price'!$D:$D,25)),"")</f>
        <v>17</v>
      </c>
      <c r="D27" s="2">
        <f t="shared" si="1"/>
        <v>1450</v>
      </c>
      <c r="E27" s="23">
        <f t="shared" si="2"/>
        <v>13440</v>
      </c>
      <c r="F27" s="25">
        <f t="shared" si="3"/>
        <v>2398</v>
      </c>
      <c r="G27" s="23">
        <f t="shared" si="4"/>
        <v>9592</v>
      </c>
      <c r="H27" s="23">
        <f t="shared" si="5"/>
        <v>11042</v>
      </c>
      <c r="I27" s="2">
        <f t="shared" si="6"/>
        <v>2106</v>
      </c>
      <c r="J27" s="2">
        <f t="shared" si="7"/>
        <v>1449</v>
      </c>
      <c r="K27" s="2">
        <f t="shared" si="8"/>
        <v>1121</v>
      </c>
      <c r="L27" s="2">
        <f t="shared" si="9"/>
        <v>924</v>
      </c>
      <c r="M27" s="2">
        <f t="shared" si="10"/>
        <v>793</v>
      </c>
      <c r="N27" s="2">
        <f t="shared" si="11"/>
        <v>629</v>
      </c>
      <c r="O27" s="25">
        <f t="shared" si="12"/>
        <v>2998</v>
      </c>
      <c r="P27" s="23">
        <f t="shared" si="13"/>
        <v>8992</v>
      </c>
      <c r="Q27" s="23">
        <f t="shared" si="14"/>
        <v>10442</v>
      </c>
      <c r="R27" s="2">
        <f t="shared" si="15"/>
        <v>1991</v>
      </c>
      <c r="S27" s="2">
        <f t="shared" si="16"/>
        <v>1370</v>
      </c>
      <c r="T27" s="2">
        <f t="shared" si="17"/>
        <v>1060</v>
      </c>
      <c r="U27" s="2">
        <f t="shared" si="18"/>
        <v>874</v>
      </c>
      <c r="V27" s="2">
        <f t="shared" si="19"/>
        <v>750</v>
      </c>
      <c r="W27" s="2">
        <f t="shared" si="20"/>
        <v>595</v>
      </c>
      <c r="X27" s="25">
        <f t="shared" si="21"/>
        <v>3597</v>
      </c>
      <c r="Y27" s="23">
        <f t="shared" si="22"/>
        <v>8393</v>
      </c>
      <c r="Z27" s="23">
        <f t="shared" si="23"/>
        <v>9843</v>
      </c>
      <c r="AA27" s="2">
        <f t="shared" si="24"/>
        <v>1877</v>
      </c>
      <c r="AB27" s="2">
        <f t="shared" si="25"/>
        <v>1292</v>
      </c>
      <c r="AC27" s="2">
        <f t="shared" si="26"/>
        <v>999</v>
      </c>
      <c r="AD27" s="2">
        <f t="shared" si="27"/>
        <v>824</v>
      </c>
      <c r="AE27" s="2">
        <f t="shared" si="28"/>
        <v>707</v>
      </c>
      <c r="AF27" s="2">
        <f t="shared" si="29"/>
        <v>560</v>
      </c>
      <c r="AG27" s="25">
        <f t="shared" si="30"/>
        <v>4197</v>
      </c>
      <c r="AH27" s="23">
        <f t="shared" si="31"/>
        <v>7793</v>
      </c>
      <c r="AI27" s="23">
        <f t="shared" si="32"/>
        <v>9243</v>
      </c>
      <c r="AJ27" s="2">
        <f t="shared" si="33"/>
        <v>1763</v>
      </c>
      <c r="AK27" s="2">
        <f t="shared" si="34"/>
        <v>1213</v>
      </c>
      <c r="AL27" s="2">
        <f t="shared" si="35"/>
        <v>938</v>
      </c>
      <c r="AM27" s="2">
        <f t="shared" si="36"/>
        <v>774</v>
      </c>
      <c r="AN27" s="2">
        <f t="shared" si="37"/>
        <v>664</v>
      </c>
      <c r="AO27" s="2">
        <f t="shared" si="38"/>
        <v>526</v>
      </c>
      <c r="AP27" s="25">
        <f t="shared" si="39"/>
        <v>4796</v>
      </c>
      <c r="AQ27" s="23">
        <f t="shared" si="40"/>
        <v>7194</v>
      </c>
      <c r="AR27" s="23">
        <f t="shared" si="41"/>
        <v>8644</v>
      </c>
      <c r="AS27" s="2">
        <f t="shared" si="42"/>
        <v>1648</v>
      </c>
      <c r="AT27" s="2">
        <f t="shared" si="43"/>
        <v>1135</v>
      </c>
      <c r="AU27" s="2">
        <f t="shared" si="44"/>
        <v>878</v>
      </c>
      <c r="AV27" s="2">
        <f t="shared" si="45"/>
        <v>723</v>
      </c>
      <c r="AW27" s="2">
        <f t="shared" si="46"/>
        <v>621</v>
      </c>
      <c r="AX27" s="2">
        <f t="shared" si="47"/>
        <v>492</v>
      </c>
    </row>
    <row r="28" ht="14.25" customHeight="1">
      <c r="A28" s="2" t="str">
        <f t="array" ref="A28">IFERROR(INDEX('Product Price'!A:A,SMALL('Product Price'!$D:$D,26)),"")</f>
        <v>HUAWEI MatePad 11.5 S 12/256 GB</v>
      </c>
      <c r="B28" s="29">
        <f t="array" ref="B28">IFERROR(INDEX('Product Price'!B:B,SMALL('Product Price'!$D:$D,26)),"")</f>
        <v>13990</v>
      </c>
      <c r="C28" s="2">
        <f t="array" ref="C28">IFERROR(INDEX('Product Price'!C:C,SMALL('Product Price'!$D:$D,26)),"")</f>
        <v>18</v>
      </c>
      <c r="D28" s="2">
        <f t="shared" si="1"/>
        <v>1450</v>
      </c>
      <c r="E28" s="29">
        <f t="shared" si="2"/>
        <v>15440</v>
      </c>
      <c r="F28" s="25">
        <f t="shared" si="3"/>
        <v>2798</v>
      </c>
      <c r="G28" s="29">
        <f t="shared" si="4"/>
        <v>11192</v>
      </c>
      <c r="H28" s="29">
        <f t="shared" si="5"/>
        <v>12642</v>
      </c>
      <c r="I28" s="2">
        <f t="shared" si="6"/>
        <v>2411</v>
      </c>
      <c r="J28" s="2">
        <f t="shared" si="7"/>
        <v>1659</v>
      </c>
      <c r="K28" s="2">
        <f t="shared" si="8"/>
        <v>1283</v>
      </c>
      <c r="L28" s="2">
        <f t="shared" si="9"/>
        <v>1058</v>
      </c>
      <c r="M28" s="2">
        <f t="shared" si="10"/>
        <v>908</v>
      </c>
      <c r="N28" s="2">
        <f t="shared" si="11"/>
        <v>720</v>
      </c>
      <c r="O28" s="25">
        <f t="shared" si="12"/>
        <v>3498</v>
      </c>
      <c r="P28" s="29">
        <f t="shared" si="13"/>
        <v>10492</v>
      </c>
      <c r="Q28" s="29">
        <f t="shared" si="14"/>
        <v>11942</v>
      </c>
      <c r="R28" s="2">
        <f t="shared" si="15"/>
        <v>2277</v>
      </c>
      <c r="S28" s="2">
        <f t="shared" si="16"/>
        <v>1567</v>
      </c>
      <c r="T28" s="2">
        <f t="shared" si="17"/>
        <v>1212</v>
      </c>
      <c r="U28" s="2">
        <f t="shared" si="18"/>
        <v>999</v>
      </c>
      <c r="V28" s="2">
        <f t="shared" si="19"/>
        <v>857</v>
      </c>
      <c r="W28" s="2">
        <f t="shared" si="20"/>
        <v>680</v>
      </c>
      <c r="X28" s="25">
        <f t="shared" si="21"/>
        <v>4197</v>
      </c>
      <c r="Y28" s="29">
        <f t="shared" si="22"/>
        <v>9793</v>
      </c>
      <c r="Z28" s="29">
        <f t="shared" si="23"/>
        <v>11243</v>
      </c>
      <c r="AA28" s="2">
        <f t="shared" si="24"/>
        <v>2144</v>
      </c>
      <c r="AB28" s="2">
        <f t="shared" si="25"/>
        <v>1476</v>
      </c>
      <c r="AC28" s="2">
        <f t="shared" si="26"/>
        <v>1141</v>
      </c>
      <c r="AD28" s="2">
        <f t="shared" si="27"/>
        <v>941</v>
      </c>
      <c r="AE28" s="2">
        <f t="shared" si="28"/>
        <v>807</v>
      </c>
      <c r="AF28" s="2">
        <f t="shared" si="29"/>
        <v>640</v>
      </c>
      <c r="AG28" s="25">
        <f t="shared" si="30"/>
        <v>4897</v>
      </c>
      <c r="AH28" s="29">
        <f t="shared" si="31"/>
        <v>9093</v>
      </c>
      <c r="AI28" s="29">
        <f t="shared" si="32"/>
        <v>10543</v>
      </c>
      <c r="AJ28" s="2">
        <f t="shared" si="33"/>
        <v>2010</v>
      </c>
      <c r="AK28" s="2">
        <f t="shared" si="34"/>
        <v>1384</v>
      </c>
      <c r="AL28" s="2">
        <f t="shared" si="35"/>
        <v>1070</v>
      </c>
      <c r="AM28" s="2">
        <f t="shared" si="36"/>
        <v>882</v>
      </c>
      <c r="AN28" s="2">
        <f t="shared" si="37"/>
        <v>757</v>
      </c>
      <c r="AO28" s="2">
        <f t="shared" si="38"/>
        <v>600</v>
      </c>
      <c r="AP28" s="25">
        <f t="shared" si="39"/>
        <v>5596</v>
      </c>
      <c r="AQ28" s="29">
        <f t="shared" si="40"/>
        <v>8394</v>
      </c>
      <c r="AR28" s="29">
        <f t="shared" si="41"/>
        <v>9844</v>
      </c>
      <c r="AS28" s="2">
        <f t="shared" si="42"/>
        <v>1877</v>
      </c>
      <c r="AT28" s="2">
        <f t="shared" si="43"/>
        <v>1292</v>
      </c>
      <c r="AU28" s="2">
        <f t="shared" si="44"/>
        <v>999</v>
      </c>
      <c r="AV28" s="2">
        <f t="shared" si="45"/>
        <v>824</v>
      </c>
      <c r="AW28" s="2">
        <f t="shared" si="46"/>
        <v>707</v>
      </c>
      <c r="AX28" s="2">
        <f t="shared" si="47"/>
        <v>561</v>
      </c>
    </row>
    <row r="29" ht="14.25" customHeight="1">
      <c r="A29" s="2" t="str">
        <f t="array" ref="A29">IFERROR(INDEX('Product Price'!A:A,SMALL('Product Price'!$D:$D,27)),"")</f>
        <v>HUAWEI MatePad Mini 12/256 GB</v>
      </c>
      <c r="B29" s="29">
        <f t="array" ref="B29">IFERROR(INDEX('Product Price'!B:B,SMALL('Product Price'!$D:$D,27)),"")</f>
        <v>18990</v>
      </c>
      <c r="C29" s="2">
        <f t="array" ref="C29">IFERROR(INDEX('Product Price'!C:C,SMALL('Product Price'!$D:$D,27)),"")</f>
        <v>19</v>
      </c>
      <c r="D29" s="2">
        <f t="shared" si="1"/>
        <v>1450</v>
      </c>
      <c r="E29" s="29">
        <f t="shared" si="2"/>
        <v>20440</v>
      </c>
      <c r="F29" s="25">
        <f t="shared" si="3"/>
        <v>3798</v>
      </c>
      <c r="G29" s="29">
        <f t="shared" si="4"/>
        <v>15192</v>
      </c>
      <c r="H29" s="29">
        <f t="shared" si="5"/>
        <v>16642</v>
      </c>
      <c r="I29" s="2">
        <f t="shared" si="6"/>
        <v>3173</v>
      </c>
      <c r="J29" s="2">
        <f t="shared" si="7"/>
        <v>2184</v>
      </c>
      <c r="K29" s="2">
        <f t="shared" si="8"/>
        <v>1689</v>
      </c>
      <c r="L29" s="2">
        <f t="shared" si="9"/>
        <v>1392</v>
      </c>
      <c r="M29" s="2">
        <f t="shared" si="10"/>
        <v>1195</v>
      </c>
      <c r="N29" s="2">
        <f t="shared" si="11"/>
        <v>947</v>
      </c>
      <c r="O29" s="25">
        <f t="shared" si="12"/>
        <v>4748</v>
      </c>
      <c r="P29" s="29">
        <f t="shared" si="13"/>
        <v>14242</v>
      </c>
      <c r="Q29" s="29">
        <f t="shared" si="14"/>
        <v>15692</v>
      </c>
      <c r="R29" s="2">
        <f t="shared" si="15"/>
        <v>2992</v>
      </c>
      <c r="S29" s="2">
        <f t="shared" si="16"/>
        <v>2059</v>
      </c>
      <c r="T29" s="2">
        <f t="shared" si="17"/>
        <v>1593</v>
      </c>
      <c r="U29" s="2">
        <f t="shared" si="18"/>
        <v>1313</v>
      </c>
      <c r="V29" s="2">
        <f t="shared" si="19"/>
        <v>1126</v>
      </c>
      <c r="W29" s="2">
        <f t="shared" si="20"/>
        <v>893</v>
      </c>
      <c r="X29" s="25">
        <f t="shared" si="21"/>
        <v>5697</v>
      </c>
      <c r="Y29" s="29">
        <f t="shared" si="22"/>
        <v>13293</v>
      </c>
      <c r="Z29" s="29">
        <f t="shared" si="23"/>
        <v>14743</v>
      </c>
      <c r="AA29" s="2">
        <f t="shared" si="24"/>
        <v>2811</v>
      </c>
      <c r="AB29" s="2">
        <f t="shared" si="25"/>
        <v>1935</v>
      </c>
      <c r="AC29" s="2">
        <f t="shared" si="26"/>
        <v>1496</v>
      </c>
      <c r="AD29" s="2">
        <f t="shared" si="27"/>
        <v>1234</v>
      </c>
      <c r="AE29" s="2">
        <f t="shared" si="28"/>
        <v>1058</v>
      </c>
      <c r="AF29" s="2">
        <f t="shared" si="29"/>
        <v>839</v>
      </c>
      <c r="AG29" s="25">
        <f t="shared" si="30"/>
        <v>6647</v>
      </c>
      <c r="AH29" s="29">
        <f t="shared" si="31"/>
        <v>12343</v>
      </c>
      <c r="AI29" s="29">
        <f t="shared" si="32"/>
        <v>13793</v>
      </c>
      <c r="AJ29" s="2">
        <f t="shared" si="33"/>
        <v>2630</v>
      </c>
      <c r="AK29" s="2">
        <f t="shared" si="34"/>
        <v>1810</v>
      </c>
      <c r="AL29" s="2">
        <f t="shared" si="35"/>
        <v>1400</v>
      </c>
      <c r="AM29" s="2">
        <f t="shared" si="36"/>
        <v>1154</v>
      </c>
      <c r="AN29" s="2">
        <f t="shared" si="37"/>
        <v>990</v>
      </c>
      <c r="AO29" s="2">
        <f t="shared" si="38"/>
        <v>785</v>
      </c>
      <c r="AP29" s="25">
        <f t="shared" si="39"/>
        <v>7596</v>
      </c>
      <c r="AQ29" s="29">
        <f t="shared" si="40"/>
        <v>11394</v>
      </c>
      <c r="AR29" s="29">
        <f t="shared" si="41"/>
        <v>12844</v>
      </c>
      <c r="AS29" s="2">
        <f t="shared" si="42"/>
        <v>2449</v>
      </c>
      <c r="AT29" s="2">
        <f t="shared" si="43"/>
        <v>1686</v>
      </c>
      <c r="AU29" s="2">
        <f t="shared" si="44"/>
        <v>1304</v>
      </c>
      <c r="AV29" s="2">
        <f t="shared" si="45"/>
        <v>1075</v>
      </c>
      <c r="AW29" s="2">
        <f t="shared" si="46"/>
        <v>922</v>
      </c>
      <c r="AX29" s="2">
        <f t="shared" si="47"/>
        <v>731</v>
      </c>
    </row>
    <row r="30" ht="14.25" customHeight="1">
      <c r="A30" s="2" t="str">
        <f t="array" ref="A30">IFERROR(INDEX('Product Price'!A:A,SMALL('Product Price'!$D:$D,28)),"")</f>
        <v>HUAWEI MatePad 12 X 12/256 GB</v>
      </c>
      <c r="B30" s="29">
        <f t="array" ref="B30">IFERROR(INDEX('Product Price'!B:B,SMALL('Product Price'!$D:$D,28)),"")</f>
        <v>19990</v>
      </c>
      <c r="C30" s="2">
        <f t="array" ref="C30">IFERROR(INDEX('Product Price'!C:C,SMALL('Product Price'!$D:$D,28)),"")</f>
        <v>20</v>
      </c>
      <c r="D30" s="2">
        <f t="shared" si="1"/>
        <v>1450</v>
      </c>
      <c r="E30" s="29">
        <f t="shared" si="2"/>
        <v>21440</v>
      </c>
      <c r="F30" s="25">
        <f t="shared" si="3"/>
        <v>3998</v>
      </c>
      <c r="G30" s="29">
        <f t="shared" si="4"/>
        <v>15992</v>
      </c>
      <c r="H30" s="29">
        <f t="shared" si="5"/>
        <v>17442</v>
      </c>
      <c r="I30" s="2">
        <f t="shared" si="6"/>
        <v>3326</v>
      </c>
      <c r="J30" s="2">
        <f t="shared" si="7"/>
        <v>2289</v>
      </c>
      <c r="K30" s="2">
        <f t="shared" si="8"/>
        <v>1770</v>
      </c>
      <c r="L30" s="2">
        <f t="shared" si="9"/>
        <v>1459</v>
      </c>
      <c r="M30" s="2">
        <f t="shared" si="10"/>
        <v>1252</v>
      </c>
      <c r="N30" s="2">
        <f t="shared" si="11"/>
        <v>993</v>
      </c>
      <c r="O30" s="25">
        <f t="shared" si="12"/>
        <v>4998</v>
      </c>
      <c r="P30" s="29">
        <f t="shared" si="13"/>
        <v>14992</v>
      </c>
      <c r="Q30" s="29">
        <f t="shared" si="14"/>
        <v>16442</v>
      </c>
      <c r="R30" s="2">
        <f t="shared" si="15"/>
        <v>3135</v>
      </c>
      <c r="S30" s="2">
        <f t="shared" si="16"/>
        <v>2158</v>
      </c>
      <c r="T30" s="2">
        <f t="shared" si="17"/>
        <v>1669</v>
      </c>
      <c r="U30" s="2">
        <f t="shared" si="18"/>
        <v>1376</v>
      </c>
      <c r="V30" s="2">
        <f t="shared" si="19"/>
        <v>1180</v>
      </c>
      <c r="W30" s="2">
        <f t="shared" si="20"/>
        <v>936</v>
      </c>
      <c r="X30" s="25">
        <f t="shared" si="21"/>
        <v>5997</v>
      </c>
      <c r="Y30" s="29">
        <f t="shared" si="22"/>
        <v>13993</v>
      </c>
      <c r="Z30" s="29">
        <f t="shared" si="23"/>
        <v>15443</v>
      </c>
      <c r="AA30" s="2">
        <f t="shared" si="24"/>
        <v>2945</v>
      </c>
      <c r="AB30" s="2">
        <f t="shared" si="25"/>
        <v>2027</v>
      </c>
      <c r="AC30" s="2">
        <f t="shared" si="26"/>
        <v>1568</v>
      </c>
      <c r="AD30" s="2">
        <f t="shared" si="27"/>
        <v>1292</v>
      </c>
      <c r="AE30" s="2">
        <f t="shared" si="28"/>
        <v>1109</v>
      </c>
      <c r="AF30" s="2">
        <f t="shared" si="29"/>
        <v>879</v>
      </c>
      <c r="AG30" s="25">
        <f t="shared" si="30"/>
        <v>6997</v>
      </c>
      <c r="AH30" s="29">
        <f t="shared" si="31"/>
        <v>12993</v>
      </c>
      <c r="AI30" s="29">
        <f t="shared" si="32"/>
        <v>14443</v>
      </c>
      <c r="AJ30" s="2">
        <f t="shared" si="33"/>
        <v>2754</v>
      </c>
      <c r="AK30" s="2">
        <f t="shared" si="34"/>
        <v>1895</v>
      </c>
      <c r="AL30" s="2">
        <f t="shared" si="35"/>
        <v>1466</v>
      </c>
      <c r="AM30" s="2">
        <f t="shared" si="36"/>
        <v>1208</v>
      </c>
      <c r="AN30" s="2">
        <f t="shared" si="37"/>
        <v>1037</v>
      </c>
      <c r="AO30" s="2">
        <f t="shared" si="38"/>
        <v>822</v>
      </c>
      <c r="AP30" s="25">
        <f t="shared" si="39"/>
        <v>7996</v>
      </c>
      <c r="AQ30" s="29">
        <f t="shared" si="40"/>
        <v>11994</v>
      </c>
      <c r="AR30" s="29">
        <f t="shared" si="41"/>
        <v>13444</v>
      </c>
      <c r="AS30" s="2">
        <f t="shared" si="42"/>
        <v>2563</v>
      </c>
      <c r="AT30" s="2">
        <f t="shared" si="43"/>
        <v>1764</v>
      </c>
      <c r="AU30" s="2">
        <f t="shared" si="44"/>
        <v>1365</v>
      </c>
      <c r="AV30" s="2">
        <f t="shared" si="45"/>
        <v>1125</v>
      </c>
      <c r="AW30" s="2">
        <f t="shared" si="46"/>
        <v>965</v>
      </c>
      <c r="AX30" s="2">
        <f t="shared" si="47"/>
        <v>765</v>
      </c>
    </row>
    <row r="31" ht="14.25" customHeight="1">
      <c r="A31" s="2" t="str">
        <f t="array" ref="A31">IFERROR(INDEX('Product Price'!A:A,SMALL('Product Price'!$D:$D,29)),"")</f>
        <v>HUAWEI MatePad SE 11 8/128 GB</v>
      </c>
      <c r="B31" s="29">
        <f t="array" ref="B31">IFERROR(INDEX('Product Price'!B:B,SMALL('Product Price'!$D:$D,29)),"")</f>
        <v>7990</v>
      </c>
      <c r="C31" s="2">
        <f t="array" ref="C31">IFERROR(INDEX('Product Price'!C:C,SMALL('Product Price'!$D:$D,29)),"")</f>
        <v>21</v>
      </c>
      <c r="D31" s="2">
        <f t="shared" si="1"/>
        <v>795</v>
      </c>
      <c r="E31" s="29">
        <f t="shared" si="2"/>
        <v>8785</v>
      </c>
      <c r="F31" s="25">
        <f t="shared" si="3"/>
        <v>1598</v>
      </c>
      <c r="G31" s="29">
        <f t="shared" si="4"/>
        <v>6392</v>
      </c>
      <c r="H31" s="29">
        <f t="shared" si="5"/>
        <v>7187</v>
      </c>
      <c r="I31" s="2">
        <f t="shared" si="6"/>
        <v>1371</v>
      </c>
      <c r="J31" s="2">
        <f t="shared" si="7"/>
        <v>943</v>
      </c>
      <c r="K31" s="2">
        <f t="shared" si="8"/>
        <v>730</v>
      </c>
      <c r="L31" s="2">
        <f t="shared" si="9"/>
        <v>602</v>
      </c>
      <c r="M31" s="2">
        <f t="shared" si="10"/>
        <v>516</v>
      </c>
      <c r="N31" s="2">
        <f t="shared" si="11"/>
        <v>409</v>
      </c>
      <c r="O31" s="25">
        <f t="shared" si="12"/>
        <v>1998</v>
      </c>
      <c r="P31" s="29">
        <f t="shared" si="13"/>
        <v>5992</v>
      </c>
      <c r="Q31" s="29">
        <f t="shared" si="14"/>
        <v>6787</v>
      </c>
      <c r="R31" s="2">
        <f t="shared" si="15"/>
        <v>1294</v>
      </c>
      <c r="S31" s="2">
        <f t="shared" si="16"/>
        <v>891</v>
      </c>
      <c r="T31" s="2">
        <f t="shared" si="17"/>
        <v>689</v>
      </c>
      <c r="U31" s="2">
        <f t="shared" si="18"/>
        <v>568</v>
      </c>
      <c r="V31" s="2">
        <f t="shared" si="19"/>
        <v>487</v>
      </c>
      <c r="W31" s="2" t="str">
        <f t="shared" si="20"/>
        <v>-</v>
      </c>
      <c r="X31" s="25">
        <f t="shared" si="21"/>
        <v>2397</v>
      </c>
      <c r="Y31" s="29">
        <f t="shared" si="22"/>
        <v>5593</v>
      </c>
      <c r="Z31" s="29">
        <f t="shared" si="23"/>
        <v>6388</v>
      </c>
      <c r="AA31" s="2">
        <f t="shared" si="24"/>
        <v>1218</v>
      </c>
      <c r="AB31" s="2">
        <f t="shared" si="25"/>
        <v>839</v>
      </c>
      <c r="AC31" s="2">
        <f t="shared" si="26"/>
        <v>649</v>
      </c>
      <c r="AD31" s="2">
        <f t="shared" si="27"/>
        <v>535</v>
      </c>
      <c r="AE31" s="2">
        <f t="shared" si="28"/>
        <v>459</v>
      </c>
      <c r="AF31" s="2" t="str">
        <f t="shared" si="29"/>
        <v>-</v>
      </c>
      <c r="AG31" s="25">
        <f t="shared" si="30"/>
        <v>2797</v>
      </c>
      <c r="AH31" s="29">
        <f t="shared" si="31"/>
        <v>5193</v>
      </c>
      <c r="AI31" s="29">
        <f t="shared" si="32"/>
        <v>5988</v>
      </c>
      <c r="AJ31" s="2">
        <f t="shared" si="33"/>
        <v>1142</v>
      </c>
      <c r="AK31" s="2">
        <f t="shared" si="34"/>
        <v>786</v>
      </c>
      <c r="AL31" s="2">
        <f t="shared" si="35"/>
        <v>608</v>
      </c>
      <c r="AM31" s="2">
        <f t="shared" si="36"/>
        <v>501</v>
      </c>
      <c r="AN31" s="2">
        <f t="shared" si="37"/>
        <v>430</v>
      </c>
      <c r="AO31" s="2" t="str">
        <f t="shared" si="38"/>
        <v>-</v>
      </c>
      <c r="AP31" s="25">
        <f t="shared" si="39"/>
        <v>3196</v>
      </c>
      <c r="AQ31" s="29">
        <f t="shared" si="40"/>
        <v>4794</v>
      </c>
      <c r="AR31" s="29">
        <f t="shared" si="41"/>
        <v>5589</v>
      </c>
      <c r="AS31" s="2">
        <f t="shared" si="42"/>
        <v>1066</v>
      </c>
      <c r="AT31" s="2">
        <f t="shared" si="43"/>
        <v>734</v>
      </c>
      <c r="AU31" s="2">
        <f t="shared" si="44"/>
        <v>568</v>
      </c>
      <c r="AV31" s="2">
        <f t="shared" si="45"/>
        <v>468</v>
      </c>
      <c r="AW31" s="2">
        <f t="shared" si="46"/>
        <v>402</v>
      </c>
      <c r="AX31" s="2" t="str">
        <f t="shared" si="47"/>
        <v>-</v>
      </c>
    </row>
    <row r="32" ht="14.25" customHeight="1">
      <c r="A32" s="2" t="str">
        <f t="array" ref="A32">IFERROR(INDEX('Product Price'!A:A,SMALL('Product Price'!$D:$D,30)),"")</f>
        <v>INFINIX GT 50 Pro 5G 12/512 GB</v>
      </c>
      <c r="B32" s="29">
        <f t="array" ref="B32">IFERROR(INDEX('Product Price'!B:B,SMALL('Product Price'!$D:$D,30)),"")</f>
        <v>19999</v>
      </c>
      <c r="C32" s="2">
        <f t="array" ref="C32">IFERROR(INDEX('Product Price'!C:C,SMALL('Product Price'!$D:$D,30)),"")</f>
        <v>253</v>
      </c>
      <c r="D32" s="2">
        <f t="shared" si="1"/>
        <v>1450</v>
      </c>
      <c r="E32" s="29">
        <f t="shared" si="2"/>
        <v>21449</v>
      </c>
      <c r="F32" s="25">
        <f t="shared" si="3"/>
        <v>4000</v>
      </c>
      <c r="G32" s="29">
        <f t="shared" si="4"/>
        <v>15999</v>
      </c>
      <c r="H32" s="29">
        <f t="shared" si="5"/>
        <v>17449</v>
      </c>
      <c r="I32" s="2">
        <f t="shared" si="6"/>
        <v>3327</v>
      </c>
      <c r="J32" s="2">
        <f t="shared" si="7"/>
        <v>2290</v>
      </c>
      <c r="K32" s="2">
        <f t="shared" si="8"/>
        <v>1771</v>
      </c>
      <c r="L32" s="2">
        <f t="shared" si="9"/>
        <v>1460</v>
      </c>
      <c r="M32" s="2">
        <f t="shared" si="10"/>
        <v>1252</v>
      </c>
      <c r="N32" s="2">
        <f t="shared" si="11"/>
        <v>993</v>
      </c>
      <c r="O32" s="25">
        <f t="shared" si="12"/>
        <v>5000</v>
      </c>
      <c r="P32" s="29">
        <f t="shared" si="13"/>
        <v>14999</v>
      </c>
      <c r="Q32" s="29">
        <f t="shared" si="14"/>
        <v>16449</v>
      </c>
      <c r="R32" s="2">
        <f t="shared" si="15"/>
        <v>3136</v>
      </c>
      <c r="S32" s="2">
        <f t="shared" si="16"/>
        <v>2159</v>
      </c>
      <c r="T32" s="2">
        <f t="shared" si="17"/>
        <v>1670</v>
      </c>
      <c r="U32" s="2">
        <f t="shared" si="18"/>
        <v>1376</v>
      </c>
      <c r="V32" s="2">
        <f t="shared" si="19"/>
        <v>1181</v>
      </c>
      <c r="W32" s="2">
        <f t="shared" si="20"/>
        <v>936</v>
      </c>
      <c r="X32" s="25">
        <f t="shared" si="21"/>
        <v>6000</v>
      </c>
      <c r="Y32" s="29">
        <f t="shared" si="22"/>
        <v>13999</v>
      </c>
      <c r="Z32" s="29">
        <f t="shared" si="23"/>
        <v>15449</v>
      </c>
      <c r="AA32" s="2">
        <f t="shared" si="24"/>
        <v>2946</v>
      </c>
      <c r="AB32" s="2">
        <f t="shared" si="25"/>
        <v>2027</v>
      </c>
      <c r="AC32" s="2">
        <f t="shared" si="26"/>
        <v>1568</v>
      </c>
      <c r="AD32" s="2">
        <f t="shared" si="27"/>
        <v>1293</v>
      </c>
      <c r="AE32" s="2">
        <f t="shared" si="28"/>
        <v>1109</v>
      </c>
      <c r="AF32" s="2">
        <f t="shared" si="29"/>
        <v>879</v>
      </c>
      <c r="AG32" s="25">
        <f t="shared" si="30"/>
        <v>7000</v>
      </c>
      <c r="AH32" s="29">
        <f t="shared" si="31"/>
        <v>12999</v>
      </c>
      <c r="AI32" s="29">
        <f t="shared" si="32"/>
        <v>14449</v>
      </c>
      <c r="AJ32" s="2">
        <f t="shared" si="33"/>
        <v>2755</v>
      </c>
      <c r="AK32" s="2">
        <f t="shared" si="34"/>
        <v>1896</v>
      </c>
      <c r="AL32" s="2">
        <f t="shared" si="35"/>
        <v>1467</v>
      </c>
      <c r="AM32" s="2">
        <f t="shared" si="36"/>
        <v>1209</v>
      </c>
      <c r="AN32" s="2">
        <f t="shared" si="37"/>
        <v>1037</v>
      </c>
      <c r="AO32" s="2">
        <f t="shared" si="38"/>
        <v>822</v>
      </c>
      <c r="AP32" s="25">
        <f t="shared" si="39"/>
        <v>8000</v>
      </c>
      <c r="AQ32" s="29">
        <f t="shared" si="40"/>
        <v>11999</v>
      </c>
      <c r="AR32" s="29">
        <f t="shared" si="41"/>
        <v>13449</v>
      </c>
      <c r="AS32" s="2">
        <f t="shared" si="42"/>
        <v>2564</v>
      </c>
      <c r="AT32" s="2">
        <f t="shared" si="43"/>
        <v>1765</v>
      </c>
      <c r="AU32" s="2">
        <f t="shared" si="44"/>
        <v>1365</v>
      </c>
      <c r="AV32" s="2">
        <f t="shared" si="45"/>
        <v>1125</v>
      </c>
      <c r="AW32" s="2">
        <f t="shared" si="46"/>
        <v>965</v>
      </c>
      <c r="AX32" s="2">
        <f t="shared" si="47"/>
        <v>766</v>
      </c>
    </row>
    <row r="33" ht="14.25" customHeight="1">
      <c r="A33" s="2" t="str">
        <f t="array" ref="A33">IFERROR(INDEX('Product Price'!A:A,SMALL('Product Price'!$D:$D,31)),"")</f>
        <v>INFINIX GT 50 Pro 5G 12/256 GB</v>
      </c>
      <c r="B33" s="29">
        <f t="array" ref="B33">IFERROR(INDEX('Product Price'!B:B,SMALL('Product Price'!$D:$D,31)),"")</f>
        <v>15999</v>
      </c>
      <c r="C33" s="2">
        <f t="array" ref="C33">IFERROR(INDEX('Product Price'!C:C,SMALL('Product Price'!$D:$D,31)),"")</f>
        <v>22</v>
      </c>
      <c r="D33" s="2">
        <f t="shared" si="1"/>
        <v>1450</v>
      </c>
      <c r="E33" s="29">
        <f t="shared" si="2"/>
        <v>17449</v>
      </c>
      <c r="F33" s="25">
        <f t="shared" si="3"/>
        <v>3200</v>
      </c>
      <c r="G33" s="29">
        <f t="shared" si="4"/>
        <v>12799</v>
      </c>
      <c r="H33" s="29">
        <f t="shared" si="5"/>
        <v>14249</v>
      </c>
      <c r="I33" s="2">
        <f t="shared" si="6"/>
        <v>2717</v>
      </c>
      <c r="J33" s="2">
        <f t="shared" si="7"/>
        <v>1870</v>
      </c>
      <c r="K33" s="2">
        <f t="shared" si="8"/>
        <v>1446</v>
      </c>
      <c r="L33" s="2">
        <f t="shared" si="9"/>
        <v>1192</v>
      </c>
      <c r="M33" s="2">
        <f t="shared" si="10"/>
        <v>1023</v>
      </c>
      <c r="N33" s="2">
        <f t="shared" si="11"/>
        <v>811</v>
      </c>
      <c r="O33" s="25">
        <f t="shared" si="12"/>
        <v>4000</v>
      </c>
      <c r="P33" s="29">
        <f t="shared" si="13"/>
        <v>11999</v>
      </c>
      <c r="Q33" s="29">
        <f t="shared" si="14"/>
        <v>13449</v>
      </c>
      <c r="R33" s="2">
        <f t="shared" si="15"/>
        <v>2564</v>
      </c>
      <c r="S33" s="2">
        <f t="shared" si="16"/>
        <v>1765</v>
      </c>
      <c r="T33" s="2">
        <f t="shared" si="17"/>
        <v>1365</v>
      </c>
      <c r="U33" s="2">
        <f t="shared" si="18"/>
        <v>1125</v>
      </c>
      <c r="V33" s="2">
        <f t="shared" si="19"/>
        <v>965</v>
      </c>
      <c r="W33" s="2">
        <f t="shared" si="20"/>
        <v>766</v>
      </c>
      <c r="X33" s="25">
        <f t="shared" si="21"/>
        <v>4800</v>
      </c>
      <c r="Y33" s="29">
        <f t="shared" si="22"/>
        <v>11199</v>
      </c>
      <c r="Z33" s="29">
        <f t="shared" si="23"/>
        <v>12649</v>
      </c>
      <c r="AA33" s="2">
        <f t="shared" si="24"/>
        <v>2412</v>
      </c>
      <c r="AB33" s="2">
        <f t="shared" si="25"/>
        <v>1660</v>
      </c>
      <c r="AC33" s="2">
        <f t="shared" si="26"/>
        <v>1284</v>
      </c>
      <c r="AD33" s="2">
        <f t="shared" si="27"/>
        <v>1058</v>
      </c>
      <c r="AE33" s="2">
        <f t="shared" si="28"/>
        <v>908</v>
      </c>
      <c r="AF33" s="2">
        <f t="shared" si="29"/>
        <v>720</v>
      </c>
      <c r="AG33" s="25">
        <f t="shared" si="30"/>
        <v>5600</v>
      </c>
      <c r="AH33" s="29">
        <f t="shared" si="31"/>
        <v>10399</v>
      </c>
      <c r="AI33" s="29">
        <f t="shared" si="32"/>
        <v>11849</v>
      </c>
      <c r="AJ33" s="2">
        <f t="shared" si="33"/>
        <v>2259</v>
      </c>
      <c r="AK33" s="2">
        <f t="shared" si="34"/>
        <v>1555</v>
      </c>
      <c r="AL33" s="2">
        <f t="shared" si="35"/>
        <v>1203</v>
      </c>
      <c r="AM33" s="2">
        <f t="shared" si="36"/>
        <v>992</v>
      </c>
      <c r="AN33" s="2">
        <f t="shared" si="37"/>
        <v>851</v>
      </c>
      <c r="AO33" s="2">
        <f t="shared" si="38"/>
        <v>675</v>
      </c>
      <c r="AP33" s="25">
        <f t="shared" si="39"/>
        <v>6400</v>
      </c>
      <c r="AQ33" s="29">
        <f t="shared" si="40"/>
        <v>9599</v>
      </c>
      <c r="AR33" s="29">
        <f t="shared" si="41"/>
        <v>11049</v>
      </c>
      <c r="AS33" s="2">
        <f t="shared" si="42"/>
        <v>2107</v>
      </c>
      <c r="AT33" s="2">
        <f t="shared" si="43"/>
        <v>1450</v>
      </c>
      <c r="AU33" s="2">
        <f t="shared" si="44"/>
        <v>1122</v>
      </c>
      <c r="AV33" s="2">
        <f t="shared" si="45"/>
        <v>925</v>
      </c>
      <c r="AW33" s="2">
        <f t="shared" si="46"/>
        <v>793</v>
      </c>
      <c r="AX33" s="2">
        <f t="shared" si="47"/>
        <v>629</v>
      </c>
    </row>
    <row r="34" ht="14.25" customHeight="1">
      <c r="A34" s="2" t="str">
        <f t="array" ref="A34">IFERROR(INDEX('Product Price'!A:A,SMALL('Product Price'!$D:$D,32)),"")</f>
        <v>INFINIX NOTE 50 Pro+ 5G 12/256 GB</v>
      </c>
      <c r="B34" s="29">
        <f t="array" ref="B34">IFERROR(INDEX('Product Price'!B:B,SMALL('Product Price'!$D:$D,32)),"")</f>
        <v>13999</v>
      </c>
      <c r="C34" s="2">
        <f t="array" ref="C34">IFERROR(INDEX('Product Price'!C:C,SMALL('Product Price'!$D:$D,32)),"")</f>
        <v>23</v>
      </c>
      <c r="D34" s="2">
        <f t="shared" si="1"/>
        <v>1450</v>
      </c>
      <c r="E34" s="29">
        <f t="shared" si="2"/>
        <v>15449</v>
      </c>
      <c r="F34" s="25">
        <f t="shared" si="3"/>
        <v>2800</v>
      </c>
      <c r="G34" s="29">
        <f t="shared" si="4"/>
        <v>11199</v>
      </c>
      <c r="H34" s="29">
        <f t="shared" si="5"/>
        <v>12649</v>
      </c>
      <c r="I34" s="2">
        <f t="shared" si="6"/>
        <v>2412</v>
      </c>
      <c r="J34" s="2">
        <f t="shared" si="7"/>
        <v>1660</v>
      </c>
      <c r="K34" s="2">
        <f t="shared" si="8"/>
        <v>1284</v>
      </c>
      <c r="L34" s="2">
        <f t="shared" si="9"/>
        <v>1058</v>
      </c>
      <c r="M34" s="2">
        <f t="shared" si="10"/>
        <v>908</v>
      </c>
      <c r="N34" s="2">
        <f t="shared" si="11"/>
        <v>720</v>
      </c>
      <c r="O34" s="25">
        <f t="shared" si="12"/>
        <v>3500</v>
      </c>
      <c r="P34" s="29">
        <f t="shared" si="13"/>
        <v>10499</v>
      </c>
      <c r="Q34" s="29">
        <f t="shared" si="14"/>
        <v>11949</v>
      </c>
      <c r="R34" s="2">
        <f t="shared" si="15"/>
        <v>2278</v>
      </c>
      <c r="S34" s="2">
        <f t="shared" si="16"/>
        <v>1568</v>
      </c>
      <c r="T34" s="2">
        <f t="shared" si="17"/>
        <v>1213</v>
      </c>
      <c r="U34" s="2">
        <f t="shared" si="18"/>
        <v>1000</v>
      </c>
      <c r="V34" s="2">
        <f t="shared" si="19"/>
        <v>858</v>
      </c>
      <c r="W34" s="2">
        <f t="shared" si="20"/>
        <v>680</v>
      </c>
      <c r="X34" s="25">
        <f t="shared" si="21"/>
        <v>4200</v>
      </c>
      <c r="Y34" s="29">
        <f t="shared" si="22"/>
        <v>9799</v>
      </c>
      <c r="Z34" s="29">
        <f t="shared" si="23"/>
        <v>11249</v>
      </c>
      <c r="AA34" s="2">
        <f t="shared" si="24"/>
        <v>2145</v>
      </c>
      <c r="AB34" s="2">
        <f t="shared" si="25"/>
        <v>1476</v>
      </c>
      <c r="AC34" s="2">
        <f t="shared" si="26"/>
        <v>1142</v>
      </c>
      <c r="AD34" s="2">
        <f t="shared" si="27"/>
        <v>941</v>
      </c>
      <c r="AE34" s="2">
        <f t="shared" si="28"/>
        <v>808</v>
      </c>
      <c r="AF34" s="2">
        <f t="shared" si="29"/>
        <v>640</v>
      </c>
      <c r="AG34" s="25">
        <f t="shared" si="30"/>
        <v>4900</v>
      </c>
      <c r="AH34" s="29">
        <f t="shared" si="31"/>
        <v>9099</v>
      </c>
      <c r="AI34" s="29">
        <f t="shared" si="32"/>
        <v>10549</v>
      </c>
      <c r="AJ34" s="2">
        <f t="shared" si="33"/>
        <v>2012</v>
      </c>
      <c r="AK34" s="2">
        <f t="shared" si="34"/>
        <v>1384</v>
      </c>
      <c r="AL34" s="2">
        <f t="shared" si="35"/>
        <v>1071</v>
      </c>
      <c r="AM34" s="2">
        <f t="shared" si="36"/>
        <v>883</v>
      </c>
      <c r="AN34" s="2">
        <f t="shared" si="37"/>
        <v>757</v>
      </c>
      <c r="AO34" s="2">
        <f t="shared" si="38"/>
        <v>601</v>
      </c>
      <c r="AP34" s="25">
        <f t="shared" si="39"/>
        <v>5600</v>
      </c>
      <c r="AQ34" s="29">
        <f t="shared" si="40"/>
        <v>8399</v>
      </c>
      <c r="AR34" s="29">
        <f t="shared" si="41"/>
        <v>9849</v>
      </c>
      <c r="AS34" s="2">
        <f t="shared" si="42"/>
        <v>1878</v>
      </c>
      <c r="AT34" s="2">
        <f t="shared" si="43"/>
        <v>1293</v>
      </c>
      <c r="AU34" s="2">
        <f t="shared" si="44"/>
        <v>1000</v>
      </c>
      <c r="AV34" s="2">
        <f t="shared" si="45"/>
        <v>824</v>
      </c>
      <c r="AW34" s="2">
        <f t="shared" si="46"/>
        <v>707</v>
      </c>
      <c r="AX34" s="2">
        <f t="shared" si="47"/>
        <v>561</v>
      </c>
    </row>
    <row r="35" ht="14.25" customHeight="1">
      <c r="A35" s="2" t="str">
        <f t="array" ref="A35">IFERROR(INDEX('Product Price'!A:A,SMALL('Product Price'!$D:$D,33)),"")</f>
        <v>INFINIX NOTE 60 Pro 5G 12/256 GB</v>
      </c>
      <c r="B35" s="29">
        <f t="array" ref="B35">IFERROR(INDEX('Product Price'!B:B,SMALL('Product Price'!$D:$D,33)),"")</f>
        <v>12999</v>
      </c>
      <c r="C35" s="2">
        <f t="array" ref="C35">IFERROR(INDEX('Product Price'!C:C,SMALL('Product Price'!$D:$D,33)),"")</f>
        <v>24</v>
      </c>
      <c r="D35" s="2">
        <f t="shared" si="1"/>
        <v>1450</v>
      </c>
      <c r="E35" s="29">
        <f t="shared" si="2"/>
        <v>14449</v>
      </c>
      <c r="F35" s="25">
        <f t="shared" si="3"/>
        <v>2600</v>
      </c>
      <c r="G35" s="29">
        <f t="shared" si="4"/>
        <v>10399</v>
      </c>
      <c r="H35" s="29">
        <f t="shared" si="5"/>
        <v>11849</v>
      </c>
      <c r="I35" s="2">
        <f t="shared" si="6"/>
        <v>2259</v>
      </c>
      <c r="J35" s="2">
        <f t="shared" si="7"/>
        <v>1555</v>
      </c>
      <c r="K35" s="2">
        <f t="shared" si="8"/>
        <v>1203</v>
      </c>
      <c r="L35" s="2">
        <f t="shared" si="9"/>
        <v>992</v>
      </c>
      <c r="M35" s="2">
        <f t="shared" si="10"/>
        <v>851</v>
      </c>
      <c r="N35" s="2">
        <f t="shared" si="11"/>
        <v>675</v>
      </c>
      <c r="O35" s="25">
        <f t="shared" si="12"/>
        <v>3250</v>
      </c>
      <c r="P35" s="29">
        <f t="shared" si="13"/>
        <v>9749</v>
      </c>
      <c r="Q35" s="29">
        <f t="shared" si="14"/>
        <v>11199</v>
      </c>
      <c r="R35" s="2">
        <f t="shared" si="15"/>
        <v>2135</v>
      </c>
      <c r="S35" s="2">
        <f t="shared" si="16"/>
        <v>1470</v>
      </c>
      <c r="T35" s="2">
        <f t="shared" si="17"/>
        <v>1137</v>
      </c>
      <c r="U35" s="2">
        <f t="shared" si="18"/>
        <v>937</v>
      </c>
      <c r="V35" s="2">
        <f t="shared" si="19"/>
        <v>804</v>
      </c>
      <c r="W35" s="2">
        <f t="shared" si="20"/>
        <v>638</v>
      </c>
      <c r="X35" s="25">
        <f t="shared" si="21"/>
        <v>3900</v>
      </c>
      <c r="Y35" s="29">
        <f t="shared" si="22"/>
        <v>9099</v>
      </c>
      <c r="Z35" s="29">
        <f t="shared" si="23"/>
        <v>10549</v>
      </c>
      <c r="AA35" s="2">
        <f t="shared" si="24"/>
        <v>2012</v>
      </c>
      <c r="AB35" s="2">
        <f t="shared" si="25"/>
        <v>1384</v>
      </c>
      <c r="AC35" s="2">
        <f t="shared" si="26"/>
        <v>1071</v>
      </c>
      <c r="AD35" s="2">
        <f t="shared" si="27"/>
        <v>883</v>
      </c>
      <c r="AE35" s="2">
        <f t="shared" si="28"/>
        <v>757</v>
      </c>
      <c r="AF35" s="2">
        <f t="shared" si="29"/>
        <v>601</v>
      </c>
      <c r="AG35" s="25">
        <f t="shared" si="30"/>
        <v>4550</v>
      </c>
      <c r="AH35" s="29">
        <f t="shared" si="31"/>
        <v>8449</v>
      </c>
      <c r="AI35" s="29">
        <f t="shared" si="32"/>
        <v>9899</v>
      </c>
      <c r="AJ35" s="2">
        <f t="shared" si="33"/>
        <v>1888</v>
      </c>
      <c r="AK35" s="2">
        <f t="shared" si="34"/>
        <v>1299</v>
      </c>
      <c r="AL35" s="2">
        <f t="shared" si="35"/>
        <v>1005</v>
      </c>
      <c r="AM35" s="2">
        <f t="shared" si="36"/>
        <v>828</v>
      </c>
      <c r="AN35" s="2">
        <f t="shared" si="37"/>
        <v>711</v>
      </c>
      <c r="AO35" s="2">
        <f t="shared" si="38"/>
        <v>564</v>
      </c>
      <c r="AP35" s="25">
        <f t="shared" si="39"/>
        <v>5200</v>
      </c>
      <c r="AQ35" s="29">
        <f t="shared" si="40"/>
        <v>7799</v>
      </c>
      <c r="AR35" s="29">
        <f t="shared" si="41"/>
        <v>9249</v>
      </c>
      <c r="AS35" s="2">
        <f t="shared" si="42"/>
        <v>1764</v>
      </c>
      <c r="AT35" s="2">
        <f t="shared" si="43"/>
        <v>1214</v>
      </c>
      <c r="AU35" s="2">
        <f t="shared" si="44"/>
        <v>939</v>
      </c>
      <c r="AV35" s="2">
        <f t="shared" si="45"/>
        <v>774</v>
      </c>
      <c r="AW35" s="2">
        <f t="shared" si="46"/>
        <v>664</v>
      </c>
      <c r="AX35" s="2">
        <f t="shared" si="47"/>
        <v>527</v>
      </c>
    </row>
    <row r="36" ht="14.25" customHeight="1">
      <c r="A36" s="2" t="str">
        <f t="array" ref="A36">IFERROR(INDEX('Product Price'!A:A,SMALL('Product Price'!$D:$D,34)),"")</f>
        <v>INFINIX GT 30 Pro 5G 12/512 GB</v>
      </c>
      <c r="B36" s="29">
        <f t="array" ref="B36">IFERROR(INDEX('Product Price'!B:B,SMALL('Product Price'!$D:$D,34)),"")</f>
        <v>12999</v>
      </c>
      <c r="C36" s="2">
        <f t="array" ref="C36">IFERROR(INDEX('Product Price'!C:C,SMALL('Product Price'!$D:$D,34)),"")</f>
        <v>25</v>
      </c>
      <c r="D36" s="2">
        <f t="shared" si="1"/>
        <v>1450</v>
      </c>
      <c r="E36" s="29">
        <f t="shared" si="2"/>
        <v>14449</v>
      </c>
      <c r="F36" s="25">
        <f t="shared" si="3"/>
        <v>2600</v>
      </c>
      <c r="G36" s="29">
        <f t="shared" si="4"/>
        <v>10399</v>
      </c>
      <c r="H36" s="29">
        <f t="shared" si="5"/>
        <v>11849</v>
      </c>
      <c r="I36" s="2">
        <f t="shared" si="6"/>
        <v>2259</v>
      </c>
      <c r="J36" s="2">
        <f t="shared" si="7"/>
        <v>1555</v>
      </c>
      <c r="K36" s="2">
        <f t="shared" si="8"/>
        <v>1203</v>
      </c>
      <c r="L36" s="2">
        <f t="shared" si="9"/>
        <v>992</v>
      </c>
      <c r="M36" s="2">
        <f t="shared" si="10"/>
        <v>851</v>
      </c>
      <c r="N36" s="2">
        <f t="shared" si="11"/>
        <v>675</v>
      </c>
      <c r="O36" s="25">
        <f t="shared" si="12"/>
        <v>3250</v>
      </c>
      <c r="P36" s="29">
        <f t="shared" si="13"/>
        <v>9749</v>
      </c>
      <c r="Q36" s="29">
        <f t="shared" si="14"/>
        <v>11199</v>
      </c>
      <c r="R36" s="2">
        <f t="shared" si="15"/>
        <v>2135</v>
      </c>
      <c r="S36" s="2">
        <f t="shared" si="16"/>
        <v>1470</v>
      </c>
      <c r="T36" s="2">
        <f t="shared" si="17"/>
        <v>1137</v>
      </c>
      <c r="U36" s="2">
        <f t="shared" si="18"/>
        <v>937</v>
      </c>
      <c r="V36" s="2">
        <f t="shared" si="19"/>
        <v>804</v>
      </c>
      <c r="W36" s="2">
        <f t="shared" si="20"/>
        <v>638</v>
      </c>
      <c r="X36" s="25">
        <f t="shared" si="21"/>
        <v>3900</v>
      </c>
      <c r="Y36" s="29">
        <f t="shared" si="22"/>
        <v>9099</v>
      </c>
      <c r="Z36" s="29">
        <f t="shared" si="23"/>
        <v>10549</v>
      </c>
      <c r="AA36" s="2">
        <f t="shared" si="24"/>
        <v>2012</v>
      </c>
      <c r="AB36" s="2">
        <f t="shared" si="25"/>
        <v>1384</v>
      </c>
      <c r="AC36" s="2">
        <f t="shared" si="26"/>
        <v>1071</v>
      </c>
      <c r="AD36" s="2">
        <f t="shared" si="27"/>
        <v>883</v>
      </c>
      <c r="AE36" s="2">
        <f t="shared" si="28"/>
        <v>757</v>
      </c>
      <c r="AF36" s="2">
        <f t="shared" si="29"/>
        <v>601</v>
      </c>
      <c r="AG36" s="25">
        <f t="shared" si="30"/>
        <v>4550</v>
      </c>
      <c r="AH36" s="29">
        <f t="shared" si="31"/>
        <v>8449</v>
      </c>
      <c r="AI36" s="29">
        <f t="shared" si="32"/>
        <v>9899</v>
      </c>
      <c r="AJ36" s="2">
        <f t="shared" si="33"/>
        <v>1888</v>
      </c>
      <c r="AK36" s="2">
        <f t="shared" si="34"/>
        <v>1299</v>
      </c>
      <c r="AL36" s="2">
        <f t="shared" si="35"/>
        <v>1005</v>
      </c>
      <c r="AM36" s="2">
        <f t="shared" si="36"/>
        <v>828</v>
      </c>
      <c r="AN36" s="2">
        <f t="shared" si="37"/>
        <v>711</v>
      </c>
      <c r="AO36" s="2">
        <f t="shared" si="38"/>
        <v>564</v>
      </c>
      <c r="AP36" s="25">
        <f t="shared" si="39"/>
        <v>5200</v>
      </c>
      <c r="AQ36" s="29">
        <f t="shared" si="40"/>
        <v>7799</v>
      </c>
      <c r="AR36" s="29">
        <f t="shared" si="41"/>
        <v>9249</v>
      </c>
      <c r="AS36" s="2">
        <f t="shared" si="42"/>
        <v>1764</v>
      </c>
      <c r="AT36" s="2">
        <f t="shared" si="43"/>
        <v>1214</v>
      </c>
      <c r="AU36" s="2">
        <f t="shared" si="44"/>
        <v>939</v>
      </c>
      <c r="AV36" s="2">
        <f t="shared" si="45"/>
        <v>774</v>
      </c>
      <c r="AW36" s="2">
        <f t="shared" si="46"/>
        <v>664</v>
      </c>
      <c r="AX36" s="2">
        <f t="shared" si="47"/>
        <v>527</v>
      </c>
    </row>
    <row r="37" ht="14.25" customHeight="1">
      <c r="A37" s="2" t="str">
        <f t="array" ref="A37">IFERROR(INDEX('Product Price'!A:A,SMALL('Product Price'!$D:$D,35)),"")</f>
        <v>INFINIX NOTE 60 Pro 5G 8/256 GB</v>
      </c>
      <c r="B37" s="29">
        <f t="array" ref="B37">IFERROR(INDEX('Product Price'!B:B,SMALL('Product Price'!$D:$D,35)),"")</f>
        <v>11999</v>
      </c>
      <c r="C37" s="2">
        <f t="array" ref="C37">IFERROR(INDEX('Product Price'!C:C,SMALL('Product Price'!$D:$D,35)),"")</f>
        <v>26</v>
      </c>
      <c r="D37" s="2">
        <f t="shared" si="1"/>
        <v>1450</v>
      </c>
      <c r="E37" s="29">
        <f t="shared" si="2"/>
        <v>13449</v>
      </c>
      <c r="F37" s="25">
        <f t="shared" si="3"/>
        <v>2400</v>
      </c>
      <c r="G37" s="29">
        <f t="shared" si="4"/>
        <v>9599</v>
      </c>
      <c r="H37" s="29">
        <f t="shared" si="5"/>
        <v>11049</v>
      </c>
      <c r="I37" s="2">
        <f t="shared" si="6"/>
        <v>2107</v>
      </c>
      <c r="J37" s="2">
        <f t="shared" si="7"/>
        <v>1450</v>
      </c>
      <c r="K37" s="2">
        <f t="shared" si="8"/>
        <v>1122</v>
      </c>
      <c r="L37" s="2">
        <f t="shared" si="9"/>
        <v>925</v>
      </c>
      <c r="M37" s="2">
        <f t="shared" si="10"/>
        <v>793</v>
      </c>
      <c r="N37" s="2">
        <f t="shared" si="11"/>
        <v>629</v>
      </c>
      <c r="O37" s="25">
        <f t="shared" si="12"/>
        <v>3000</v>
      </c>
      <c r="P37" s="29">
        <f t="shared" si="13"/>
        <v>8999</v>
      </c>
      <c r="Q37" s="29">
        <f t="shared" si="14"/>
        <v>10449</v>
      </c>
      <c r="R37" s="2">
        <f t="shared" si="15"/>
        <v>1992</v>
      </c>
      <c r="S37" s="2">
        <f t="shared" si="16"/>
        <v>1371</v>
      </c>
      <c r="T37" s="2">
        <f t="shared" si="17"/>
        <v>1061</v>
      </c>
      <c r="U37" s="2">
        <f t="shared" si="18"/>
        <v>874</v>
      </c>
      <c r="V37" s="2">
        <f t="shared" si="19"/>
        <v>750</v>
      </c>
      <c r="W37" s="2">
        <f t="shared" si="20"/>
        <v>595</v>
      </c>
      <c r="X37" s="25">
        <f t="shared" si="21"/>
        <v>3600</v>
      </c>
      <c r="Y37" s="29">
        <f t="shared" si="22"/>
        <v>8399</v>
      </c>
      <c r="Z37" s="29">
        <f t="shared" si="23"/>
        <v>9849</v>
      </c>
      <c r="AA37" s="2">
        <f t="shared" si="24"/>
        <v>1878</v>
      </c>
      <c r="AB37" s="2">
        <f t="shared" si="25"/>
        <v>1293</v>
      </c>
      <c r="AC37" s="2">
        <f t="shared" si="26"/>
        <v>1000</v>
      </c>
      <c r="AD37" s="2">
        <f t="shared" si="27"/>
        <v>824</v>
      </c>
      <c r="AE37" s="2">
        <f t="shared" si="28"/>
        <v>707</v>
      </c>
      <c r="AF37" s="2">
        <f t="shared" si="29"/>
        <v>561</v>
      </c>
      <c r="AG37" s="25">
        <f t="shared" si="30"/>
        <v>4200</v>
      </c>
      <c r="AH37" s="29">
        <f t="shared" si="31"/>
        <v>7799</v>
      </c>
      <c r="AI37" s="29">
        <f t="shared" si="32"/>
        <v>9249</v>
      </c>
      <c r="AJ37" s="2">
        <f t="shared" si="33"/>
        <v>1764</v>
      </c>
      <c r="AK37" s="2">
        <f t="shared" si="34"/>
        <v>1214</v>
      </c>
      <c r="AL37" s="2">
        <f t="shared" si="35"/>
        <v>939</v>
      </c>
      <c r="AM37" s="2">
        <f t="shared" si="36"/>
        <v>774</v>
      </c>
      <c r="AN37" s="2">
        <f t="shared" si="37"/>
        <v>664</v>
      </c>
      <c r="AO37" s="2">
        <f t="shared" si="38"/>
        <v>527</v>
      </c>
      <c r="AP37" s="25">
        <f t="shared" si="39"/>
        <v>4800</v>
      </c>
      <c r="AQ37" s="29">
        <f t="shared" si="40"/>
        <v>7199</v>
      </c>
      <c r="AR37" s="29">
        <f t="shared" si="41"/>
        <v>8649</v>
      </c>
      <c r="AS37" s="2">
        <f t="shared" si="42"/>
        <v>1649</v>
      </c>
      <c r="AT37" s="2">
        <f t="shared" si="43"/>
        <v>1135</v>
      </c>
      <c r="AU37" s="2">
        <f t="shared" si="44"/>
        <v>878</v>
      </c>
      <c r="AV37" s="2">
        <f t="shared" si="45"/>
        <v>724</v>
      </c>
      <c r="AW37" s="2">
        <f t="shared" si="46"/>
        <v>621</v>
      </c>
      <c r="AX37" s="2">
        <f t="shared" si="47"/>
        <v>493</v>
      </c>
    </row>
    <row r="38" ht="14.25" customHeight="1">
      <c r="A38" s="2" t="str">
        <f t="array" ref="A38">IFERROR(INDEX('Product Price'!A:A,SMALL('Product Price'!$D:$D,36)),"")</f>
        <v>INFINIX GT 30 Pro 5G 8/256 GB</v>
      </c>
      <c r="B38" s="29">
        <f t="array" ref="B38">IFERROR(INDEX('Product Price'!B:B,SMALL('Product Price'!$D:$D,36)),"")</f>
        <v>9999</v>
      </c>
      <c r="C38" s="2">
        <f t="array" ref="C38">IFERROR(INDEX('Product Price'!C:C,SMALL('Product Price'!$D:$D,36)),"")</f>
        <v>27</v>
      </c>
      <c r="D38" s="2">
        <f t="shared" si="1"/>
        <v>795</v>
      </c>
      <c r="E38" s="29">
        <f t="shared" si="2"/>
        <v>10794</v>
      </c>
      <c r="F38" s="25">
        <f t="shared" si="3"/>
        <v>2000</v>
      </c>
      <c r="G38" s="29">
        <f t="shared" si="4"/>
        <v>7999</v>
      </c>
      <c r="H38" s="29">
        <f t="shared" si="5"/>
        <v>8794</v>
      </c>
      <c r="I38" s="2">
        <f t="shared" si="6"/>
        <v>1677</v>
      </c>
      <c r="J38" s="2">
        <f t="shared" si="7"/>
        <v>1154</v>
      </c>
      <c r="K38" s="2">
        <f t="shared" si="8"/>
        <v>893</v>
      </c>
      <c r="L38" s="2">
        <f t="shared" si="9"/>
        <v>736</v>
      </c>
      <c r="M38" s="2">
        <f t="shared" si="10"/>
        <v>631</v>
      </c>
      <c r="N38" s="2">
        <f t="shared" si="11"/>
        <v>501</v>
      </c>
      <c r="O38" s="25">
        <f t="shared" si="12"/>
        <v>2500</v>
      </c>
      <c r="P38" s="29">
        <f t="shared" si="13"/>
        <v>7499</v>
      </c>
      <c r="Q38" s="29">
        <f t="shared" si="14"/>
        <v>8294</v>
      </c>
      <c r="R38" s="2">
        <f t="shared" si="15"/>
        <v>1582</v>
      </c>
      <c r="S38" s="2">
        <f t="shared" si="16"/>
        <v>1089</v>
      </c>
      <c r="T38" s="2">
        <f t="shared" si="17"/>
        <v>842</v>
      </c>
      <c r="U38" s="2">
        <f t="shared" si="18"/>
        <v>694</v>
      </c>
      <c r="V38" s="2">
        <f t="shared" si="19"/>
        <v>596</v>
      </c>
      <c r="W38" s="2">
        <f t="shared" si="20"/>
        <v>472</v>
      </c>
      <c r="X38" s="25">
        <f t="shared" si="21"/>
        <v>3000</v>
      </c>
      <c r="Y38" s="29">
        <f t="shared" si="22"/>
        <v>6999</v>
      </c>
      <c r="Z38" s="29">
        <f t="shared" si="23"/>
        <v>7794</v>
      </c>
      <c r="AA38" s="2">
        <f t="shared" si="24"/>
        <v>1486</v>
      </c>
      <c r="AB38" s="2">
        <f t="shared" si="25"/>
        <v>1023</v>
      </c>
      <c r="AC38" s="2">
        <f t="shared" si="26"/>
        <v>791</v>
      </c>
      <c r="AD38" s="2">
        <f t="shared" si="27"/>
        <v>652</v>
      </c>
      <c r="AE38" s="2">
        <f t="shared" si="28"/>
        <v>560</v>
      </c>
      <c r="AF38" s="2">
        <f t="shared" si="29"/>
        <v>444</v>
      </c>
      <c r="AG38" s="25">
        <f t="shared" si="30"/>
        <v>3500</v>
      </c>
      <c r="AH38" s="29">
        <f t="shared" si="31"/>
        <v>6499</v>
      </c>
      <c r="AI38" s="29">
        <f t="shared" si="32"/>
        <v>7294</v>
      </c>
      <c r="AJ38" s="2">
        <f t="shared" si="33"/>
        <v>1391</v>
      </c>
      <c r="AK38" s="2">
        <f t="shared" si="34"/>
        <v>957</v>
      </c>
      <c r="AL38" s="2">
        <f t="shared" si="35"/>
        <v>741</v>
      </c>
      <c r="AM38" s="2">
        <f t="shared" si="36"/>
        <v>611</v>
      </c>
      <c r="AN38" s="2">
        <f t="shared" si="37"/>
        <v>524</v>
      </c>
      <c r="AO38" s="2">
        <f t="shared" si="38"/>
        <v>415</v>
      </c>
      <c r="AP38" s="25">
        <f t="shared" si="39"/>
        <v>4000</v>
      </c>
      <c r="AQ38" s="29">
        <f t="shared" si="40"/>
        <v>5999</v>
      </c>
      <c r="AR38" s="29">
        <f t="shared" si="41"/>
        <v>6794</v>
      </c>
      <c r="AS38" s="2">
        <f t="shared" si="42"/>
        <v>1296</v>
      </c>
      <c r="AT38" s="2">
        <f t="shared" si="43"/>
        <v>892</v>
      </c>
      <c r="AU38" s="2">
        <f t="shared" si="44"/>
        <v>690</v>
      </c>
      <c r="AV38" s="2">
        <f t="shared" si="45"/>
        <v>569</v>
      </c>
      <c r="AW38" s="2">
        <f t="shared" si="46"/>
        <v>488</v>
      </c>
      <c r="AX38" s="2" t="str">
        <f t="shared" si="47"/>
        <v>-</v>
      </c>
    </row>
    <row r="39" ht="14.25" customHeight="1">
      <c r="A39" s="2" t="str">
        <f t="array" ref="A39">IFERROR(INDEX('Product Price'!A:A,SMALL('Product Price'!$D:$D,37)),"")</f>
        <v>INFINIX NOTE EDGE 8/256 GB</v>
      </c>
      <c r="B39" s="29">
        <f t="array" ref="B39">IFERROR(INDEX('Product Price'!B:B,SMALL('Product Price'!$D:$D,37)),"")</f>
        <v>8499</v>
      </c>
      <c r="C39" s="2">
        <f t="array" ref="C39">IFERROR(INDEX('Product Price'!C:C,SMALL('Product Price'!$D:$D,37)),"")</f>
        <v>28</v>
      </c>
      <c r="D39" s="2">
        <f t="shared" si="1"/>
        <v>795</v>
      </c>
      <c r="E39" s="29">
        <f t="shared" si="2"/>
        <v>9294</v>
      </c>
      <c r="F39" s="25">
        <f t="shared" si="3"/>
        <v>1700</v>
      </c>
      <c r="G39" s="29">
        <f t="shared" si="4"/>
        <v>6799</v>
      </c>
      <c r="H39" s="29">
        <f t="shared" si="5"/>
        <v>7594</v>
      </c>
      <c r="I39" s="2">
        <f t="shared" si="6"/>
        <v>1448</v>
      </c>
      <c r="J39" s="2">
        <f t="shared" si="7"/>
        <v>997</v>
      </c>
      <c r="K39" s="2">
        <f t="shared" si="8"/>
        <v>771</v>
      </c>
      <c r="L39" s="2">
        <f t="shared" si="9"/>
        <v>636</v>
      </c>
      <c r="M39" s="2">
        <f t="shared" si="10"/>
        <v>545</v>
      </c>
      <c r="N39" s="2">
        <f t="shared" si="11"/>
        <v>433</v>
      </c>
      <c r="O39" s="25">
        <f t="shared" si="12"/>
        <v>2125</v>
      </c>
      <c r="P39" s="29">
        <f t="shared" si="13"/>
        <v>6374</v>
      </c>
      <c r="Q39" s="29">
        <f t="shared" si="14"/>
        <v>7169</v>
      </c>
      <c r="R39" s="2">
        <f t="shared" si="15"/>
        <v>1367</v>
      </c>
      <c r="S39" s="2">
        <f t="shared" si="16"/>
        <v>941</v>
      </c>
      <c r="T39" s="2">
        <f t="shared" si="17"/>
        <v>728</v>
      </c>
      <c r="U39" s="2">
        <f t="shared" si="18"/>
        <v>600</v>
      </c>
      <c r="V39" s="2">
        <f t="shared" si="19"/>
        <v>515</v>
      </c>
      <c r="W39" s="2">
        <f t="shared" si="20"/>
        <v>408</v>
      </c>
      <c r="X39" s="25">
        <f t="shared" si="21"/>
        <v>2550</v>
      </c>
      <c r="Y39" s="29">
        <f t="shared" si="22"/>
        <v>5949</v>
      </c>
      <c r="Z39" s="29">
        <f t="shared" si="23"/>
        <v>6744</v>
      </c>
      <c r="AA39" s="2">
        <f t="shared" si="24"/>
        <v>1286</v>
      </c>
      <c r="AB39" s="2">
        <f t="shared" si="25"/>
        <v>885</v>
      </c>
      <c r="AC39" s="2">
        <f t="shared" si="26"/>
        <v>685</v>
      </c>
      <c r="AD39" s="2">
        <f t="shared" si="27"/>
        <v>565</v>
      </c>
      <c r="AE39" s="2">
        <f t="shared" si="28"/>
        <v>484</v>
      </c>
      <c r="AF39" s="2" t="str">
        <f t="shared" si="29"/>
        <v>-</v>
      </c>
      <c r="AG39" s="25">
        <f t="shared" si="30"/>
        <v>2975</v>
      </c>
      <c r="AH39" s="29">
        <f t="shared" si="31"/>
        <v>5524</v>
      </c>
      <c r="AI39" s="29">
        <f t="shared" si="32"/>
        <v>6319</v>
      </c>
      <c r="AJ39" s="2">
        <f t="shared" si="33"/>
        <v>1205</v>
      </c>
      <c r="AK39" s="2">
        <f t="shared" si="34"/>
        <v>830</v>
      </c>
      <c r="AL39" s="2">
        <f t="shared" si="35"/>
        <v>642</v>
      </c>
      <c r="AM39" s="2">
        <f t="shared" si="36"/>
        <v>529</v>
      </c>
      <c r="AN39" s="2">
        <f t="shared" si="37"/>
        <v>454</v>
      </c>
      <c r="AO39" s="2" t="str">
        <f t="shared" si="38"/>
        <v>-</v>
      </c>
      <c r="AP39" s="25">
        <f t="shared" si="39"/>
        <v>3400</v>
      </c>
      <c r="AQ39" s="29">
        <f t="shared" si="40"/>
        <v>5099</v>
      </c>
      <c r="AR39" s="29">
        <f t="shared" si="41"/>
        <v>5894</v>
      </c>
      <c r="AS39" s="2">
        <f t="shared" si="42"/>
        <v>1124</v>
      </c>
      <c r="AT39" s="2">
        <f t="shared" si="43"/>
        <v>774</v>
      </c>
      <c r="AU39" s="2">
        <f t="shared" si="44"/>
        <v>599</v>
      </c>
      <c r="AV39" s="2">
        <f t="shared" si="45"/>
        <v>493</v>
      </c>
      <c r="AW39" s="2">
        <f t="shared" si="46"/>
        <v>423</v>
      </c>
      <c r="AX39" s="2" t="str">
        <f t="shared" si="47"/>
        <v>-</v>
      </c>
    </row>
    <row r="40" ht="14.25" customHeight="1">
      <c r="A40" s="2" t="str">
        <f t="array" ref="A40">IFERROR(INDEX('Product Price'!A:A,SMALL('Product Price'!$D:$D,38)),"")</f>
        <v>INFINIX GT 30 5G 8/256 GB</v>
      </c>
      <c r="B40" s="29">
        <f t="array" ref="B40">IFERROR(INDEX('Product Price'!B:B,SMALL('Product Price'!$D:$D,38)),"")</f>
        <v>8499</v>
      </c>
      <c r="C40" s="2">
        <f t="array" ref="C40">IFERROR(INDEX('Product Price'!C:C,SMALL('Product Price'!$D:$D,38)),"")</f>
        <v>29</v>
      </c>
      <c r="D40" s="2">
        <f t="shared" si="1"/>
        <v>795</v>
      </c>
      <c r="E40" s="29">
        <f t="shared" si="2"/>
        <v>9294</v>
      </c>
      <c r="F40" s="25">
        <f t="shared" si="3"/>
        <v>1700</v>
      </c>
      <c r="G40" s="29">
        <f t="shared" si="4"/>
        <v>6799</v>
      </c>
      <c r="H40" s="29">
        <f t="shared" si="5"/>
        <v>7594</v>
      </c>
      <c r="I40" s="2">
        <f t="shared" si="6"/>
        <v>1448</v>
      </c>
      <c r="J40" s="2">
        <f t="shared" si="7"/>
        <v>997</v>
      </c>
      <c r="K40" s="2">
        <f t="shared" si="8"/>
        <v>771</v>
      </c>
      <c r="L40" s="2">
        <f t="shared" si="9"/>
        <v>636</v>
      </c>
      <c r="M40" s="2">
        <f t="shared" si="10"/>
        <v>545</v>
      </c>
      <c r="N40" s="2">
        <f t="shared" si="11"/>
        <v>433</v>
      </c>
      <c r="O40" s="25">
        <f t="shared" si="12"/>
        <v>2125</v>
      </c>
      <c r="P40" s="29">
        <f t="shared" si="13"/>
        <v>6374</v>
      </c>
      <c r="Q40" s="29">
        <f t="shared" si="14"/>
        <v>7169</v>
      </c>
      <c r="R40" s="2">
        <f t="shared" si="15"/>
        <v>1367</v>
      </c>
      <c r="S40" s="2">
        <f t="shared" si="16"/>
        <v>941</v>
      </c>
      <c r="T40" s="2">
        <f t="shared" si="17"/>
        <v>728</v>
      </c>
      <c r="U40" s="2">
        <f t="shared" si="18"/>
        <v>600</v>
      </c>
      <c r="V40" s="2">
        <f t="shared" si="19"/>
        <v>515</v>
      </c>
      <c r="W40" s="2">
        <f t="shared" si="20"/>
        <v>408</v>
      </c>
      <c r="X40" s="25">
        <f t="shared" si="21"/>
        <v>2550</v>
      </c>
      <c r="Y40" s="29">
        <f t="shared" si="22"/>
        <v>5949</v>
      </c>
      <c r="Z40" s="29">
        <f t="shared" si="23"/>
        <v>6744</v>
      </c>
      <c r="AA40" s="2">
        <f t="shared" si="24"/>
        <v>1286</v>
      </c>
      <c r="AB40" s="2">
        <f t="shared" si="25"/>
        <v>885</v>
      </c>
      <c r="AC40" s="2">
        <f t="shared" si="26"/>
        <v>685</v>
      </c>
      <c r="AD40" s="2">
        <f t="shared" si="27"/>
        <v>565</v>
      </c>
      <c r="AE40" s="2">
        <f t="shared" si="28"/>
        <v>484</v>
      </c>
      <c r="AF40" s="2" t="str">
        <f t="shared" si="29"/>
        <v>-</v>
      </c>
      <c r="AG40" s="25">
        <f t="shared" si="30"/>
        <v>2975</v>
      </c>
      <c r="AH40" s="29">
        <f t="shared" si="31"/>
        <v>5524</v>
      </c>
      <c r="AI40" s="29">
        <f t="shared" si="32"/>
        <v>6319</v>
      </c>
      <c r="AJ40" s="2">
        <f t="shared" si="33"/>
        <v>1205</v>
      </c>
      <c r="AK40" s="2">
        <f t="shared" si="34"/>
        <v>830</v>
      </c>
      <c r="AL40" s="2">
        <f t="shared" si="35"/>
        <v>642</v>
      </c>
      <c r="AM40" s="2">
        <f t="shared" si="36"/>
        <v>529</v>
      </c>
      <c r="AN40" s="2">
        <f t="shared" si="37"/>
        <v>454</v>
      </c>
      <c r="AO40" s="2" t="str">
        <f t="shared" si="38"/>
        <v>-</v>
      </c>
      <c r="AP40" s="25">
        <f t="shared" si="39"/>
        <v>3400</v>
      </c>
      <c r="AQ40" s="29">
        <f t="shared" si="40"/>
        <v>5099</v>
      </c>
      <c r="AR40" s="29">
        <f t="shared" si="41"/>
        <v>5894</v>
      </c>
      <c r="AS40" s="2">
        <f t="shared" si="42"/>
        <v>1124</v>
      </c>
      <c r="AT40" s="2">
        <f t="shared" si="43"/>
        <v>774</v>
      </c>
      <c r="AU40" s="2">
        <f t="shared" si="44"/>
        <v>599</v>
      </c>
      <c r="AV40" s="2">
        <f t="shared" si="45"/>
        <v>493</v>
      </c>
      <c r="AW40" s="2">
        <f t="shared" si="46"/>
        <v>423</v>
      </c>
      <c r="AX40" s="2" t="str">
        <f t="shared" si="47"/>
        <v>-</v>
      </c>
    </row>
    <row r="41" ht="14.25" customHeight="1">
      <c r="A41" s="2" t="str">
        <f t="array" ref="A41">IFERROR(INDEX('Product Price'!A:A,SMALL('Product Price'!$D:$D,39)),"")</f>
        <v>INFINIX NOTE 50S 5G 8/256 GB</v>
      </c>
      <c r="B41" s="29">
        <f t="array" ref="B41">IFERROR(INDEX('Product Price'!B:B,SMALL('Product Price'!$D:$D,39)),"")</f>
        <v>7999</v>
      </c>
      <c r="C41" s="2">
        <f t="array" ref="C41">IFERROR(INDEX('Product Price'!C:C,SMALL('Product Price'!$D:$D,39)),"")</f>
        <v>30</v>
      </c>
      <c r="D41" s="2">
        <f t="shared" si="1"/>
        <v>795</v>
      </c>
      <c r="E41" s="29">
        <f t="shared" si="2"/>
        <v>8794</v>
      </c>
      <c r="F41" s="25">
        <f t="shared" si="3"/>
        <v>1600</v>
      </c>
      <c r="G41" s="29">
        <f t="shared" si="4"/>
        <v>6399</v>
      </c>
      <c r="H41" s="29">
        <f t="shared" si="5"/>
        <v>7194</v>
      </c>
      <c r="I41" s="2">
        <f t="shared" si="6"/>
        <v>1372</v>
      </c>
      <c r="J41" s="2">
        <f t="shared" si="7"/>
        <v>944</v>
      </c>
      <c r="K41" s="2">
        <f t="shared" si="8"/>
        <v>730</v>
      </c>
      <c r="L41" s="2">
        <f t="shared" si="9"/>
        <v>602</v>
      </c>
      <c r="M41" s="2">
        <f t="shared" si="10"/>
        <v>517</v>
      </c>
      <c r="N41" s="2">
        <f t="shared" si="11"/>
        <v>410</v>
      </c>
      <c r="O41" s="25">
        <f t="shared" si="12"/>
        <v>2000</v>
      </c>
      <c r="P41" s="29">
        <f t="shared" si="13"/>
        <v>5999</v>
      </c>
      <c r="Q41" s="29">
        <f t="shared" si="14"/>
        <v>6794</v>
      </c>
      <c r="R41" s="2">
        <f t="shared" si="15"/>
        <v>1296</v>
      </c>
      <c r="S41" s="2">
        <f t="shared" si="16"/>
        <v>892</v>
      </c>
      <c r="T41" s="2">
        <f t="shared" si="17"/>
        <v>690</v>
      </c>
      <c r="U41" s="2">
        <f t="shared" si="18"/>
        <v>569</v>
      </c>
      <c r="V41" s="2">
        <f t="shared" si="19"/>
        <v>488</v>
      </c>
      <c r="W41" s="2" t="str">
        <f t="shared" si="20"/>
        <v>-</v>
      </c>
      <c r="X41" s="25">
        <f t="shared" si="21"/>
        <v>2400</v>
      </c>
      <c r="Y41" s="29">
        <f t="shared" si="22"/>
        <v>5599</v>
      </c>
      <c r="Z41" s="29">
        <f t="shared" si="23"/>
        <v>6394</v>
      </c>
      <c r="AA41" s="2">
        <f t="shared" si="24"/>
        <v>1219</v>
      </c>
      <c r="AB41" s="2">
        <f t="shared" si="25"/>
        <v>839</v>
      </c>
      <c r="AC41" s="2">
        <f t="shared" si="26"/>
        <v>649</v>
      </c>
      <c r="AD41" s="2">
        <f t="shared" si="27"/>
        <v>535</v>
      </c>
      <c r="AE41" s="2">
        <f t="shared" si="28"/>
        <v>459</v>
      </c>
      <c r="AF41" s="2" t="str">
        <f t="shared" si="29"/>
        <v>-</v>
      </c>
      <c r="AG41" s="25">
        <f t="shared" si="30"/>
        <v>2800</v>
      </c>
      <c r="AH41" s="29">
        <f t="shared" si="31"/>
        <v>5199</v>
      </c>
      <c r="AI41" s="29">
        <f t="shared" si="32"/>
        <v>5994</v>
      </c>
      <c r="AJ41" s="2">
        <f t="shared" si="33"/>
        <v>1143</v>
      </c>
      <c r="AK41" s="2">
        <f t="shared" si="34"/>
        <v>787</v>
      </c>
      <c r="AL41" s="2">
        <f t="shared" si="35"/>
        <v>609</v>
      </c>
      <c r="AM41" s="2">
        <f t="shared" si="36"/>
        <v>502</v>
      </c>
      <c r="AN41" s="2">
        <f t="shared" si="37"/>
        <v>431</v>
      </c>
      <c r="AO41" s="2" t="str">
        <f t="shared" si="38"/>
        <v>-</v>
      </c>
      <c r="AP41" s="25">
        <f t="shared" si="39"/>
        <v>3200</v>
      </c>
      <c r="AQ41" s="29">
        <f t="shared" si="40"/>
        <v>4799</v>
      </c>
      <c r="AR41" s="29">
        <f t="shared" si="41"/>
        <v>5594</v>
      </c>
      <c r="AS41" s="2">
        <f t="shared" si="42"/>
        <v>1067</v>
      </c>
      <c r="AT41" s="2">
        <f t="shared" si="43"/>
        <v>734</v>
      </c>
      <c r="AU41" s="2">
        <f t="shared" si="44"/>
        <v>568</v>
      </c>
      <c r="AV41" s="2">
        <f t="shared" si="45"/>
        <v>468</v>
      </c>
      <c r="AW41" s="2">
        <f t="shared" si="46"/>
        <v>402</v>
      </c>
      <c r="AX41" s="2" t="str">
        <f t="shared" si="47"/>
        <v>-</v>
      </c>
    </row>
    <row r="42" ht="14.25" customHeight="1">
      <c r="A42" s="2" t="str">
        <f t="array" ref="A42">IFERROR(INDEX('Product Price'!A:A,SMALL('Product Price'!$D:$D,40)),"")</f>
        <v>INFINIX NOTE EDGE 8/128 GB</v>
      </c>
      <c r="B42" s="29">
        <f t="array" ref="B42">IFERROR(INDEX('Product Price'!B:B,SMALL('Product Price'!$D:$D,40)),"")</f>
        <v>7499</v>
      </c>
      <c r="C42" s="2">
        <f t="array" ref="C42">IFERROR(INDEX('Product Price'!C:C,SMALL('Product Price'!$D:$D,40)),"")</f>
        <v>31</v>
      </c>
      <c r="D42" s="2">
        <f t="shared" si="1"/>
        <v>795</v>
      </c>
      <c r="E42" s="29">
        <f t="shared" si="2"/>
        <v>8294</v>
      </c>
      <c r="F42" s="25">
        <f t="shared" si="3"/>
        <v>1500</v>
      </c>
      <c r="G42" s="29">
        <f t="shared" si="4"/>
        <v>5999</v>
      </c>
      <c r="H42" s="29">
        <f t="shared" si="5"/>
        <v>6794</v>
      </c>
      <c r="I42" s="2">
        <f t="shared" si="6"/>
        <v>1296</v>
      </c>
      <c r="J42" s="2">
        <f t="shared" si="7"/>
        <v>892</v>
      </c>
      <c r="K42" s="2">
        <f t="shared" si="8"/>
        <v>690</v>
      </c>
      <c r="L42" s="2">
        <f t="shared" si="9"/>
        <v>569</v>
      </c>
      <c r="M42" s="2">
        <f t="shared" si="10"/>
        <v>488</v>
      </c>
      <c r="N42" s="2" t="str">
        <f t="shared" si="11"/>
        <v>-</v>
      </c>
      <c r="O42" s="25">
        <f t="shared" si="12"/>
        <v>1875</v>
      </c>
      <c r="P42" s="29">
        <f t="shared" si="13"/>
        <v>5624</v>
      </c>
      <c r="Q42" s="29">
        <f t="shared" si="14"/>
        <v>6419</v>
      </c>
      <c r="R42" s="2">
        <f t="shared" si="15"/>
        <v>1224</v>
      </c>
      <c r="S42" s="2">
        <f t="shared" si="16"/>
        <v>843</v>
      </c>
      <c r="T42" s="2">
        <f t="shared" si="17"/>
        <v>652</v>
      </c>
      <c r="U42" s="2">
        <f t="shared" si="18"/>
        <v>537</v>
      </c>
      <c r="V42" s="2">
        <f t="shared" si="19"/>
        <v>461</v>
      </c>
      <c r="W42" s="2" t="str">
        <f t="shared" si="20"/>
        <v>-</v>
      </c>
      <c r="X42" s="25">
        <f t="shared" si="21"/>
        <v>2250</v>
      </c>
      <c r="Y42" s="29">
        <f t="shared" si="22"/>
        <v>5249</v>
      </c>
      <c r="Z42" s="29">
        <f t="shared" si="23"/>
        <v>6044</v>
      </c>
      <c r="AA42" s="2">
        <f t="shared" si="24"/>
        <v>1153</v>
      </c>
      <c r="AB42" s="2">
        <f t="shared" si="25"/>
        <v>793</v>
      </c>
      <c r="AC42" s="2">
        <f t="shared" si="26"/>
        <v>614</v>
      </c>
      <c r="AD42" s="2">
        <f t="shared" si="27"/>
        <v>506</v>
      </c>
      <c r="AE42" s="2">
        <f t="shared" si="28"/>
        <v>434</v>
      </c>
      <c r="AF42" s="2" t="str">
        <f t="shared" si="29"/>
        <v>-</v>
      </c>
      <c r="AG42" s="25">
        <f t="shared" si="30"/>
        <v>2625</v>
      </c>
      <c r="AH42" s="29">
        <f t="shared" si="31"/>
        <v>4874</v>
      </c>
      <c r="AI42" s="29">
        <f t="shared" si="32"/>
        <v>5669</v>
      </c>
      <c r="AJ42" s="2">
        <f t="shared" si="33"/>
        <v>1081</v>
      </c>
      <c r="AK42" s="2">
        <f t="shared" si="34"/>
        <v>744</v>
      </c>
      <c r="AL42" s="2">
        <f t="shared" si="35"/>
        <v>576</v>
      </c>
      <c r="AM42" s="2">
        <f t="shared" si="36"/>
        <v>475</v>
      </c>
      <c r="AN42" s="2">
        <f t="shared" si="37"/>
        <v>407</v>
      </c>
      <c r="AO42" s="2" t="str">
        <f t="shared" si="38"/>
        <v>-</v>
      </c>
      <c r="AP42" s="25">
        <f t="shared" si="39"/>
        <v>3000</v>
      </c>
      <c r="AQ42" s="29">
        <f t="shared" si="40"/>
        <v>4499</v>
      </c>
      <c r="AR42" s="29">
        <f t="shared" si="41"/>
        <v>5294</v>
      </c>
      <c r="AS42" s="2">
        <f t="shared" si="42"/>
        <v>1010</v>
      </c>
      <c r="AT42" s="2">
        <f t="shared" si="43"/>
        <v>695</v>
      </c>
      <c r="AU42" s="2">
        <f t="shared" si="44"/>
        <v>538</v>
      </c>
      <c r="AV42" s="2">
        <f t="shared" si="45"/>
        <v>443</v>
      </c>
      <c r="AW42" s="2" t="str">
        <f t="shared" si="46"/>
        <v>-</v>
      </c>
      <c r="AX42" s="2" t="str">
        <f t="shared" si="47"/>
        <v>-</v>
      </c>
    </row>
    <row r="43" ht="14.25" customHeight="1">
      <c r="A43" s="2" t="str">
        <f t="array" ref="A43">IFERROR(INDEX('Product Price'!A:A,SMALL('Product Price'!$D:$D,41)),"")</f>
        <v>INFINIX HOT 60 Pro+ 8/256 GB</v>
      </c>
      <c r="B43" s="29">
        <f t="array" ref="B43">IFERROR(INDEX('Product Price'!B:B,SMALL('Product Price'!$D:$D,41)),"")</f>
        <v>6499</v>
      </c>
      <c r="C43" s="2">
        <f t="array" ref="C43">IFERROR(INDEX('Product Price'!C:C,SMALL('Product Price'!$D:$D,41)),"")</f>
        <v>32</v>
      </c>
      <c r="D43" s="2">
        <f t="shared" si="1"/>
        <v>795</v>
      </c>
      <c r="E43" s="29">
        <f t="shared" si="2"/>
        <v>7294</v>
      </c>
      <c r="F43" s="25">
        <f t="shared" si="3"/>
        <v>1300</v>
      </c>
      <c r="G43" s="29">
        <f t="shared" si="4"/>
        <v>5199</v>
      </c>
      <c r="H43" s="29">
        <f t="shared" si="5"/>
        <v>5994</v>
      </c>
      <c r="I43" s="2">
        <f t="shared" si="6"/>
        <v>1143</v>
      </c>
      <c r="J43" s="2">
        <f t="shared" si="7"/>
        <v>787</v>
      </c>
      <c r="K43" s="2">
        <f t="shared" si="8"/>
        <v>609</v>
      </c>
      <c r="L43" s="2">
        <f t="shared" si="9"/>
        <v>502</v>
      </c>
      <c r="M43" s="2">
        <f t="shared" si="10"/>
        <v>431</v>
      </c>
      <c r="N43" s="2" t="str">
        <f t="shared" si="11"/>
        <v>-</v>
      </c>
      <c r="O43" s="25">
        <f t="shared" si="12"/>
        <v>1625</v>
      </c>
      <c r="P43" s="29">
        <f t="shared" si="13"/>
        <v>4874</v>
      </c>
      <c r="Q43" s="29">
        <f t="shared" si="14"/>
        <v>5669</v>
      </c>
      <c r="R43" s="2">
        <f t="shared" si="15"/>
        <v>1081</v>
      </c>
      <c r="S43" s="2">
        <f t="shared" si="16"/>
        <v>744</v>
      </c>
      <c r="T43" s="2">
        <f t="shared" si="17"/>
        <v>576</v>
      </c>
      <c r="U43" s="2">
        <f t="shared" si="18"/>
        <v>475</v>
      </c>
      <c r="V43" s="2">
        <f t="shared" si="19"/>
        <v>407</v>
      </c>
      <c r="W43" s="2" t="str">
        <f t="shared" si="20"/>
        <v>-</v>
      </c>
      <c r="X43" s="25">
        <f t="shared" si="21"/>
        <v>1950</v>
      </c>
      <c r="Y43" s="29">
        <f t="shared" si="22"/>
        <v>4549</v>
      </c>
      <c r="Z43" s="29">
        <f t="shared" si="23"/>
        <v>5344</v>
      </c>
      <c r="AA43" s="2">
        <f t="shared" si="24"/>
        <v>1019</v>
      </c>
      <c r="AB43" s="2">
        <f t="shared" si="25"/>
        <v>702</v>
      </c>
      <c r="AC43" s="2">
        <f t="shared" si="26"/>
        <v>543</v>
      </c>
      <c r="AD43" s="2">
        <f t="shared" si="27"/>
        <v>447</v>
      </c>
      <c r="AE43" s="2" t="str">
        <f t="shared" si="28"/>
        <v>-</v>
      </c>
      <c r="AF43" s="2" t="str">
        <f t="shared" si="29"/>
        <v>-</v>
      </c>
      <c r="AG43" s="25">
        <f t="shared" si="30"/>
        <v>2275</v>
      </c>
      <c r="AH43" s="29">
        <f t="shared" si="31"/>
        <v>4224</v>
      </c>
      <c r="AI43" s="29">
        <f t="shared" si="32"/>
        <v>5019</v>
      </c>
      <c r="AJ43" s="2">
        <f t="shared" si="33"/>
        <v>957</v>
      </c>
      <c r="AK43" s="2">
        <f t="shared" si="34"/>
        <v>659</v>
      </c>
      <c r="AL43" s="2">
        <f t="shared" si="35"/>
        <v>510</v>
      </c>
      <c r="AM43" s="2">
        <f t="shared" si="36"/>
        <v>420</v>
      </c>
      <c r="AN43" s="2" t="str">
        <f t="shared" si="37"/>
        <v>-</v>
      </c>
      <c r="AO43" s="2" t="str">
        <f t="shared" si="38"/>
        <v>-</v>
      </c>
      <c r="AP43" s="25">
        <f t="shared" si="39"/>
        <v>2600</v>
      </c>
      <c r="AQ43" s="29">
        <f t="shared" si="40"/>
        <v>3899</v>
      </c>
      <c r="AR43" s="29">
        <f t="shared" si="41"/>
        <v>4694</v>
      </c>
      <c r="AS43" s="2">
        <f t="shared" si="42"/>
        <v>895</v>
      </c>
      <c r="AT43" s="2">
        <f t="shared" si="43"/>
        <v>616</v>
      </c>
      <c r="AU43" s="2">
        <f t="shared" si="44"/>
        <v>477</v>
      </c>
      <c r="AV43" s="2" t="str">
        <f t="shared" si="45"/>
        <v>-</v>
      </c>
      <c r="AW43" s="2" t="str">
        <f t="shared" si="46"/>
        <v>-</v>
      </c>
      <c r="AX43" s="2" t="str">
        <f t="shared" si="47"/>
        <v>-</v>
      </c>
    </row>
    <row r="44" ht="14.25" customHeight="1">
      <c r="A44" s="2" t="str">
        <f t="array" ref="A44">IFERROR(INDEX('Product Price'!A:A,SMALL('Product Price'!$D:$D,42)),"")</f>
        <v>INFINIX HOT 60 Pro 8/256 GB</v>
      </c>
      <c r="B44" s="29">
        <f t="array" ref="B44">IFERROR(INDEX('Product Price'!B:B,SMALL('Product Price'!$D:$D,42)),"")</f>
        <v>5899</v>
      </c>
      <c r="C44" s="2">
        <f t="array" ref="C44">IFERROR(INDEX('Product Price'!C:C,SMALL('Product Price'!$D:$D,42)),"")</f>
        <v>33</v>
      </c>
      <c r="D44" s="2">
        <f t="shared" si="1"/>
        <v>795</v>
      </c>
      <c r="E44" s="29">
        <f t="shared" si="2"/>
        <v>6694</v>
      </c>
      <c r="F44" s="25">
        <f t="shared" si="3"/>
        <v>1180</v>
      </c>
      <c r="G44" s="29">
        <f t="shared" si="4"/>
        <v>4719</v>
      </c>
      <c r="H44" s="29">
        <f t="shared" si="5"/>
        <v>5514</v>
      </c>
      <c r="I44" s="2">
        <f t="shared" si="6"/>
        <v>1052</v>
      </c>
      <c r="J44" s="2">
        <f t="shared" si="7"/>
        <v>724</v>
      </c>
      <c r="K44" s="2">
        <f t="shared" si="8"/>
        <v>560</v>
      </c>
      <c r="L44" s="2">
        <f t="shared" si="9"/>
        <v>462</v>
      </c>
      <c r="M44" s="2" t="str">
        <f t="shared" si="10"/>
        <v>-</v>
      </c>
      <c r="N44" s="2" t="str">
        <f t="shared" si="11"/>
        <v>-</v>
      </c>
      <c r="O44" s="25">
        <f t="shared" si="12"/>
        <v>1475</v>
      </c>
      <c r="P44" s="29">
        <f t="shared" si="13"/>
        <v>4424</v>
      </c>
      <c r="Q44" s="29">
        <f t="shared" si="14"/>
        <v>5219</v>
      </c>
      <c r="R44" s="2">
        <f t="shared" si="15"/>
        <v>995</v>
      </c>
      <c r="S44" s="2">
        <f t="shared" si="16"/>
        <v>685</v>
      </c>
      <c r="T44" s="2">
        <f t="shared" si="17"/>
        <v>530</v>
      </c>
      <c r="U44" s="2">
        <f t="shared" si="18"/>
        <v>437</v>
      </c>
      <c r="V44" s="2" t="str">
        <f t="shared" si="19"/>
        <v>-</v>
      </c>
      <c r="W44" s="2" t="str">
        <f t="shared" si="20"/>
        <v>-</v>
      </c>
      <c r="X44" s="25">
        <f t="shared" si="21"/>
        <v>1770</v>
      </c>
      <c r="Y44" s="29">
        <f t="shared" si="22"/>
        <v>4129</v>
      </c>
      <c r="Z44" s="29">
        <f t="shared" si="23"/>
        <v>4924</v>
      </c>
      <c r="AA44" s="2">
        <f t="shared" si="24"/>
        <v>939</v>
      </c>
      <c r="AB44" s="2">
        <f t="shared" si="25"/>
        <v>646</v>
      </c>
      <c r="AC44" s="2">
        <f t="shared" si="26"/>
        <v>500</v>
      </c>
      <c r="AD44" s="2">
        <f t="shared" si="27"/>
        <v>412</v>
      </c>
      <c r="AE44" s="2" t="str">
        <f t="shared" si="28"/>
        <v>-</v>
      </c>
      <c r="AF44" s="2" t="str">
        <f t="shared" si="29"/>
        <v>-</v>
      </c>
      <c r="AG44" s="25">
        <f t="shared" si="30"/>
        <v>2065</v>
      </c>
      <c r="AH44" s="29">
        <f t="shared" si="31"/>
        <v>3834</v>
      </c>
      <c r="AI44" s="29">
        <f t="shared" si="32"/>
        <v>4629</v>
      </c>
      <c r="AJ44" s="2">
        <f t="shared" si="33"/>
        <v>883</v>
      </c>
      <c r="AK44" s="2">
        <f t="shared" si="34"/>
        <v>608</v>
      </c>
      <c r="AL44" s="2">
        <f t="shared" si="35"/>
        <v>470</v>
      </c>
      <c r="AM44" s="2" t="str">
        <f t="shared" si="36"/>
        <v>-</v>
      </c>
      <c r="AN44" s="2" t="str">
        <f t="shared" si="37"/>
        <v>-</v>
      </c>
      <c r="AO44" s="2" t="str">
        <f t="shared" si="38"/>
        <v>-</v>
      </c>
      <c r="AP44" s="25">
        <f t="shared" si="39"/>
        <v>2360</v>
      </c>
      <c r="AQ44" s="29">
        <f t="shared" si="40"/>
        <v>3539</v>
      </c>
      <c r="AR44" s="29">
        <f t="shared" si="41"/>
        <v>4334</v>
      </c>
      <c r="AS44" s="2">
        <f t="shared" si="42"/>
        <v>827</v>
      </c>
      <c r="AT44" s="2">
        <f t="shared" si="43"/>
        <v>569</v>
      </c>
      <c r="AU44" s="2">
        <f t="shared" si="44"/>
        <v>440</v>
      </c>
      <c r="AV44" s="2" t="str">
        <f t="shared" si="45"/>
        <v>-</v>
      </c>
      <c r="AW44" s="2" t="str">
        <f t="shared" si="46"/>
        <v>-</v>
      </c>
      <c r="AX44" s="2" t="str">
        <f t="shared" si="47"/>
        <v>-</v>
      </c>
    </row>
    <row r="45" ht="14.25" customHeight="1">
      <c r="A45" s="2" t="str">
        <f t="array" ref="A45">IFERROR(INDEX('Product Price'!A:A,SMALL('Product Price'!$D:$D,43)),"")</f>
        <v>INFINIX HOT 70 6/128 GB</v>
      </c>
      <c r="B45" s="29">
        <f t="array" ref="B45">IFERROR(INDEX('Product Price'!B:B,SMALL('Product Price'!$D:$D,43)),"")</f>
        <v>6499</v>
      </c>
      <c r="C45" s="2">
        <f t="array" ref="C45">IFERROR(INDEX('Product Price'!C:C,SMALL('Product Price'!$D:$D,43)),"")</f>
        <v>34</v>
      </c>
      <c r="D45" s="2">
        <f t="shared" si="1"/>
        <v>795</v>
      </c>
      <c r="E45" s="29">
        <f t="shared" si="2"/>
        <v>7294</v>
      </c>
      <c r="F45" s="25">
        <f t="shared" si="3"/>
        <v>1300</v>
      </c>
      <c r="G45" s="29">
        <f t="shared" si="4"/>
        <v>5199</v>
      </c>
      <c r="H45" s="29">
        <f t="shared" si="5"/>
        <v>5994</v>
      </c>
      <c r="I45" s="2">
        <f t="shared" si="6"/>
        <v>1143</v>
      </c>
      <c r="J45" s="2">
        <f t="shared" si="7"/>
        <v>787</v>
      </c>
      <c r="K45" s="2">
        <f t="shared" si="8"/>
        <v>609</v>
      </c>
      <c r="L45" s="2">
        <f t="shared" si="9"/>
        <v>502</v>
      </c>
      <c r="M45" s="2">
        <f t="shared" si="10"/>
        <v>431</v>
      </c>
      <c r="N45" s="2" t="str">
        <f t="shared" si="11"/>
        <v>-</v>
      </c>
      <c r="O45" s="25">
        <f t="shared" si="12"/>
        <v>1625</v>
      </c>
      <c r="P45" s="29">
        <f t="shared" si="13"/>
        <v>4874</v>
      </c>
      <c r="Q45" s="29">
        <f t="shared" si="14"/>
        <v>5669</v>
      </c>
      <c r="R45" s="2">
        <f t="shared" si="15"/>
        <v>1081</v>
      </c>
      <c r="S45" s="2">
        <f t="shared" si="16"/>
        <v>744</v>
      </c>
      <c r="T45" s="2">
        <f t="shared" si="17"/>
        <v>576</v>
      </c>
      <c r="U45" s="2">
        <f t="shared" si="18"/>
        <v>475</v>
      </c>
      <c r="V45" s="2">
        <f t="shared" si="19"/>
        <v>407</v>
      </c>
      <c r="W45" s="2" t="str">
        <f t="shared" si="20"/>
        <v>-</v>
      </c>
      <c r="X45" s="25">
        <f t="shared" si="21"/>
        <v>1950</v>
      </c>
      <c r="Y45" s="29">
        <f t="shared" si="22"/>
        <v>4549</v>
      </c>
      <c r="Z45" s="29">
        <f t="shared" si="23"/>
        <v>5344</v>
      </c>
      <c r="AA45" s="2">
        <f t="shared" si="24"/>
        <v>1019</v>
      </c>
      <c r="AB45" s="2">
        <f t="shared" si="25"/>
        <v>702</v>
      </c>
      <c r="AC45" s="2">
        <f t="shared" si="26"/>
        <v>543</v>
      </c>
      <c r="AD45" s="2">
        <f t="shared" si="27"/>
        <v>447</v>
      </c>
      <c r="AE45" s="2" t="str">
        <f t="shared" si="28"/>
        <v>-</v>
      </c>
      <c r="AF45" s="2" t="str">
        <f t="shared" si="29"/>
        <v>-</v>
      </c>
      <c r="AG45" s="25">
        <f t="shared" si="30"/>
        <v>2275</v>
      </c>
      <c r="AH45" s="29">
        <f t="shared" si="31"/>
        <v>4224</v>
      </c>
      <c r="AI45" s="29">
        <f t="shared" si="32"/>
        <v>5019</v>
      </c>
      <c r="AJ45" s="2">
        <f t="shared" si="33"/>
        <v>957</v>
      </c>
      <c r="AK45" s="2">
        <f t="shared" si="34"/>
        <v>659</v>
      </c>
      <c r="AL45" s="2">
        <f t="shared" si="35"/>
        <v>510</v>
      </c>
      <c r="AM45" s="2">
        <f t="shared" si="36"/>
        <v>420</v>
      </c>
      <c r="AN45" s="2" t="str">
        <f t="shared" si="37"/>
        <v>-</v>
      </c>
      <c r="AO45" s="2" t="str">
        <f t="shared" si="38"/>
        <v>-</v>
      </c>
      <c r="AP45" s="25">
        <f t="shared" si="39"/>
        <v>2600</v>
      </c>
      <c r="AQ45" s="29">
        <f t="shared" si="40"/>
        <v>3899</v>
      </c>
      <c r="AR45" s="29">
        <f t="shared" si="41"/>
        <v>4694</v>
      </c>
      <c r="AS45" s="2">
        <f t="shared" si="42"/>
        <v>895</v>
      </c>
      <c r="AT45" s="2">
        <f t="shared" si="43"/>
        <v>616</v>
      </c>
      <c r="AU45" s="2">
        <f t="shared" si="44"/>
        <v>477</v>
      </c>
      <c r="AV45" s="2" t="str">
        <f t="shared" si="45"/>
        <v>-</v>
      </c>
      <c r="AW45" s="2" t="str">
        <f t="shared" si="46"/>
        <v>-</v>
      </c>
      <c r="AX45" s="2" t="str">
        <f t="shared" si="47"/>
        <v>-</v>
      </c>
    </row>
    <row r="46" ht="14.25" customHeight="1">
      <c r="A46" s="2" t="str">
        <f t="array" ref="A46">IFERROR(INDEX('Product Price'!A:A,SMALL('Product Price'!$D:$D,44)),"")</f>
        <v>INFINIX XPAD 20 Pro 8/256 GB</v>
      </c>
      <c r="B46" s="29">
        <f t="array" ref="B46">IFERROR(INDEX('Product Price'!B:B,SMALL('Product Price'!$D:$D,44)),"")</f>
        <v>7999</v>
      </c>
      <c r="C46" s="2">
        <f t="array" ref="C46">IFERROR(INDEX('Product Price'!C:C,SMALL('Product Price'!$D:$D,44)),"")</f>
        <v>35</v>
      </c>
      <c r="D46" s="2">
        <f t="shared" si="1"/>
        <v>795</v>
      </c>
      <c r="E46" s="29">
        <f t="shared" si="2"/>
        <v>8794</v>
      </c>
      <c r="F46" s="25">
        <f t="shared" si="3"/>
        <v>1600</v>
      </c>
      <c r="G46" s="29">
        <f t="shared" si="4"/>
        <v>6399</v>
      </c>
      <c r="H46" s="29">
        <f t="shared" si="5"/>
        <v>7194</v>
      </c>
      <c r="I46" s="2">
        <f t="shared" si="6"/>
        <v>1372</v>
      </c>
      <c r="J46" s="2">
        <f t="shared" si="7"/>
        <v>944</v>
      </c>
      <c r="K46" s="2">
        <f t="shared" si="8"/>
        <v>730</v>
      </c>
      <c r="L46" s="2">
        <f t="shared" si="9"/>
        <v>602</v>
      </c>
      <c r="M46" s="2">
        <f t="shared" si="10"/>
        <v>517</v>
      </c>
      <c r="N46" s="2">
        <f t="shared" si="11"/>
        <v>410</v>
      </c>
      <c r="O46" s="25">
        <f t="shared" si="12"/>
        <v>2000</v>
      </c>
      <c r="P46" s="29">
        <f t="shared" si="13"/>
        <v>5999</v>
      </c>
      <c r="Q46" s="29">
        <f t="shared" si="14"/>
        <v>6794</v>
      </c>
      <c r="R46" s="2">
        <f t="shared" si="15"/>
        <v>1296</v>
      </c>
      <c r="S46" s="2">
        <f t="shared" si="16"/>
        <v>892</v>
      </c>
      <c r="T46" s="2">
        <f t="shared" si="17"/>
        <v>690</v>
      </c>
      <c r="U46" s="2">
        <f t="shared" si="18"/>
        <v>569</v>
      </c>
      <c r="V46" s="2">
        <f t="shared" si="19"/>
        <v>488</v>
      </c>
      <c r="W46" s="2" t="str">
        <f t="shared" si="20"/>
        <v>-</v>
      </c>
      <c r="X46" s="25">
        <f t="shared" si="21"/>
        <v>2400</v>
      </c>
      <c r="Y46" s="29">
        <f t="shared" si="22"/>
        <v>5599</v>
      </c>
      <c r="Z46" s="29">
        <f t="shared" si="23"/>
        <v>6394</v>
      </c>
      <c r="AA46" s="2">
        <f t="shared" si="24"/>
        <v>1219</v>
      </c>
      <c r="AB46" s="2">
        <f t="shared" si="25"/>
        <v>839</v>
      </c>
      <c r="AC46" s="2">
        <f t="shared" si="26"/>
        <v>649</v>
      </c>
      <c r="AD46" s="2">
        <f t="shared" si="27"/>
        <v>535</v>
      </c>
      <c r="AE46" s="2">
        <f t="shared" si="28"/>
        <v>459</v>
      </c>
      <c r="AF46" s="2" t="str">
        <f t="shared" si="29"/>
        <v>-</v>
      </c>
      <c r="AG46" s="25">
        <f t="shared" si="30"/>
        <v>2800</v>
      </c>
      <c r="AH46" s="29">
        <f t="shared" si="31"/>
        <v>5199</v>
      </c>
      <c r="AI46" s="29">
        <f t="shared" si="32"/>
        <v>5994</v>
      </c>
      <c r="AJ46" s="2">
        <f t="shared" si="33"/>
        <v>1143</v>
      </c>
      <c r="AK46" s="2">
        <f t="shared" si="34"/>
        <v>787</v>
      </c>
      <c r="AL46" s="2">
        <f t="shared" si="35"/>
        <v>609</v>
      </c>
      <c r="AM46" s="2">
        <f t="shared" si="36"/>
        <v>502</v>
      </c>
      <c r="AN46" s="2">
        <f t="shared" si="37"/>
        <v>431</v>
      </c>
      <c r="AO46" s="2" t="str">
        <f t="shared" si="38"/>
        <v>-</v>
      </c>
      <c r="AP46" s="25">
        <f t="shared" si="39"/>
        <v>3200</v>
      </c>
      <c r="AQ46" s="29">
        <f t="shared" si="40"/>
        <v>4799</v>
      </c>
      <c r="AR46" s="29">
        <f t="shared" si="41"/>
        <v>5594</v>
      </c>
      <c r="AS46" s="2">
        <f t="shared" si="42"/>
        <v>1067</v>
      </c>
      <c r="AT46" s="2">
        <f t="shared" si="43"/>
        <v>734</v>
      </c>
      <c r="AU46" s="2">
        <f t="shared" si="44"/>
        <v>568</v>
      </c>
      <c r="AV46" s="2">
        <f t="shared" si="45"/>
        <v>468</v>
      </c>
      <c r="AW46" s="2">
        <f t="shared" si="46"/>
        <v>402</v>
      </c>
      <c r="AX46" s="2" t="str">
        <f t="shared" si="47"/>
        <v>-</v>
      </c>
    </row>
    <row r="47" ht="14.25" customHeight="1">
      <c r="A47" s="2" t="str">
        <f t="array" ref="A47">IFERROR(INDEX('Product Price'!A:A,SMALL('Product Price'!$D:$D,45)),"")</f>
        <v>INFINIX XPAD 30E 4/128 GB</v>
      </c>
      <c r="B47" s="29">
        <f t="array" ref="B47">IFERROR(INDEX('Product Price'!B:B,SMALL('Product Price'!$D:$D,45)),"")</f>
        <v>5499</v>
      </c>
      <c r="C47" s="2">
        <f t="array" ref="C47">IFERROR(INDEX('Product Price'!C:C,SMALL('Product Price'!$D:$D,45)),"")</f>
        <v>36</v>
      </c>
      <c r="D47" s="2">
        <f t="shared" si="1"/>
        <v>795</v>
      </c>
      <c r="E47" s="29">
        <f t="shared" si="2"/>
        <v>6294</v>
      </c>
      <c r="F47" s="25">
        <f t="shared" si="3"/>
        <v>1100</v>
      </c>
      <c r="G47" s="29">
        <f t="shared" si="4"/>
        <v>4399</v>
      </c>
      <c r="H47" s="29">
        <f t="shared" si="5"/>
        <v>5194</v>
      </c>
      <c r="I47" s="2">
        <f t="shared" si="6"/>
        <v>991</v>
      </c>
      <c r="J47" s="2">
        <f t="shared" si="7"/>
        <v>682</v>
      </c>
      <c r="K47" s="2">
        <f t="shared" si="8"/>
        <v>528</v>
      </c>
      <c r="L47" s="2">
        <f t="shared" si="9"/>
        <v>435</v>
      </c>
      <c r="M47" s="2" t="str">
        <f t="shared" si="10"/>
        <v>-</v>
      </c>
      <c r="N47" s="2" t="str">
        <f t="shared" si="11"/>
        <v>-</v>
      </c>
      <c r="O47" s="25">
        <f t="shared" si="12"/>
        <v>1375</v>
      </c>
      <c r="P47" s="29">
        <f t="shared" si="13"/>
        <v>4124</v>
      </c>
      <c r="Q47" s="29">
        <f t="shared" si="14"/>
        <v>4919</v>
      </c>
      <c r="R47" s="2">
        <f t="shared" si="15"/>
        <v>938</v>
      </c>
      <c r="S47" s="2">
        <f t="shared" si="16"/>
        <v>646</v>
      </c>
      <c r="T47" s="2">
        <f t="shared" si="17"/>
        <v>500</v>
      </c>
      <c r="U47" s="2">
        <f t="shared" si="18"/>
        <v>412</v>
      </c>
      <c r="V47" s="2" t="str">
        <f t="shared" si="19"/>
        <v>-</v>
      </c>
      <c r="W47" s="2" t="str">
        <f t="shared" si="20"/>
        <v>-</v>
      </c>
      <c r="X47" s="25">
        <f t="shared" si="21"/>
        <v>1650</v>
      </c>
      <c r="Y47" s="29">
        <f t="shared" si="22"/>
        <v>3849</v>
      </c>
      <c r="Z47" s="29">
        <f t="shared" si="23"/>
        <v>4644</v>
      </c>
      <c r="AA47" s="2">
        <f t="shared" si="24"/>
        <v>886</v>
      </c>
      <c r="AB47" s="2">
        <f t="shared" si="25"/>
        <v>610</v>
      </c>
      <c r="AC47" s="2">
        <f t="shared" si="26"/>
        <v>472</v>
      </c>
      <c r="AD47" s="2" t="str">
        <f t="shared" si="27"/>
        <v>-</v>
      </c>
      <c r="AE47" s="2" t="str">
        <f t="shared" si="28"/>
        <v>-</v>
      </c>
      <c r="AF47" s="2" t="str">
        <f t="shared" si="29"/>
        <v>-</v>
      </c>
      <c r="AG47" s="25">
        <f t="shared" si="30"/>
        <v>1925</v>
      </c>
      <c r="AH47" s="29">
        <f t="shared" si="31"/>
        <v>3574</v>
      </c>
      <c r="AI47" s="29">
        <f t="shared" si="32"/>
        <v>4369</v>
      </c>
      <c r="AJ47" s="2">
        <f t="shared" si="33"/>
        <v>833</v>
      </c>
      <c r="AK47" s="2">
        <f t="shared" si="34"/>
        <v>574</v>
      </c>
      <c r="AL47" s="2">
        <f t="shared" si="35"/>
        <v>444</v>
      </c>
      <c r="AM47" s="2" t="str">
        <f t="shared" si="36"/>
        <v>-</v>
      </c>
      <c r="AN47" s="2" t="str">
        <f t="shared" si="37"/>
        <v>-</v>
      </c>
      <c r="AO47" s="2" t="str">
        <f t="shared" si="38"/>
        <v>-</v>
      </c>
      <c r="AP47" s="25">
        <f t="shared" si="39"/>
        <v>2200</v>
      </c>
      <c r="AQ47" s="29">
        <f t="shared" si="40"/>
        <v>3299</v>
      </c>
      <c r="AR47" s="29">
        <f t="shared" si="41"/>
        <v>4094</v>
      </c>
      <c r="AS47" s="2">
        <f t="shared" si="42"/>
        <v>781</v>
      </c>
      <c r="AT47" s="2">
        <f t="shared" si="43"/>
        <v>538</v>
      </c>
      <c r="AU47" s="2">
        <f t="shared" si="44"/>
        <v>416</v>
      </c>
      <c r="AV47" s="2" t="str">
        <f t="shared" si="45"/>
        <v>-</v>
      </c>
      <c r="AW47" s="2" t="str">
        <f t="shared" si="46"/>
        <v>-</v>
      </c>
      <c r="AX47" s="2" t="str">
        <f t="shared" si="47"/>
        <v>-</v>
      </c>
    </row>
    <row r="48" ht="14.25" customHeight="1">
      <c r="A48" s="2" t="str">
        <f t="array" ref="A48">IFERROR(INDEX('Product Price'!A:A,SMALL('Product Price'!$D:$D,46)),"")</f>
        <v>Nubia NEO 5 GT 12/512 GB</v>
      </c>
      <c r="B48" s="29">
        <f t="array" ref="B48">IFERROR(INDEX('Product Price'!B:B,SMALL('Product Price'!$D:$D,46)),"")</f>
        <v>14999</v>
      </c>
      <c r="C48" s="2">
        <f t="array" ref="C48">IFERROR(INDEX('Product Price'!C:C,SMALL('Product Price'!$D:$D,46)),"")</f>
        <v>37</v>
      </c>
      <c r="D48" s="2">
        <f t="shared" si="1"/>
        <v>1450</v>
      </c>
      <c r="E48" s="29">
        <f t="shared" si="2"/>
        <v>16449</v>
      </c>
      <c r="F48" s="25">
        <f t="shared" si="3"/>
        <v>3000</v>
      </c>
      <c r="G48" s="29">
        <f t="shared" si="4"/>
        <v>11999</v>
      </c>
      <c r="H48" s="29">
        <f t="shared" si="5"/>
        <v>13449</v>
      </c>
      <c r="I48" s="2">
        <f t="shared" si="6"/>
        <v>2564</v>
      </c>
      <c r="J48" s="2">
        <f t="shared" si="7"/>
        <v>1765</v>
      </c>
      <c r="K48" s="2">
        <f t="shared" si="8"/>
        <v>1365</v>
      </c>
      <c r="L48" s="2">
        <f t="shared" si="9"/>
        <v>1125</v>
      </c>
      <c r="M48" s="2">
        <f t="shared" si="10"/>
        <v>965</v>
      </c>
      <c r="N48" s="2">
        <f t="shared" si="11"/>
        <v>766</v>
      </c>
      <c r="O48" s="25">
        <f t="shared" si="12"/>
        <v>3750</v>
      </c>
      <c r="P48" s="29">
        <f t="shared" si="13"/>
        <v>11249</v>
      </c>
      <c r="Q48" s="29">
        <f t="shared" si="14"/>
        <v>12699</v>
      </c>
      <c r="R48" s="2">
        <f t="shared" si="15"/>
        <v>2421</v>
      </c>
      <c r="S48" s="2">
        <f t="shared" si="16"/>
        <v>1667</v>
      </c>
      <c r="T48" s="2">
        <f t="shared" si="17"/>
        <v>1289</v>
      </c>
      <c r="U48" s="2">
        <f t="shared" si="18"/>
        <v>1063</v>
      </c>
      <c r="V48" s="2">
        <f t="shared" si="19"/>
        <v>912</v>
      </c>
      <c r="W48" s="2">
        <f t="shared" si="20"/>
        <v>723</v>
      </c>
      <c r="X48" s="25">
        <f t="shared" si="21"/>
        <v>4500</v>
      </c>
      <c r="Y48" s="29">
        <f t="shared" si="22"/>
        <v>10499</v>
      </c>
      <c r="Z48" s="29">
        <f t="shared" si="23"/>
        <v>11949</v>
      </c>
      <c r="AA48" s="2">
        <f t="shared" si="24"/>
        <v>2278</v>
      </c>
      <c r="AB48" s="2">
        <f t="shared" si="25"/>
        <v>1568</v>
      </c>
      <c r="AC48" s="2">
        <f t="shared" si="26"/>
        <v>1213</v>
      </c>
      <c r="AD48" s="2">
        <f t="shared" si="27"/>
        <v>1000</v>
      </c>
      <c r="AE48" s="2">
        <f t="shared" si="28"/>
        <v>858</v>
      </c>
      <c r="AF48" s="2">
        <f t="shared" si="29"/>
        <v>680</v>
      </c>
      <c r="AG48" s="25">
        <f t="shared" si="30"/>
        <v>5250</v>
      </c>
      <c r="AH48" s="29">
        <f t="shared" si="31"/>
        <v>9749</v>
      </c>
      <c r="AI48" s="29">
        <f t="shared" si="32"/>
        <v>11199</v>
      </c>
      <c r="AJ48" s="2">
        <f t="shared" si="33"/>
        <v>2135</v>
      </c>
      <c r="AK48" s="2">
        <f t="shared" si="34"/>
        <v>1470</v>
      </c>
      <c r="AL48" s="2">
        <f t="shared" si="35"/>
        <v>1137</v>
      </c>
      <c r="AM48" s="2">
        <f t="shared" si="36"/>
        <v>937</v>
      </c>
      <c r="AN48" s="2">
        <f t="shared" si="37"/>
        <v>804</v>
      </c>
      <c r="AO48" s="2">
        <f t="shared" si="38"/>
        <v>638</v>
      </c>
      <c r="AP48" s="25">
        <f t="shared" si="39"/>
        <v>6000</v>
      </c>
      <c r="AQ48" s="29">
        <f t="shared" si="40"/>
        <v>8999</v>
      </c>
      <c r="AR48" s="29">
        <f t="shared" si="41"/>
        <v>10449</v>
      </c>
      <c r="AS48" s="2">
        <f t="shared" si="42"/>
        <v>1992</v>
      </c>
      <c r="AT48" s="2">
        <f t="shared" si="43"/>
        <v>1371</v>
      </c>
      <c r="AU48" s="2">
        <f t="shared" si="44"/>
        <v>1061</v>
      </c>
      <c r="AV48" s="2">
        <f t="shared" si="45"/>
        <v>874</v>
      </c>
      <c r="AW48" s="2">
        <f t="shared" si="46"/>
        <v>750</v>
      </c>
      <c r="AX48" s="2">
        <f t="shared" si="47"/>
        <v>595</v>
      </c>
    </row>
    <row r="49" ht="14.25" customHeight="1">
      <c r="A49" s="2" t="str">
        <f t="array" ref="A49">IFERROR(INDEX('Product Price'!A:A,SMALL('Product Price'!$D:$D,47)),"")</f>
        <v>Nubia NEO 5 GT 8/258 GB</v>
      </c>
      <c r="B49" s="29">
        <f t="array" ref="B49">IFERROR(INDEX('Product Price'!B:B,SMALL('Product Price'!$D:$D,47)),"")</f>
        <v>11999</v>
      </c>
      <c r="C49" s="2">
        <f t="array" ref="C49">IFERROR(INDEX('Product Price'!C:C,SMALL('Product Price'!$D:$D,47)),"")</f>
        <v>38</v>
      </c>
      <c r="D49" s="2">
        <f t="shared" si="1"/>
        <v>1450</v>
      </c>
      <c r="E49" s="29">
        <f t="shared" si="2"/>
        <v>13449</v>
      </c>
      <c r="F49" s="25">
        <f t="shared" si="3"/>
        <v>2400</v>
      </c>
      <c r="G49" s="29">
        <f t="shared" si="4"/>
        <v>9599</v>
      </c>
      <c r="H49" s="29">
        <f t="shared" si="5"/>
        <v>11049</v>
      </c>
      <c r="I49" s="2">
        <f t="shared" si="6"/>
        <v>2107</v>
      </c>
      <c r="J49" s="2">
        <f t="shared" si="7"/>
        <v>1450</v>
      </c>
      <c r="K49" s="2">
        <f t="shared" si="8"/>
        <v>1122</v>
      </c>
      <c r="L49" s="2">
        <f t="shared" si="9"/>
        <v>925</v>
      </c>
      <c r="M49" s="2">
        <f t="shared" si="10"/>
        <v>793</v>
      </c>
      <c r="N49" s="2">
        <f t="shared" si="11"/>
        <v>629</v>
      </c>
      <c r="O49" s="25">
        <f t="shared" si="12"/>
        <v>3000</v>
      </c>
      <c r="P49" s="29">
        <f t="shared" si="13"/>
        <v>8999</v>
      </c>
      <c r="Q49" s="29">
        <f t="shared" si="14"/>
        <v>10449</v>
      </c>
      <c r="R49" s="2">
        <f t="shared" si="15"/>
        <v>1992</v>
      </c>
      <c r="S49" s="2">
        <f t="shared" si="16"/>
        <v>1371</v>
      </c>
      <c r="T49" s="2">
        <f t="shared" si="17"/>
        <v>1061</v>
      </c>
      <c r="U49" s="2">
        <f t="shared" si="18"/>
        <v>874</v>
      </c>
      <c r="V49" s="2">
        <f t="shared" si="19"/>
        <v>750</v>
      </c>
      <c r="W49" s="2">
        <f t="shared" si="20"/>
        <v>595</v>
      </c>
      <c r="X49" s="25">
        <f t="shared" si="21"/>
        <v>3600</v>
      </c>
      <c r="Y49" s="29">
        <f t="shared" si="22"/>
        <v>8399</v>
      </c>
      <c r="Z49" s="29">
        <f t="shared" si="23"/>
        <v>9849</v>
      </c>
      <c r="AA49" s="2">
        <f t="shared" si="24"/>
        <v>1878</v>
      </c>
      <c r="AB49" s="2">
        <f t="shared" si="25"/>
        <v>1293</v>
      </c>
      <c r="AC49" s="2">
        <f t="shared" si="26"/>
        <v>1000</v>
      </c>
      <c r="AD49" s="2">
        <f t="shared" si="27"/>
        <v>824</v>
      </c>
      <c r="AE49" s="2">
        <f t="shared" si="28"/>
        <v>707</v>
      </c>
      <c r="AF49" s="2">
        <f t="shared" si="29"/>
        <v>561</v>
      </c>
      <c r="AG49" s="25">
        <f t="shared" si="30"/>
        <v>4200</v>
      </c>
      <c r="AH49" s="29">
        <f t="shared" si="31"/>
        <v>7799</v>
      </c>
      <c r="AI49" s="29">
        <f t="shared" si="32"/>
        <v>9249</v>
      </c>
      <c r="AJ49" s="2">
        <f t="shared" si="33"/>
        <v>1764</v>
      </c>
      <c r="AK49" s="2">
        <f t="shared" si="34"/>
        <v>1214</v>
      </c>
      <c r="AL49" s="2">
        <f t="shared" si="35"/>
        <v>939</v>
      </c>
      <c r="AM49" s="2">
        <f t="shared" si="36"/>
        <v>774</v>
      </c>
      <c r="AN49" s="2">
        <f t="shared" si="37"/>
        <v>664</v>
      </c>
      <c r="AO49" s="2">
        <f t="shared" si="38"/>
        <v>527</v>
      </c>
      <c r="AP49" s="25">
        <f t="shared" si="39"/>
        <v>4800</v>
      </c>
      <c r="AQ49" s="29">
        <f t="shared" si="40"/>
        <v>7199</v>
      </c>
      <c r="AR49" s="29">
        <f t="shared" si="41"/>
        <v>8649</v>
      </c>
      <c r="AS49" s="2">
        <f t="shared" si="42"/>
        <v>1649</v>
      </c>
      <c r="AT49" s="2">
        <f t="shared" si="43"/>
        <v>1135</v>
      </c>
      <c r="AU49" s="2">
        <f t="shared" si="44"/>
        <v>878</v>
      </c>
      <c r="AV49" s="2">
        <f t="shared" si="45"/>
        <v>724</v>
      </c>
      <c r="AW49" s="2">
        <f t="shared" si="46"/>
        <v>621</v>
      </c>
      <c r="AX49" s="2">
        <f t="shared" si="47"/>
        <v>493</v>
      </c>
    </row>
    <row r="50" ht="14.25" customHeight="1">
      <c r="A50" s="2" t="str">
        <f t="array" ref="A50">IFERROR(INDEX('Product Price'!A:A,SMALL('Product Price'!$D:$D,48)),"")</f>
        <v>Nubia NEO 5 Pro 5G 12/258 GB</v>
      </c>
      <c r="B50" s="29">
        <f t="array" ref="B50">IFERROR(INDEX('Product Price'!B:B,SMALL('Product Price'!$D:$D,48)),"")</f>
        <v>8999</v>
      </c>
      <c r="C50" s="2">
        <f t="array" ref="C50">IFERROR(INDEX('Product Price'!C:C,SMALL('Product Price'!$D:$D,48)),"")</f>
        <v>39</v>
      </c>
      <c r="D50" s="2">
        <f t="shared" si="1"/>
        <v>795</v>
      </c>
      <c r="E50" s="29">
        <f t="shared" si="2"/>
        <v>9794</v>
      </c>
      <c r="F50" s="25">
        <f t="shared" si="3"/>
        <v>1800</v>
      </c>
      <c r="G50" s="29">
        <f t="shared" si="4"/>
        <v>7199</v>
      </c>
      <c r="H50" s="29">
        <f t="shared" si="5"/>
        <v>7994</v>
      </c>
      <c r="I50" s="2">
        <f t="shared" si="6"/>
        <v>1524</v>
      </c>
      <c r="J50" s="2">
        <f t="shared" si="7"/>
        <v>1049</v>
      </c>
      <c r="K50" s="2">
        <f t="shared" si="8"/>
        <v>812</v>
      </c>
      <c r="L50" s="2">
        <f t="shared" si="9"/>
        <v>669</v>
      </c>
      <c r="M50" s="2">
        <f t="shared" si="10"/>
        <v>574</v>
      </c>
      <c r="N50" s="2">
        <f t="shared" si="11"/>
        <v>455</v>
      </c>
      <c r="O50" s="25">
        <f t="shared" si="12"/>
        <v>2250</v>
      </c>
      <c r="P50" s="29">
        <f t="shared" si="13"/>
        <v>6749</v>
      </c>
      <c r="Q50" s="29">
        <f t="shared" si="14"/>
        <v>7544</v>
      </c>
      <c r="R50" s="2">
        <f t="shared" si="15"/>
        <v>1439</v>
      </c>
      <c r="S50" s="2">
        <f t="shared" si="16"/>
        <v>990</v>
      </c>
      <c r="T50" s="2">
        <f t="shared" si="17"/>
        <v>766</v>
      </c>
      <c r="U50" s="2">
        <f t="shared" si="18"/>
        <v>631</v>
      </c>
      <c r="V50" s="2">
        <f t="shared" si="19"/>
        <v>542</v>
      </c>
      <c r="W50" s="2">
        <f t="shared" si="20"/>
        <v>430</v>
      </c>
      <c r="X50" s="25">
        <f t="shared" si="21"/>
        <v>2700</v>
      </c>
      <c r="Y50" s="29">
        <f t="shared" si="22"/>
        <v>6299</v>
      </c>
      <c r="Z50" s="29">
        <f t="shared" si="23"/>
        <v>7094</v>
      </c>
      <c r="AA50" s="2">
        <f t="shared" si="24"/>
        <v>1353</v>
      </c>
      <c r="AB50" s="2">
        <f t="shared" si="25"/>
        <v>931</v>
      </c>
      <c r="AC50" s="2">
        <f t="shared" si="26"/>
        <v>720</v>
      </c>
      <c r="AD50" s="2">
        <f t="shared" si="27"/>
        <v>594</v>
      </c>
      <c r="AE50" s="2">
        <f t="shared" si="28"/>
        <v>509</v>
      </c>
      <c r="AF50" s="2">
        <f t="shared" si="29"/>
        <v>404</v>
      </c>
      <c r="AG50" s="25">
        <f t="shared" si="30"/>
        <v>3150</v>
      </c>
      <c r="AH50" s="29">
        <f t="shared" si="31"/>
        <v>5849</v>
      </c>
      <c r="AI50" s="29">
        <f t="shared" si="32"/>
        <v>6644</v>
      </c>
      <c r="AJ50" s="2">
        <f t="shared" si="33"/>
        <v>1267</v>
      </c>
      <c r="AK50" s="2">
        <f t="shared" si="34"/>
        <v>872</v>
      </c>
      <c r="AL50" s="2">
        <f t="shared" si="35"/>
        <v>675</v>
      </c>
      <c r="AM50" s="2">
        <f t="shared" si="36"/>
        <v>556</v>
      </c>
      <c r="AN50" s="2">
        <f t="shared" si="37"/>
        <v>477</v>
      </c>
      <c r="AO50" s="2" t="str">
        <f t="shared" si="38"/>
        <v>-</v>
      </c>
      <c r="AP50" s="25">
        <f t="shared" si="39"/>
        <v>3600</v>
      </c>
      <c r="AQ50" s="29">
        <f t="shared" si="40"/>
        <v>5399</v>
      </c>
      <c r="AR50" s="29">
        <f t="shared" si="41"/>
        <v>6194</v>
      </c>
      <c r="AS50" s="2">
        <f t="shared" si="42"/>
        <v>1181</v>
      </c>
      <c r="AT50" s="2">
        <f t="shared" si="43"/>
        <v>813</v>
      </c>
      <c r="AU50" s="2">
        <f t="shared" si="44"/>
        <v>629</v>
      </c>
      <c r="AV50" s="2">
        <f t="shared" si="45"/>
        <v>519</v>
      </c>
      <c r="AW50" s="2">
        <f t="shared" si="46"/>
        <v>445</v>
      </c>
      <c r="AX50" s="2" t="str">
        <f t="shared" si="47"/>
        <v>-</v>
      </c>
    </row>
    <row r="51" ht="14.25" customHeight="1">
      <c r="A51" s="2" t="str">
        <f t="array" ref="A51">IFERROR(INDEX('Product Price'!A:A,SMALL('Product Price'!$D:$D,49)),"")</f>
        <v>Nubia NEO 5 5G 8/128 GB</v>
      </c>
      <c r="B51" s="29">
        <f t="array" ref="B51">IFERROR(INDEX('Product Price'!B:B,SMALL('Product Price'!$D:$D,49)),"")</f>
        <v>7999</v>
      </c>
      <c r="C51" s="2">
        <f t="array" ref="C51">IFERROR(INDEX('Product Price'!C:C,SMALL('Product Price'!$D:$D,49)),"")</f>
        <v>40</v>
      </c>
      <c r="D51" s="2">
        <f t="shared" si="1"/>
        <v>795</v>
      </c>
      <c r="E51" s="29">
        <f t="shared" si="2"/>
        <v>8794</v>
      </c>
      <c r="F51" s="25">
        <f t="shared" si="3"/>
        <v>1600</v>
      </c>
      <c r="G51" s="29">
        <f t="shared" si="4"/>
        <v>6399</v>
      </c>
      <c r="H51" s="29">
        <f t="shared" si="5"/>
        <v>7194</v>
      </c>
      <c r="I51" s="2">
        <f t="shared" si="6"/>
        <v>1372</v>
      </c>
      <c r="J51" s="2">
        <f t="shared" si="7"/>
        <v>944</v>
      </c>
      <c r="K51" s="2">
        <f t="shared" si="8"/>
        <v>730</v>
      </c>
      <c r="L51" s="2">
        <f t="shared" si="9"/>
        <v>602</v>
      </c>
      <c r="M51" s="2">
        <f t="shared" si="10"/>
        <v>517</v>
      </c>
      <c r="N51" s="2">
        <f t="shared" si="11"/>
        <v>410</v>
      </c>
      <c r="O51" s="25">
        <f t="shared" si="12"/>
        <v>2000</v>
      </c>
      <c r="P51" s="29">
        <f t="shared" si="13"/>
        <v>5999</v>
      </c>
      <c r="Q51" s="29">
        <f t="shared" si="14"/>
        <v>6794</v>
      </c>
      <c r="R51" s="2">
        <f t="shared" si="15"/>
        <v>1296</v>
      </c>
      <c r="S51" s="2">
        <f t="shared" si="16"/>
        <v>892</v>
      </c>
      <c r="T51" s="2">
        <f t="shared" si="17"/>
        <v>690</v>
      </c>
      <c r="U51" s="2">
        <f t="shared" si="18"/>
        <v>569</v>
      </c>
      <c r="V51" s="2">
        <f t="shared" si="19"/>
        <v>488</v>
      </c>
      <c r="W51" s="2" t="str">
        <f t="shared" si="20"/>
        <v>-</v>
      </c>
      <c r="X51" s="25">
        <f t="shared" si="21"/>
        <v>2400</v>
      </c>
      <c r="Y51" s="29">
        <f t="shared" si="22"/>
        <v>5599</v>
      </c>
      <c r="Z51" s="29">
        <f t="shared" si="23"/>
        <v>6394</v>
      </c>
      <c r="AA51" s="2">
        <f t="shared" si="24"/>
        <v>1219</v>
      </c>
      <c r="AB51" s="2">
        <f t="shared" si="25"/>
        <v>839</v>
      </c>
      <c r="AC51" s="2">
        <f t="shared" si="26"/>
        <v>649</v>
      </c>
      <c r="AD51" s="2">
        <f t="shared" si="27"/>
        <v>535</v>
      </c>
      <c r="AE51" s="2">
        <f t="shared" si="28"/>
        <v>459</v>
      </c>
      <c r="AF51" s="2" t="str">
        <f t="shared" si="29"/>
        <v>-</v>
      </c>
      <c r="AG51" s="25">
        <f t="shared" si="30"/>
        <v>2800</v>
      </c>
      <c r="AH51" s="29">
        <f t="shared" si="31"/>
        <v>5199</v>
      </c>
      <c r="AI51" s="29">
        <f t="shared" si="32"/>
        <v>5994</v>
      </c>
      <c r="AJ51" s="2">
        <f t="shared" si="33"/>
        <v>1143</v>
      </c>
      <c r="AK51" s="2">
        <f t="shared" si="34"/>
        <v>787</v>
      </c>
      <c r="AL51" s="2">
        <f t="shared" si="35"/>
        <v>609</v>
      </c>
      <c r="AM51" s="2">
        <f t="shared" si="36"/>
        <v>502</v>
      </c>
      <c r="AN51" s="2">
        <f t="shared" si="37"/>
        <v>431</v>
      </c>
      <c r="AO51" s="2" t="str">
        <f t="shared" si="38"/>
        <v>-</v>
      </c>
      <c r="AP51" s="25">
        <f t="shared" si="39"/>
        <v>3200</v>
      </c>
      <c r="AQ51" s="29">
        <f t="shared" si="40"/>
        <v>4799</v>
      </c>
      <c r="AR51" s="29">
        <f t="shared" si="41"/>
        <v>5594</v>
      </c>
      <c r="AS51" s="2">
        <f t="shared" si="42"/>
        <v>1067</v>
      </c>
      <c r="AT51" s="2">
        <f t="shared" si="43"/>
        <v>734</v>
      </c>
      <c r="AU51" s="2">
        <f t="shared" si="44"/>
        <v>568</v>
      </c>
      <c r="AV51" s="2">
        <f t="shared" si="45"/>
        <v>468</v>
      </c>
      <c r="AW51" s="2">
        <f t="shared" si="46"/>
        <v>402</v>
      </c>
      <c r="AX51" s="2" t="str">
        <f t="shared" si="47"/>
        <v>-</v>
      </c>
    </row>
    <row r="52" ht="14.25" customHeight="1">
      <c r="A52" s="2" t="str">
        <f t="array" ref="A52">IFERROR(INDEX('Product Price'!A:A,SMALL('Product Price'!$D:$D,50)),"")</f>
        <v>Nubia NEO 3 GT 5G 12/256 GB</v>
      </c>
      <c r="B52" s="29">
        <f t="array" ref="B52">IFERROR(INDEX('Product Price'!B:B,SMALL('Product Price'!$D:$D,50)),"")</f>
        <v>8499</v>
      </c>
      <c r="C52" s="2">
        <f t="array" ref="C52">IFERROR(INDEX('Product Price'!C:C,SMALL('Product Price'!$D:$D,50)),"")</f>
        <v>41</v>
      </c>
      <c r="D52" s="2">
        <f t="shared" si="1"/>
        <v>795</v>
      </c>
      <c r="E52" s="29">
        <f t="shared" si="2"/>
        <v>9294</v>
      </c>
      <c r="F52" s="25">
        <f t="shared" si="3"/>
        <v>1700</v>
      </c>
      <c r="G52" s="29">
        <f t="shared" si="4"/>
        <v>6799</v>
      </c>
      <c r="H52" s="29">
        <f t="shared" si="5"/>
        <v>7594</v>
      </c>
      <c r="I52" s="2">
        <f t="shared" si="6"/>
        <v>1448</v>
      </c>
      <c r="J52" s="2">
        <f t="shared" si="7"/>
        <v>997</v>
      </c>
      <c r="K52" s="2">
        <f t="shared" si="8"/>
        <v>771</v>
      </c>
      <c r="L52" s="2">
        <f t="shared" si="9"/>
        <v>636</v>
      </c>
      <c r="M52" s="2">
        <f t="shared" si="10"/>
        <v>545</v>
      </c>
      <c r="N52" s="2">
        <f t="shared" si="11"/>
        <v>433</v>
      </c>
      <c r="O52" s="25">
        <f t="shared" si="12"/>
        <v>2125</v>
      </c>
      <c r="P52" s="29">
        <f t="shared" si="13"/>
        <v>6374</v>
      </c>
      <c r="Q52" s="29">
        <f t="shared" si="14"/>
        <v>7169</v>
      </c>
      <c r="R52" s="2">
        <f t="shared" si="15"/>
        <v>1367</v>
      </c>
      <c r="S52" s="2">
        <f t="shared" si="16"/>
        <v>941</v>
      </c>
      <c r="T52" s="2">
        <f t="shared" si="17"/>
        <v>728</v>
      </c>
      <c r="U52" s="2">
        <f t="shared" si="18"/>
        <v>600</v>
      </c>
      <c r="V52" s="2">
        <f t="shared" si="19"/>
        <v>515</v>
      </c>
      <c r="W52" s="2">
        <f t="shared" si="20"/>
        <v>408</v>
      </c>
      <c r="X52" s="25">
        <f t="shared" si="21"/>
        <v>2550</v>
      </c>
      <c r="Y52" s="29">
        <f t="shared" si="22"/>
        <v>5949</v>
      </c>
      <c r="Z52" s="29">
        <f t="shared" si="23"/>
        <v>6744</v>
      </c>
      <c r="AA52" s="2">
        <f t="shared" si="24"/>
        <v>1286</v>
      </c>
      <c r="AB52" s="2">
        <f t="shared" si="25"/>
        <v>885</v>
      </c>
      <c r="AC52" s="2">
        <f t="shared" si="26"/>
        <v>685</v>
      </c>
      <c r="AD52" s="2">
        <f t="shared" si="27"/>
        <v>565</v>
      </c>
      <c r="AE52" s="2">
        <f t="shared" si="28"/>
        <v>484</v>
      </c>
      <c r="AF52" s="2" t="str">
        <f t="shared" si="29"/>
        <v>-</v>
      </c>
      <c r="AG52" s="25">
        <f t="shared" si="30"/>
        <v>2975</v>
      </c>
      <c r="AH52" s="29">
        <f t="shared" si="31"/>
        <v>5524</v>
      </c>
      <c r="AI52" s="29">
        <f t="shared" si="32"/>
        <v>6319</v>
      </c>
      <c r="AJ52" s="2">
        <f t="shared" si="33"/>
        <v>1205</v>
      </c>
      <c r="AK52" s="2">
        <f t="shared" si="34"/>
        <v>830</v>
      </c>
      <c r="AL52" s="2">
        <f t="shared" si="35"/>
        <v>642</v>
      </c>
      <c r="AM52" s="2">
        <f t="shared" si="36"/>
        <v>529</v>
      </c>
      <c r="AN52" s="2">
        <f t="shared" si="37"/>
        <v>454</v>
      </c>
      <c r="AO52" s="2" t="str">
        <f t="shared" si="38"/>
        <v>-</v>
      </c>
      <c r="AP52" s="25">
        <f t="shared" si="39"/>
        <v>3400</v>
      </c>
      <c r="AQ52" s="29">
        <f t="shared" si="40"/>
        <v>5099</v>
      </c>
      <c r="AR52" s="29">
        <f t="shared" si="41"/>
        <v>5894</v>
      </c>
      <c r="AS52" s="2">
        <f t="shared" si="42"/>
        <v>1124</v>
      </c>
      <c r="AT52" s="2">
        <f t="shared" si="43"/>
        <v>774</v>
      </c>
      <c r="AU52" s="2">
        <f t="shared" si="44"/>
        <v>599</v>
      </c>
      <c r="AV52" s="2">
        <f t="shared" si="45"/>
        <v>493</v>
      </c>
      <c r="AW52" s="2">
        <f t="shared" si="46"/>
        <v>423</v>
      </c>
      <c r="AX52" s="2" t="str">
        <f t="shared" si="47"/>
        <v>-</v>
      </c>
    </row>
    <row r="53" ht="14.25" customHeight="1">
      <c r="A53" s="2" t="str">
        <f t="array" ref="A53">IFERROR(INDEX('Product Price'!A:A,SMALL('Product Price'!$D:$D,51)),"")</f>
        <v>Nubia Air 5G 8/256 GB</v>
      </c>
      <c r="B53" s="29">
        <f t="array" ref="B53">IFERROR(INDEX('Product Price'!B:B,SMALL('Product Price'!$D:$D,51)),"")</f>
        <v>7499</v>
      </c>
      <c r="C53" s="2">
        <f t="array" ref="C53">IFERROR(INDEX('Product Price'!C:C,SMALL('Product Price'!$D:$D,51)),"")</f>
        <v>42</v>
      </c>
      <c r="D53" s="2">
        <f t="shared" si="1"/>
        <v>795</v>
      </c>
      <c r="E53" s="29">
        <f t="shared" si="2"/>
        <v>8294</v>
      </c>
      <c r="F53" s="25">
        <f t="shared" si="3"/>
        <v>1500</v>
      </c>
      <c r="G53" s="29">
        <f t="shared" si="4"/>
        <v>5999</v>
      </c>
      <c r="H53" s="29">
        <f t="shared" si="5"/>
        <v>6794</v>
      </c>
      <c r="I53" s="2">
        <f t="shared" si="6"/>
        <v>1296</v>
      </c>
      <c r="J53" s="2">
        <f t="shared" si="7"/>
        <v>892</v>
      </c>
      <c r="K53" s="2">
        <f t="shared" si="8"/>
        <v>690</v>
      </c>
      <c r="L53" s="2">
        <f t="shared" si="9"/>
        <v>569</v>
      </c>
      <c r="M53" s="2">
        <f t="shared" si="10"/>
        <v>488</v>
      </c>
      <c r="N53" s="2" t="str">
        <f t="shared" si="11"/>
        <v>-</v>
      </c>
      <c r="O53" s="25">
        <f t="shared" si="12"/>
        <v>1875</v>
      </c>
      <c r="P53" s="29">
        <f t="shared" si="13"/>
        <v>5624</v>
      </c>
      <c r="Q53" s="29">
        <f t="shared" si="14"/>
        <v>6419</v>
      </c>
      <c r="R53" s="2">
        <f t="shared" si="15"/>
        <v>1224</v>
      </c>
      <c r="S53" s="2">
        <f t="shared" si="16"/>
        <v>843</v>
      </c>
      <c r="T53" s="2">
        <f t="shared" si="17"/>
        <v>652</v>
      </c>
      <c r="U53" s="2">
        <f t="shared" si="18"/>
        <v>537</v>
      </c>
      <c r="V53" s="2">
        <f t="shared" si="19"/>
        <v>461</v>
      </c>
      <c r="W53" s="2" t="str">
        <f t="shared" si="20"/>
        <v>-</v>
      </c>
      <c r="X53" s="25">
        <f t="shared" si="21"/>
        <v>2250</v>
      </c>
      <c r="Y53" s="29">
        <f t="shared" si="22"/>
        <v>5249</v>
      </c>
      <c r="Z53" s="29">
        <f t="shared" si="23"/>
        <v>6044</v>
      </c>
      <c r="AA53" s="2">
        <f t="shared" si="24"/>
        <v>1153</v>
      </c>
      <c r="AB53" s="2">
        <f t="shared" si="25"/>
        <v>793</v>
      </c>
      <c r="AC53" s="2">
        <f t="shared" si="26"/>
        <v>614</v>
      </c>
      <c r="AD53" s="2">
        <f t="shared" si="27"/>
        <v>506</v>
      </c>
      <c r="AE53" s="2">
        <f t="shared" si="28"/>
        <v>434</v>
      </c>
      <c r="AF53" s="2" t="str">
        <f t="shared" si="29"/>
        <v>-</v>
      </c>
      <c r="AG53" s="25">
        <f t="shared" si="30"/>
        <v>2625</v>
      </c>
      <c r="AH53" s="29">
        <f t="shared" si="31"/>
        <v>4874</v>
      </c>
      <c r="AI53" s="29">
        <f t="shared" si="32"/>
        <v>5669</v>
      </c>
      <c r="AJ53" s="2">
        <f t="shared" si="33"/>
        <v>1081</v>
      </c>
      <c r="AK53" s="2">
        <f t="shared" si="34"/>
        <v>744</v>
      </c>
      <c r="AL53" s="2">
        <f t="shared" si="35"/>
        <v>576</v>
      </c>
      <c r="AM53" s="2">
        <f t="shared" si="36"/>
        <v>475</v>
      </c>
      <c r="AN53" s="2">
        <f t="shared" si="37"/>
        <v>407</v>
      </c>
      <c r="AO53" s="2" t="str">
        <f t="shared" si="38"/>
        <v>-</v>
      </c>
      <c r="AP53" s="25">
        <f t="shared" si="39"/>
        <v>3000</v>
      </c>
      <c r="AQ53" s="29">
        <f t="shared" si="40"/>
        <v>4499</v>
      </c>
      <c r="AR53" s="29">
        <f t="shared" si="41"/>
        <v>5294</v>
      </c>
      <c r="AS53" s="2">
        <f t="shared" si="42"/>
        <v>1010</v>
      </c>
      <c r="AT53" s="2">
        <f t="shared" si="43"/>
        <v>695</v>
      </c>
      <c r="AU53" s="2">
        <f t="shared" si="44"/>
        <v>538</v>
      </c>
      <c r="AV53" s="2">
        <f t="shared" si="45"/>
        <v>443</v>
      </c>
      <c r="AW53" s="2" t="str">
        <f t="shared" si="46"/>
        <v>-</v>
      </c>
      <c r="AX53" s="2" t="str">
        <f t="shared" si="47"/>
        <v>-</v>
      </c>
    </row>
    <row r="54" ht="14.25" customHeight="1">
      <c r="A54" s="2" t="str">
        <f t="array" ref="A54">IFERROR(INDEX('Product Price'!A:A,SMALL('Product Price'!$D:$D,52)),"")</f>
        <v>Nubia NEO 3 5G 8/256 GB</v>
      </c>
      <c r="B54" s="29">
        <f t="array" ref="B54">IFERROR(INDEX('Product Price'!B:B,SMALL('Product Price'!$D:$D,52)),"")</f>
        <v>6499</v>
      </c>
      <c r="C54" s="2">
        <f t="array" ref="C54">IFERROR(INDEX('Product Price'!C:C,SMALL('Product Price'!$D:$D,52)),"")</f>
        <v>43</v>
      </c>
      <c r="D54" s="2">
        <f t="shared" si="1"/>
        <v>795</v>
      </c>
      <c r="E54" s="29">
        <f t="shared" si="2"/>
        <v>7294</v>
      </c>
      <c r="F54" s="25">
        <f t="shared" si="3"/>
        <v>1300</v>
      </c>
      <c r="G54" s="29">
        <f t="shared" si="4"/>
        <v>5199</v>
      </c>
      <c r="H54" s="29">
        <f t="shared" si="5"/>
        <v>5994</v>
      </c>
      <c r="I54" s="2">
        <f t="shared" si="6"/>
        <v>1143</v>
      </c>
      <c r="J54" s="2">
        <f t="shared" si="7"/>
        <v>787</v>
      </c>
      <c r="K54" s="2">
        <f t="shared" si="8"/>
        <v>609</v>
      </c>
      <c r="L54" s="2">
        <f t="shared" si="9"/>
        <v>502</v>
      </c>
      <c r="M54" s="2">
        <f t="shared" si="10"/>
        <v>431</v>
      </c>
      <c r="N54" s="2" t="str">
        <f t="shared" si="11"/>
        <v>-</v>
      </c>
      <c r="O54" s="25">
        <f t="shared" si="12"/>
        <v>1625</v>
      </c>
      <c r="P54" s="29">
        <f t="shared" si="13"/>
        <v>4874</v>
      </c>
      <c r="Q54" s="29">
        <f t="shared" si="14"/>
        <v>5669</v>
      </c>
      <c r="R54" s="2">
        <f t="shared" si="15"/>
        <v>1081</v>
      </c>
      <c r="S54" s="2">
        <f t="shared" si="16"/>
        <v>744</v>
      </c>
      <c r="T54" s="2">
        <f t="shared" si="17"/>
        <v>576</v>
      </c>
      <c r="U54" s="2">
        <f t="shared" si="18"/>
        <v>475</v>
      </c>
      <c r="V54" s="2">
        <f t="shared" si="19"/>
        <v>407</v>
      </c>
      <c r="W54" s="2" t="str">
        <f t="shared" si="20"/>
        <v>-</v>
      </c>
      <c r="X54" s="25">
        <f t="shared" si="21"/>
        <v>1950</v>
      </c>
      <c r="Y54" s="29">
        <f t="shared" si="22"/>
        <v>4549</v>
      </c>
      <c r="Z54" s="29">
        <f t="shared" si="23"/>
        <v>5344</v>
      </c>
      <c r="AA54" s="2">
        <f t="shared" si="24"/>
        <v>1019</v>
      </c>
      <c r="AB54" s="2">
        <f t="shared" si="25"/>
        <v>702</v>
      </c>
      <c r="AC54" s="2">
        <f t="shared" si="26"/>
        <v>543</v>
      </c>
      <c r="AD54" s="2">
        <f t="shared" si="27"/>
        <v>447</v>
      </c>
      <c r="AE54" s="2" t="str">
        <f t="shared" si="28"/>
        <v>-</v>
      </c>
      <c r="AF54" s="2" t="str">
        <f t="shared" si="29"/>
        <v>-</v>
      </c>
      <c r="AG54" s="25">
        <f t="shared" si="30"/>
        <v>2275</v>
      </c>
      <c r="AH54" s="29">
        <f t="shared" si="31"/>
        <v>4224</v>
      </c>
      <c r="AI54" s="29">
        <f t="shared" si="32"/>
        <v>5019</v>
      </c>
      <c r="AJ54" s="2">
        <f t="shared" si="33"/>
        <v>957</v>
      </c>
      <c r="AK54" s="2">
        <f t="shared" si="34"/>
        <v>659</v>
      </c>
      <c r="AL54" s="2">
        <f t="shared" si="35"/>
        <v>510</v>
      </c>
      <c r="AM54" s="2">
        <f t="shared" si="36"/>
        <v>420</v>
      </c>
      <c r="AN54" s="2" t="str">
        <f t="shared" si="37"/>
        <v>-</v>
      </c>
      <c r="AO54" s="2" t="str">
        <f t="shared" si="38"/>
        <v>-</v>
      </c>
      <c r="AP54" s="25">
        <f t="shared" si="39"/>
        <v>2600</v>
      </c>
      <c r="AQ54" s="29">
        <f t="shared" si="40"/>
        <v>3899</v>
      </c>
      <c r="AR54" s="29">
        <f t="shared" si="41"/>
        <v>4694</v>
      </c>
      <c r="AS54" s="2">
        <f t="shared" si="42"/>
        <v>895</v>
      </c>
      <c r="AT54" s="2">
        <f t="shared" si="43"/>
        <v>616</v>
      </c>
      <c r="AU54" s="2">
        <f t="shared" si="44"/>
        <v>477</v>
      </c>
      <c r="AV54" s="2" t="str">
        <f t="shared" si="45"/>
        <v>-</v>
      </c>
      <c r="AW54" s="2" t="str">
        <f t="shared" si="46"/>
        <v>-</v>
      </c>
      <c r="AX54" s="2" t="str">
        <f t="shared" si="47"/>
        <v>-</v>
      </c>
    </row>
    <row r="55" ht="14.25" customHeight="1">
      <c r="A55" s="2" t="str">
        <f t="array" ref="A55">IFERROR(INDEX('Product Price'!A:A,SMALL('Product Price'!$D:$D,53)),"")</f>
        <v>realme 16 Pro+ 5G 12/512 GB</v>
      </c>
      <c r="B55" s="29">
        <f t="array" ref="B55">IFERROR(INDEX('Product Price'!B:B,SMALL('Product Price'!$D:$D,53)),"")</f>
        <v>23999</v>
      </c>
      <c r="C55" s="2">
        <f t="array" ref="C55">IFERROR(INDEX('Product Price'!C:C,SMALL('Product Price'!$D:$D,53)),"")</f>
        <v>44</v>
      </c>
      <c r="D55" s="2">
        <f t="shared" si="1"/>
        <v>1900</v>
      </c>
      <c r="E55" s="29">
        <f t="shared" si="2"/>
        <v>25899</v>
      </c>
      <c r="F55" s="25">
        <f t="shared" si="3"/>
        <v>4800</v>
      </c>
      <c r="G55" s="29">
        <f t="shared" si="4"/>
        <v>19199</v>
      </c>
      <c r="H55" s="29">
        <f t="shared" si="5"/>
        <v>21099</v>
      </c>
      <c r="I55" s="2">
        <f t="shared" si="6"/>
        <v>4023</v>
      </c>
      <c r="J55" s="2">
        <f t="shared" si="7"/>
        <v>2769</v>
      </c>
      <c r="K55" s="2">
        <f t="shared" si="8"/>
        <v>2141</v>
      </c>
      <c r="L55" s="2">
        <f t="shared" si="9"/>
        <v>1765</v>
      </c>
      <c r="M55" s="2">
        <f t="shared" si="10"/>
        <v>1514</v>
      </c>
      <c r="N55" s="2">
        <f t="shared" si="11"/>
        <v>1201</v>
      </c>
      <c r="O55" s="25">
        <f t="shared" si="12"/>
        <v>6000</v>
      </c>
      <c r="P55" s="29">
        <f t="shared" si="13"/>
        <v>17999</v>
      </c>
      <c r="Q55" s="29">
        <f t="shared" si="14"/>
        <v>19899</v>
      </c>
      <c r="R55" s="2">
        <f t="shared" si="15"/>
        <v>3794</v>
      </c>
      <c r="S55" s="2">
        <f t="shared" si="16"/>
        <v>2611</v>
      </c>
      <c r="T55" s="2">
        <f t="shared" si="17"/>
        <v>2020</v>
      </c>
      <c r="U55" s="2">
        <f t="shared" si="18"/>
        <v>1665</v>
      </c>
      <c r="V55" s="2">
        <f t="shared" si="19"/>
        <v>1428</v>
      </c>
      <c r="W55" s="2">
        <f t="shared" si="20"/>
        <v>1133</v>
      </c>
      <c r="X55" s="25">
        <f t="shared" si="21"/>
        <v>7200</v>
      </c>
      <c r="Y55" s="29">
        <f t="shared" si="22"/>
        <v>16799</v>
      </c>
      <c r="Z55" s="29">
        <f t="shared" si="23"/>
        <v>18699</v>
      </c>
      <c r="AA55" s="2">
        <f t="shared" si="24"/>
        <v>3565</v>
      </c>
      <c r="AB55" s="2">
        <f t="shared" si="25"/>
        <v>2454</v>
      </c>
      <c r="AC55" s="2">
        <f t="shared" si="26"/>
        <v>1898</v>
      </c>
      <c r="AD55" s="2">
        <f t="shared" si="27"/>
        <v>1564</v>
      </c>
      <c r="AE55" s="2">
        <f t="shared" si="28"/>
        <v>1342</v>
      </c>
      <c r="AF55" s="2">
        <f t="shared" si="29"/>
        <v>1064</v>
      </c>
      <c r="AG55" s="25">
        <f t="shared" si="30"/>
        <v>8400</v>
      </c>
      <c r="AH55" s="29">
        <f t="shared" si="31"/>
        <v>15599</v>
      </c>
      <c r="AI55" s="29">
        <f t="shared" si="32"/>
        <v>17499</v>
      </c>
      <c r="AJ55" s="2">
        <f t="shared" si="33"/>
        <v>3336</v>
      </c>
      <c r="AK55" s="2">
        <f t="shared" si="34"/>
        <v>2296</v>
      </c>
      <c r="AL55" s="2">
        <f t="shared" si="35"/>
        <v>1776</v>
      </c>
      <c r="AM55" s="2">
        <f t="shared" si="36"/>
        <v>1464</v>
      </c>
      <c r="AN55" s="2">
        <f t="shared" si="37"/>
        <v>1256</v>
      </c>
      <c r="AO55" s="2">
        <f t="shared" si="38"/>
        <v>996</v>
      </c>
      <c r="AP55" s="25">
        <f t="shared" si="39"/>
        <v>9600</v>
      </c>
      <c r="AQ55" s="29">
        <f t="shared" si="40"/>
        <v>14399</v>
      </c>
      <c r="AR55" s="29">
        <f t="shared" si="41"/>
        <v>16299</v>
      </c>
      <c r="AS55" s="2">
        <f t="shared" si="42"/>
        <v>3108</v>
      </c>
      <c r="AT55" s="2">
        <f t="shared" si="43"/>
        <v>2139</v>
      </c>
      <c r="AU55" s="2">
        <f t="shared" si="44"/>
        <v>1654</v>
      </c>
      <c r="AV55" s="2">
        <f t="shared" si="45"/>
        <v>1364</v>
      </c>
      <c r="AW55" s="2">
        <f t="shared" si="46"/>
        <v>1170</v>
      </c>
      <c r="AX55" s="2">
        <f t="shared" si="47"/>
        <v>928</v>
      </c>
    </row>
    <row r="56" ht="14.25" customHeight="1">
      <c r="A56" s="2" t="str">
        <f t="array" ref="A56">IFERROR(INDEX('Product Price'!A:A,SMALL('Product Price'!$D:$D,54)),"")</f>
        <v>realme 16 Pro+ 5G 12/256 GB</v>
      </c>
      <c r="B56" s="29">
        <f t="array" ref="B56">IFERROR(INDEX('Product Price'!B:B,SMALL('Product Price'!$D:$D,54)),"")</f>
        <v>17499</v>
      </c>
      <c r="C56" s="2">
        <f t="array" ref="C56">IFERROR(INDEX('Product Price'!C:C,SMALL('Product Price'!$D:$D,54)),"")</f>
        <v>45</v>
      </c>
      <c r="D56" s="2">
        <f t="shared" si="1"/>
        <v>1450</v>
      </c>
      <c r="E56" s="29">
        <f t="shared" si="2"/>
        <v>18949</v>
      </c>
      <c r="F56" s="25">
        <f t="shared" si="3"/>
        <v>3500</v>
      </c>
      <c r="G56" s="29">
        <f t="shared" si="4"/>
        <v>13999</v>
      </c>
      <c r="H56" s="29">
        <f t="shared" si="5"/>
        <v>15449</v>
      </c>
      <c r="I56" s="2">
        <f t="shared" si="6"/>
        <v>2946</v>
      </c>
      <c r="J56" s="2">
        <f t="shared" si="7"/>
        <v>2027</v>
      </c>
      <c r="K56" s="2">
        <f t="shared" si="8"/>
        <v>1568</v>
      </c>
      <c r="L56" s="2">
        <f t="shared" si="9"/>
        <v>1293</v>
      </c>
      <c r="M56" s="2">
        <f t="shared" si="10"/>
        <v>1109</v>
      </c>
      <c r="N56" s="2">
        <f t="shared" si="11"/>
        <v>879</v>
      </c>
      <c r="O56" s="25">
        <f t="shared" si="12"/>
        <v>4375</v>
      </c>
      <c r="P56" s="29">
        <f t="shared" si="13"/>
        <v>13124</v>
      </c>
      <c r="Q56" s="29">
        <f t="shared" si="14"/>
        <v>14574</v>
      </c>
      <c r="R56" s="2">
        <f t="shared" si="15"/>
        <v>2779</v>
      </c>
      <c r="S56" s="2">
        <f t="shared" si="16"/>
        <v>1913</v>
      </c>
      <c r="T56" s="2">
        <f t="shared" si="17"/>
        <v>1479</v>
      </c>
      <c r="U56" s="2">
        <f t="shared" si="18"/>
        <v>1219</v>
      </c>
      <c r="V56" s="2">
        <f t="shared" si="19"/>
        <v>1046</v>
      </c>
      <c r="W56" s="2">
        <f t="shared" si="20"/>
        <v>830</v>
      </c>
      <c r="X56" s="25">
        <f t="shared" si="21"/>
        <v>5250</v>
      </c>
      <c r="Y56" s="29">
        <f t="shared" si="22"/>
        <v>12249</v>
      </c>
      <c r="Z56" s="29">
        <f t="shared" si="23"/>
        <v>13699</v>
      </c>
      <c r="AA56" s="2">
        <f t="shared" si="24"/>
        <v>2612</v>
      </c>
      <c r="AB56" s="2">
        <f t="shared" si="25"/>
        <v>1798</v>
      </c>
      <c r="AC56" s="2">
        <f t="shared" si="26"/>
        <v>1391</v>
      </c>
      <c r="AD56" s="2">
        <f t="shared" si="27"/>
        <v>1146</v>
      </c>
      <c r="AE56" s="2">
        <f t="shared" si="28"/>
        <v>983</v>
      </c>
      <c r="AF56" s="2">
        <f t="shared" si="29"/>
        <v>780</v>
      </c>
      <c r="AG56" s="25">
        <f t="shared" si="30"/>
        <v>6125</v>
      </c>
      <c r="AH56" s="29">
        <f t="shared" si="31"/>
        <v>11374</v>
      </c>
      <c r="AI56" s="29">
        <f t="shared" si="32"/>
        <v>12824</v>
      </c>
      <c r="AJ56" s="2">
        <f t="shared" si="33"/>
        <v>2445</v>
      </c>
      <c r="AK56" s="2">
        <f t="shared" si="34"/>
        <v>1683</v>
      </c>
      <c r="AL56" s="2">
        <f t="shared" si="35"/>
        <v>1302</v>
      </c>
      <c r="AM56" s="2">
        <f t="shared" si="36"/>
        <v>1073</v>
      </c>
      <c r="AN56" s="2">
        <f t="shared" si="37"/>
        <v>921</v>
      </c>
      <c r="AO56" s="2">
        <f t="shared" si="38"/>
        <v>730</v>
      </c>
      <c r="AP56" s="25">
        <f t="shared" si="39"/>
        <v>7000</v>
      </c>
      <c r="AQ56" s="29">
        <f t="shared" si="40"/>
        <v>10499</v>
      </c>
      <c r="AR56" s="29">
        <f t="shared" si="41"/>
        <v>11949</v>
      </c>
      <c r="AS56" s="2">
        <f t="shared" si="42"/>
        <v>2278</v>
      </c>
      <c r="AT56" s="2">
        <f t="shared" si="43"/>
        <v>1568</v>
      </c>
      <c r="AU56" s="2">
        <f t="shared" si="44"/>
        <v>1213</v>
      </c>
      <c r="AV56" s="2">
        <f t="shared" si="45"/>
        <v>1000</v>
      </c>
      <c r="AW56" s="2">
        <f t="shared" si="46"/>
        <v>858</v>
      </c>
      <c r="AX56" s="2">
        <f t="shared" si="47"/>
        <v>680</v>
      </c>
    </row>
    <row r="57" ht="14.25" customHeight="1">
      <c r="A57" s="2" t="str">
        <f t="array" ref="A57">IFERROR(INDEX('Product Price'!A:A,SMALL('Product Price'!$D:$D,55)),"")</f>
        <v>realme 16 Pro 5G 12/512 GB</v>
      </c>
      <c r="B57" s="29">
        <f t="array" ref="B57">IFERROR(INDEX('Product Price'!B:B,SMALL('Product Price'!$D:$D,55)),"")</f>
        <v>18999</v>
      </c>
      <c r="C57" s="2">
        <f t="array" ref="C57">IFERROR(INDEX('Product Price'!C:C,SMALL('Product Price'!$D:$D,55)),"")</f>
        <v>46</v>
      </c>
      <c r="D57" s="2">
        <f t="shared" si="1"/>
        <v>1450</v>
      </c>
      <c r="E57" s="29">
        <f t="shared" si="2"/>
        <v>20449</v>
      </c>
      <c r="F57" s="25">
        <f t="shared" si="3"/>
        <v>3800</v>
      </c>
      <c r="G57" s="29">
        <f t="shared" si="4"/>
        <v>15199</v>
      </c>
      <c r="H57" s="29">
        <f t="shared" si="5"/>
        <v>16649</v>
      </c>
      <c r="I57" s="2">
        <f t="shared" si="6"/>
        <v>3174</v>
      </c>
      <c r="J57" s="2">
        <f t="shared" si="7"/>
        <v>2185</v>
      </c>
      <c r="K57" s="2">
        <f t="shared" si="8"/>
        <v>1690</v>
      </c>
      <c r="L57" s="2">
        <f t="shared" si="9"/>
        <v>1393</v>
      </c>
      <c r="M57" s="2">
        <f t="shared" si="10"/>
        <v>1195</v>
      </c>
      <c r="N57" s="2">
        <f t="shared" si="11"/>
        <v>948</v>
      </c>
      <c r="O57" s="25">
        <f t="shared" si="12"/>
        <v>4750</v>
      </c>
      <c r="P57" s="29">
        <f t="shared" si="13"/>
        <v>14249</v>
      </c>
      <c r="Q57" s="29">
        <f t="shared" si="14"/>
        <v>15699</v>
      </c>
      <c r="R57" s="2">
        <f t="shared" si="15"/>
        <v>2993</v>
      </c>
      <c r="S57" s="2">
        <f t="shared" si="16"/>
        <v>2060</v>
      </c>
      <c r="T57" s="2">
        <f t="shared" si="17"/>
        <v>1594</v>
      </c>
      <c r="U57" s="2">
        <f t="shared" si="18"/>
        <v>1314</v>
      </c>
      <c r="V57" s="2">
        <f t="shared" si="19"/>
        <v>1127</v>
      </c>
      <c r="W57" s="2">
        <f t="shared" si="20"/>
        <v>894</v>
      </c>
      <c r="X57" s="25">
        <f t="shared" si="21"/>
        <v>5700</v>
      </c>
      <c r="Y57" s="29">
        <f t="shared" si="22"/>
        <v>13299</v>
      </c>
      <c r="Z57" s="29">
        <f t="shared" si="23"/>
        <v>14749</v>
      </c>
      <c r="AA57" s="2">
        <f t="shared" si="24"/>
        <v>2812</v>
      </c>
      <c r="AB57" s="2">
        <f t="shared" si="25"/>
        <v>1935</v>
      </c>
      <c r="AC57" s="2">
        <f t="shared" si="26"/>
        <v>1497</v>
      </c>
      <c r="AD57" s="2">
        <f t="shared" si="27"/>
        <v>1234</v>
      </c>
      <c r="AE57" s="2">
        <f t="shared" si="28"/>
        <v>1059</v>
      </c>
      <c r="AF57" s="2">
        <f t="shared" si="29"/>
        <v>840</v>
      </c>
      <c r="AG57" s="25">
        <f t="shared" si="30"/>
        <v>6650</v>
      </c>
      <c r="AH57" s="29">
        <f t="shared" si="31"/>
        <v>12349</v>
      </c>
      <c r="AI57" s="29">
        <f t="shared" si="32"/>
        <v>13799</v>
      </c>
      <c r="AJ57" s="2">
        <f t="shared" si="33"/>
        <v>2631</v>
      </c>
      <c r="AK57" s="2">
        <f t="shared" si="34"/>
        <v>1811</v>
      </c>
      <c r="AL57" s="2">
        <f t="shared" si="35"/>
        <v>1401</v>
      </c>
      <c r="AM57" s="2">
        <f t="shared" si="36"/>
        <v>1155</v>
      </c>
      <c r="AN57" s="2">
        <f t="shared" si="37"/>
        <v>991</v>
      </c>
      <c r="AO57" s="2">
        <f t="shared" si="38"/>
        <v>786</v>
      </c>
      <c r="AP57" s="25">
        <f t="shared" si="39"/>
        <v>7600</v>
      </c>
      <c r="AQ57" s="29">
        <f t="shared" si="40"/>
        <v>11399</v>
      </c>
      <c r="AR57" s="29">
        <f t="shared" si="41"/>
        <v>12849</v>
      </c>
      <c r="AS57" s="2">
        <f t="shared" si="42"/>
        <v>2450</v>
      </c>
      <c r="AT57" s="2">
        <f t="shared" si="43"/>
        <v>1686</v>
      </c>
      <c r="AU57" s="2">
        <f t="shared" si="44"/>
        <v>1304</v>
      </c>
      <c r="AV57" s="2">
        <f t="shared" si="45"/>
        <v>1075</v>
      </c>
      <c r="AW57" s="2">
        <f t="shared" si="46"/>
        <v>922</v>
      </c>
      <c r="AX57" s="2">
        <f t="shared" si="47"/>
        <v>731</v>
      </c>
    </row>
    <row r="58" ht="14.25" customHeight="1">
      <c r="A58" s="2" t="str">
        <f t="array" ref="A58">IFERROR(INDEX('Product Price'!A:A,SMALL('Product Price'!$D:$D,56)),"")</f>
        <v>realme 16 Pro 5G 12/256 GB</v>
      </c>
      <c r="B58" s="29">
        <f t="array" ref="B58">IFERROR(INDEX('Product Price'!B:B,SMALL('Product Price'!$D:$D,56)),"")</f>
        <v>16999</v>
      </c>
      <c r="C58" s="2">
        <f t="array" ref="C58">IFERROR(INDEX('Product Price'!C:C,SMALL('Product Price'!$D:$D,56)),"")</f>
        <v>47</v>
      </c>
      <c r="D58" s="2">
        <f t="shared" si="1"/>
        <v>1450</v>
      </c>
      <c r="E58" s="29">
        <f t="shared" si="2"/>
        <v>18449</v>
      </c>
      <c r="F58" s="25">
        <f t="shared" si="3"/>
        <v>3400</v>
      </c>
      <c r="G58" s="29">
        <f t="shared" si="4"/>
        <v>13599</v>
      </c>
      <c r="H58" s="29">
        <f t="shared" si="5"/>
        <v>15049</v>
      </c>
      <c r="I58" s="2">
        <f t="shared" si="6"/>
        <v>2869</v>
      </c>
      <c r="J58" s="2">
        <f t="shared" si="7"/>
        <v>1975</v>
      </c>
      <c r="K58" s="2">
        <f t="shared" si="8"/>
        <v>1528</v>
      </c>
      <c r="L58" s="2">
        <f t="shared" si="9"/>
        <v>1259</v>
      </c>
      <c r="M58" s="2">
        <f t="shared" si="10"/>
        <v>1080</v>
      </c>
      <c r="N58" s="2">
        <f t="shared" si="11"/>
        <v>857</v>
      </c>
      <c r="O58" s="25">
        <f t="shared" si="12"/>
        <v>4250</v>
      </c>
      <c r="P58" s="29">
        <f t="shared" si="13"/>
        <v>12749</v>
      </c>
      <c r="Q58" s="29">
        <f t="shared" si="14"/>
        <v>14199</v>
      </c>
      <c r="R58" s="2">
        <f t="shared" si="15"/>
        <v>2707</v>
      </c>
      <c r="S58" s="2">
        <f t="shared" si="16"/>
        <v>1863</v>
      </c>
      <c r="T58" s="2">
        <f t="shared" si="17"/>
        <v>1441</v>
      </c>
      <c r="U58" s="2">
        <f t="shared" si="18"/>
        <v>1188</v>
      </c>
      <c r="V58" s="2">
        <f t="shared" si="19"/>
        <v>1019</v>
      </c>
      <c r="W58" s="2">
        <f t="shared" si="20"/>
        <v>808</v>
      </c>
      <c r="X58" s="25">
        <f t="shared" si="21"/>
        <v>5100</v>
      </c>
      <c r="Y58" s="29">
        <f t="shared" si="22"/>
        <v>11899</v>
      </c>
      <c r="Z58" s="29">
        <f t="shared" si="23"/>
        <v>13349</v>
      </c>
      <c r="AA58" s="2">
        <f t="shared" si="24"/>
        <v>2545</v>
      </c>
      <c r="AB58" s="2">
        <f t="shared" si="25"/>
        <v>1752</v>
      </c>
      <c r="AC58" s="2">
        <f t="shared" si="26"/>
        <v>1355</v>
      </c>
      <c r="AD58" s="2">
        <f t="shared" si="27"/>
        <v>1117</v>
      </c>
      <c r="AE58" s="2">
        <f t="shared" si="28"/>
        <v>958</v>
      </c>
      <c r="AF58" s="2">
        <f t="shared" si="29"/>
        <v>760</v>
      </c>
      <c r="AG58" s="25">
        <f t="shared" si="30"/>
        <v>5950</v>
      </c>
      <c r="AH58" s="29">
        <f t="shared" si="31"/>
        <v>11049</v>
      </c>
      <c r="AI58" s="29">
        <f t="shared" si="32"/>
        <v>12499</v>
      </c>
      <c r="AJ58" s="2">
        <f t="shared" si="33"/>
        <v>2383</v>
      </c>
      <c r="AK58" s="2">
        <f t="shared" si="34"/>
        <v>1640</v>
      </c>
      <c r="AL58" s="2">
        <f t="shared" si="35"/>
        <v>1269</v>
      </c>
      <c r="AM58" s="2">
        <f t="shared" si="36"/>
        <v>1046</v>
      </c>
      <c r="AN58" s="2">
        <f t="shared" si="37"/>
        <v>897</v>
      </c>
      <c r="AO58" s="2">
        <f t="shared" si="38"/>
        <v>712</v>
      </c>
      <c r="AP58" s="25">
        <f t="shared" si="39"/>
        <v>6800</v>
      </c>
      <c r="AQ58" s="29">
        <f t="shared" si="40"/>
        <v>10199</v>
      </c>
      <c r="AR58" s="29">
        <f t="shared" si="41"/>
        <v>11649</v>
      </c>
      <c r="AS58" s="2">
        <f t="shared" si="42"/>
        <v>2221</v>
      </c>
      <c r="AT58" s="2">
        <f t="shared" si="43"/>
        <v>1529</v>
      </c>
      <c r="AU58" s="2">
        <f t="shared" si="44"/>
        <v>1183</v>
      </c>
      <c r="AV58" s="2">
        <f t="shared" si="45"/>
        <v>975</v>
      </c>
      <c r="AW58" s="2">
        <f t="shared" si="46"/>
        <v>836</v>
      </c>
      <c r="AX58" s="2">
        <f t="shared" si="47"/>
        <v>663</v>
      </c>
    </row>
    <row r="59" ht="14.25" customHeight="1">
      <c r="A59" s="2" t="str">
        <f t="array" ref="A59">IFERROR(INDEX('Product Price'!A:A,SMALL('Product Price'!$D:$D,57)),"")</f>
        <v>realme 16 5G 8/256 GB</v>
      </c>
      <c r="B59" s="29">
        <f t="array" ref="B59">IFERROR(INDEX('Product Price'!B:B,SMALL('Product Price'!$D:$D,57)),"")</f>
        <v>13999</v>
      </c>
      <c r="C59" s="2">
        <f t="array" ref="C59">IFERROR(INDEX('Product Price'!C:C,SMALL('Product Price'!$D:$D,57)),"")</f>
        <v>48</v>
      </c>
      <c r="D59" s="2">
        <f t="shared" si="1"/>
        <v>1450</v>
      </c>
      <c r="E59" s="29">
        <f t="shared" si="2"/>
        <v>15449</v>
      </c>
      <c r="F59" s="25">
        <f t="shared" si="3"/>
        <v>2800</v>
      </c>
      <c r="G59" s="29">
        <f t="shared" si="4"/>
        <v>11199</v>
      </c>
      <c r="H59" s="29">
        <f t="shared" si="5"/>
        <v>12649</v>
      </c>
      <c r="I59" s="2">
        <f t="shared" si="6"/>
        <v>2412</v>
      </c>
      <c r="J59" s="2">
        <f t="shared" si="7"/>
        <v>1660</v>
      </c>
      <c r="K59" s="2">
        <f t="shared" si="8"/>
        <v>1284</v>
      </c>
      <c r="L59" s="2">
        <f t="shared" si="9"/>
        <v>1058</v>
      </c>
      <c r="M59" s="2">
        <f t="shared" si="10"/>
        <v>908</v>
      </c>
      <c r="N59" s="2">
        <f t="shared" si="11"/>
        <v>720</v>
      </c>
      <c r="O59" s="25">
        <f t="shared" si="12"/>
        <v>3500</v>
      </c>
      <c r="P59" s="29">
        <f t="shared" si="13"/>
        <v>10499</v>
      </c>
      <c r="Q59" s="29">
        <f t="shared" si="14"/>
        <v>11949</v>
      </c>
      <c r="R59" s="2">
        <f t="shared" si="15"/>
        <v>2278</v>
      </c>
      <c r="S59" s="2">
        <f t="shared" si="16"/>
        <v>1568</v>
      </c>
      <c r="T59" s="2">
        <f t="shared" si="17"/>
        <v>1213</v>
      </c>
      <c r="U59" s="2">
        <f t="shared" si="18"/>
        <v>1000</v>
      </c>
      <c r="V59" s="2">
        <f t="shared" si="19"/>
        <v>858</v>
      </c>
      <c r="W59" s="2">
        <f t="shared" si="20"/>
        <v>680</v>
      </c>
      <c r="X59" s="25">
        <f t="shared" si="21"/>
        <v>4200</v>
      </c>
      <c r="Y59" s="29">
        <f t="shared" si="22"/>
        <v>9799</v>
      </c>
      <c r="Z59" s="29">
        <f t="shared" si="23"/>
        <v>11249</v>
      </c>
      <c r="AA59" s="2">
        <f t="shared" si="24"/>
        <v>2145</v>
      </c>
      <c r="AB59" s="2">
        <f t="shared" si="25"/>
        <v>1476</v>
      </c>
      <c r="AC59" s="2">
        <f t="shared" si="26"/>
        <v>1142</v>
      </c>
      <c r="AD59" s="2">
        <f t="shared" si="27"/>
        <v>941</v>
      </c>
      <c r="AE59" s="2">
        <f t="shared" si="28"/>
        <v>808</v>
      </c>
      <c r="AF59" s="2">
        <f t="shared" si="29"/>
        <v>640</v>
      </c>
      <c r="AG59" s="25">
        <f t="shared" si="30"/>
        <v>4900</v>
      </c>
      <c r="AH59" s="29">
        <f t="shared" si="31"/>
        <v>9099</v>
      </c>
      <c r="AI59" s="29">
        <f t="shared" si="32"/>
        <v>10549</v>
      </c>
      <c r="AJ59" s="2">
        <f t="shared" si="33"/>
        <v>2012</v>
      </c>
      <c r="AK59" s="2">
        <f t="shared" si="34"/>
        <v>1384</v>
      </c>
      <c r="AL59" s="2">
        <f t="shared" si="35"/>
        <v>1071</v>
      </c>
      <c r="AM59" s="2">
        <f t="shared" si="36"/>
        <v>883</v>
      </c>
      <c r="AN59" s="2">
        <f t="shared" si="37"/>
        <v>757</v>
      </c>
      <c r="AO59" s="2">
        <f t="shared" si="38"/>
        <v>601</v>
      </c>
      <c r="AP59" s="25">
        <f t="shared" si="39"/>
        <v>5600</v>
      </c>
      <c r="AQ59" s="29">
        <f t="shared" si="40"/>
        <v>8399</v>
      </c>
      <c r="AR59" s="29">
        <f t="shared" si="41"/>
        <v>9849</v>
      </c>
      <c r="AS59" s="2">
        <f t="shared" si="42"/>
        <v>1878</v>
      </c>
      <c r="AT59" s="2">
        <f t="shared" si="43"/>
        <v>1293</v>
      </c>
      <c r="AU59" s="2">
        <f t="shared" si="44"/>
        <v>1000</v>
      </c>
      <c r="AV59" s="2">
        <f t="shared" si="45"/>
        <v>824</v>
      </c>
      <c r="AW59" s="2">
        <f t="shared" si="46"/>
        <v>707</v>
      </c>
      <c r="AX59" s="2">
        <f t="shared" si="47"/>
        <v>561</v>
      </c>
    </row>
    <row r="60" ht="14.25" customHeight="1">
      <c r="A60" s="2" t="str">
        <f t="array" ref="A60">IFERROR(INDEX('Product Price'!A:A,SMALL('Product Price'!$D:$D,58)),"")</f>
        <v>realme C85 5G 8/256 GB</v>
      </c>
      <c r="B60" s="29">
        <f t="array" ref="B60">IFERROR(INDEX('Product Price'!B:B,SMALL('Product Price'!$D:$D,58)),"")</f>
        <v>9999</v>
      </c>
      <c r="C60" s="2">
        <f t="array" ref="C60">IFERROR(INDEX('Product Price'!C:C,SMALL('Product Price'!$D:$D,58)),"")</f>
        <v>49</v>
      </c>
      <c r="D60" s="2">
        <f t="shared" si="1"/>
        <v>795</v>
      </c>
      <c r="E60" s="29">
        <f t="shared" si="2"/>
        <v>10794</v>
      </c>
      <c r="F60" s="25">
        <f t="shared" si="3"/>
        <v>2000</v>
      </c>
      <c r="G60" s="29">
        <f t="shared" si="4"/>
        <v>7999</v>
      </c>
      <c r="H60" s="29">
        <f t="shared" si="5"/>
        <v>8794</v>
      </c>
      <c r="I60" s="2">
        <f t="shared" si="6"/>
        <v>1677</v>
      </c>
      <c r="J60" s="2">
        <f t="shared" si="7"/>
        <v>1154</v>
      </c>
      <c r="K60" s="2">
        <f t="shared" si="8"/>
        <v>893</v>
      </c>
      <c r="L60" s="2">
        <f t="shared" si="9"/>
        <v>736</v>
      </c>
      <c r="M60" s="2">
        <f t="shared" si="10"/>
        <v>631</v>
      </c>
      <c r="N60" s="2">
        <f t="shared" si="11"/>
        <v>501</v>
      </c>
      <c r="O60" s="25">
        <f t="shared" si="12"/>
        <v>2500</v>
      </c>
      <c r="P60" s="29">
        <f t="shared" si="13"/>
        <v>7499</v>
      </c>
      <c r="Q60" s="29">
        <f t="shared" si="14"/>
        <v>8294</v>
      </c>
      <c r="R60" s="2">
        <f t="shared" si="15"/>
        <v>1582</v>
      </c>
      <c r="S60" s="2">
        <f t="shared" si="16"/>
        <v>1089</v>
      </c>
      <c r="T60" s="2">
        <f t="shared" si="17"/>
        <v>842</v>
      </c>
      <c r="U60" s="2">
        <f t="shared" si="18"/>
        <v>694</v>
      </c>
      <c r="V60" s="2">
        <f t="shared" si="19"/>
        <v>596</v>
      </c>
      <c r="W60" s="2">
        <f t="shared" si="20"/>
        <v>472</v>
      </c>
      <c r="X60" s="25">
        <f t="shared" si="21"/>
        <v>3000</v>
      </c>
      <c r="Y60" s="29">
        <f t="shared" si="22"/>
        <v>6999</v>
      </c>
      <c r="Z60" s="29">
        <f t="shared" si="23"/>
        <v>7794</v>
      </c>
      <c r="AA60" s="2">
        <f t="shared" si="24"/>
        <v>1486</v>
      </c>
      <c r="AB60" s="2">
        <f t="shared" si="25"/>
        <v>1023</v>
      </c>
      <c r="AC60" s="2">
        <f t="shared" si="26"/>
        <v>791</v>
      </c>
      <c r="AD60" s="2">
        <f t="shared" si="27"/>
        <v>652</v>
      </c>
      <c r="AE60" s="2">
        <f t="shared" si="28"/>
        <v>560</v>
      </c>
      <c r="AF60" s="2">
        <f t="shared" si="29"/>
        <v>444</v>
      </c>
      <c r="AG60" s="25">
        <f t="shared" si="30"/>
        <v>3500</v>
      </c>
      <c r="AH60" s="29">
        <f t="shared" si="31"/>
        <v>6499</v>
      </c>
      <c r="AI60" s="29">
        <f t="shared" si="32"/>
        <v>7294</v>
      </c>
      <c r="AJ60" s="2">
        <f t="shared" si="33"/>
        <v>1391</v>
      </c>
      <c r="AK60" s="2">
        <f t="shared" si="34"/>
        <v>957</v>
      </c>
      <c r="AL60" s="2">
        <f t="shared" si="35"/>
        <v>741</v>
      </c>
      <c r="AM60" s="2">
        <f t="shared" si="36"/>
        <v>611</v>
      </c>
      <c r="AN60" s="2">
        <f t="shared" si="37"/>
        <v>524</v>
      </c>
      <c r="AO60" s="2">
        <f t="shared" si="38"/>
        <v>415</v>
      </c>
      <c r="AP60" s="25">
        <f t="shared" si="39"/>
        <v>4000</v>
      </c>
      <c r="AQ60" s="29">
        <f t="shared" si="40"/>
        <v>5999</v>
      </c>
      <c r="AR60" s="29">
        <f t="shared" si="41"/>
        <v>6794</v>
      </c>
      <c r="AS60" s="2">
        <f t="shared" si="42"/>
        <v>1296</v>
      </c>
      <c r="AT60" s="2">
        <f t="shared" si="43"/>
        <v>892</v>
      </c>
      <c r="AU60" s="2">
        <f t="shared" si="44"/>
        <v>690</v>
      </c>
      <c r="AV60" s="2">
        <f t="shared" si="45"/>
        <v>569</v>
      </c>
      <c r="AW60" s="2">
        <f t="shared" si="46"/>
        <v>488</v>
      </c>
      <c r="AX60" s="2" t="str">
        <f t="shared" si="47"/>
        <v>-</v>
      </c>
    </row>
    <row r="61" ht="14.25" customHeight="1">
      <c r="A61" s="2" t="str">
        <f t="array" ref="A61">IFERROR(INDEX('Product Price'!A:A,SMALL('Product Price'!$D:$D,59)),"")</f>
        <v>realme C85 5G 8/128 GB</v>
      </c>
      <c r="B61" s="29">
        <f t="array" ref="B61">IFERROR(INDEX('Product Price'!B:B,SMALL('Product Price'!$D:$D,59)),"")</f>
        <v>8999</v>
      </c>
      <c r="C61" s="2">
        <f t="array" ref="C61">IFERROR(INDEX('Product Price'!C:C,SMALL('Product Price'!$D:$D,59)),"")</f>
        <v>50</v>
      </c>
      <c r="D61" s="2">
        <f t="shared" si="1"/>
        <v>795</v>
      </c>
      <c r="E61" s="29">
        <f t="shared" si="2"/>
        <v>9794</v>
      </c>
      <c r="F61" s="25">
        <f t="shared" si="3"/>
        <v>1800</v>
      </c>
      <c r="G61" s="29">
        <f t="shared" si="4"/>
        <v>7199</v>
      </c>
      <c r="H61" s="29">
        <f t="shared" si="5"/>
        <v>7994</v>
      </c>
      <c r="I61" s="2">
        <f t="shared" si="6"/>
        <v>1524</v>
      </c>
      <c r="J61" s="2">
        <f t="shared" si="7"/>
        <v>1049</v>
      </c>
      <c r="K61" s="2">
        <f t="shared" si="8"/>
        <v>812</v>
      </c>
      <c r="L61" s="2">
        <f t="shared" si="9"/>
        <v>669</v>
      </c>
      <c r="M61" s="2">
        <f t="shared" si="10"/>
        <v>574</v>
      </c>
      <c r="N61" s="2">
        <f t="shared" si="11"/>
        <v>455</v>
      </c>
      <c r="O61" s="25">
        <f t="shared" si="12"/>
        <v>2250</v>
      </c>
      <c r="P61" s="29">
        <f t="shared" si="13"/>
        <v>6749</v>
      </c>
      <c r="Q61" s="29">
        <f t="shared" si="14"/>
        <v>7544</v>
      </c>
      <c r="R61" s="2">
        <f t="shared" si="15"/>
        <v>1439</v>
      </c>
      <c r="S61" s="2">
        <f t="shared" si="16"/>
        <v>990</v>
      </c>
      <c r="T61" s="2">
        <f t="shared" si="17"/>
        <v>766</v>
      </c>
      <c r="U61" s="2">
        <f t="shared" si="18"/>
        <v>631</v>
      </c>
      <c r="V61" s="2">
        <f t="shared" si="19"/>
        <v>542</v>
      </c>
      <c r="W61" s="2">
        <f t="shared" si="20"/>
        <v>430</v>
      </c>
      <c r="X61" s="25">
        <f t="shared" si="21"/>
        <v>2700</v>
      </c>
      <c r="Y61" s="29">
        <f t="shared" si="22"/>
        <v>6299</v>
      </c>
      <c r="Z61" s="29">
        <f t="shared" si="23"/>
        <v>7094</v>
      </c>
      <c r="AA61" s="2">
        <f t="shared" si="24"/>
        <v>1353</v>
      </c>
      <c r="AB61" s="2">
        <f t="shared" si="25"/>
        <v>931</v>
      </c>
      <c r="AC61" s="2">
        <f t="shared" si="26"/>
        <v>720</v>
      </c>
      <c r="AD61" s="2">
        <f t="shared" si="27"/>
        <v>594</v>
      </c>
      <c r="AE61" s="2">
        <f t="shared" si="28"/>
        <v>509</v>
      </c>
      <c r="AF61" s="2">
        <f t="shared" si="29"/>
        <v>404</v>
      </c>
      <c r="AG61" s="25">
        <f t="shared" si="30"/>
        <v>3150</v>
      </c>
      <c r="AH61" s="29">
        <f t="shared" si="31"/>
        <v>5849</v>
      </c>
      <c r="AI61" s="29">
        <f t="shared" si="32"/>
        <v>6644</v>
      </c>
      <c r="AJ61" s="2">
        <f t="shared" si="33"/>
        <v>1267</v>
      </c>
      <c r="AK61" s="2">
        <f t="shared" si="34"/>
        <v>872</v>
      </c>
      <c r="AL61" s="2">
        <f t="shared" si="35"/>
        <v>675</v>
      </c>
      <c r="AM61" s="2">
        <f t="shared" si="36"/>
        <v>556</v>
      </c>
      <c r="AN61" s="2">
        <f t="shared" si="37"/>
        <v>477</v>
      </c>
      <c r="AO61" s="2" t="str">
        <f t="shared" si="38"/>
        <v>-</v>
      </c>
      <c r="AP61" s="25">
        <f t="shared" si="39"/>
        <v>3600</v>
      </c>
      <c r="AQ61" s="29">
        <f t="shared" si="40"/>
        <v>5399</v>
      </c>
      <c r="AR61" s="29">
        <f t="shared" si="41"/>
        <v>6194</v>
      </c>
      <c r="AS61" s="2">
        <f t="shared" si="42"/>
        <v>1181</v>
      </c>
      <c r="AT61" s="2">
        <f t="shared" si="43"/>
        <v>813</v>
      </c>
      <c r="AU61" s="2">
        <f t="shared" si="44"/>
        <v>629</v>
      </c>
      <c r="AV61" s="2">
        <f t="shared" si="45"/>
        <v>519</v>
      </c>
      <c r="AW61" s="2">
        <f t="shared" si="46"/>
        <v>445</v>
      </c>
      <c r="AX61" s="2" t="str">
        <f t="shared" si="47"/>
        <v>-</v>
      </c>
    </row>
    <row r="62" ht="14.25" customHeight="1">
      <c r="A62" s="2" t="str">
        <f t="array" ref="A62">IFERROR(INDEX('Product Price'!A:A,SMALL('Product Price'!$D:$D,60)),"")</f>
        <v>realme C85 4G 8/128 GB</v>
      </c>
      <c r="B62" s="29">
        <f t="array" ref="B62">IFERROR(INDEX('Product Price'!B:B,SMALL('Product Price'!$D:$D,60)),"")</f>
        <v>5999</v>
      </c>
      <c r="C62" s="2">
        <f t="array" ref="C62">IFERROR(INDEX('Product Price'!C:C,SMALL('Product Price'!$D:$D,60)),"")</f>
        <v>51</v>
      </c>
      <c r="D62" s="2">
        <f t="shared" si="1"/>
        <v>795</v>
      </c>
      <c r="E62" s="29">
        <f t="shared" si="2"/>
        <v>6794</v>
      </c>
      <c r="F62" s="25">
        <f t="shared" si="3"/>
        <v>1200</v>
      </c>
      <c r="G62" s="29">
        <f t="shared" si="4"/>
        <v>4799</v>
      </c>
      <c r="H62" s="29">
        <f t="shared" si="5"/>
        <v>5594</v>
      </c>
      <c r="I62" s="2">
        <f t="shared" si="6"/>
        <v>1067</v>
      </c>
      <c r="J62" s="2">
        <f t="shared" si="7"/>
        <v>734</v>
      </c>
      <c r="K62" s="2">
        <f t="shared" si="8"/>
        <v>568</v>
      </c>
      <c r="L62" s="2">
        <f t="shared" si="9"/>
        <v>468</v>
      </c>
      <c r="M62" s="2">
        <f t="shared" si="10"/>
        <v>402</v>
      </c>
      <c r="N62" s="2" t="str">
        <f t="shared" si="11"/>
        <v>-</v>
      </c>
      <c r="O62" s="25">
        <f t="shared" si="12"/>
        <v>1500</v>
      </c>
      <c r="P62" s="29">
        <f t="shared" si="13"/>
        <v>4499</v>
      </c>
      <c r="Q62" s="29">
        <f t="shared" si="14"/>
        <v>5294</v>
      </c>
      <c r="R62" s="2">
        <f t="shared" si="15"/>
        <v>1010</v>
      </c>
      <c r="S62" s="2">
        <f t="shared" si="16"/>
        <v>695</v>
      </c>
      <c r="T62" s="2">
        <f t="shared" si="17"/>
        <v>538</v>
      </c>
      <c r="U62" s="2">
        <f t="shared" si="18"/>
        <v>443</v>
      </c>
      <c r="V62" s="2" t="str">
        <f t="shared" si="19"/>
        <v>-</v>
      </c>
      <c r="W62" s="2" t="str">
        <f t="shared" si="20"/>
        <v>-</v>
      </c>
      <c r="X62" s="25">
        <f t="shared" si="21"/>
        <v>1800</v>
      </c>
      <c r="Y62" s="29">
        <f t="shared" si="22"/>
        <v>4199</v>
      </c>
      <c r="Z62" s="29">
        <f t="shared" si="23"/>
        <v>4994</v>
      </c>
      <c r="AA62" s="2">
        <f t="shared" si="24"/>
        <v>953</v>
      </c>
      <c r="AB62" s="2">
        <f t="shared" si="25"/>
        <v>656</v>
      </c>
      <c r="AC62" s="2">
        <f t="shared" si="26"/>
        <v>507</v>
      </c>
      <c r="AD62" s="2">
        <f t="shared" si="27"/>
        <v>418</v>
      </c>
      <c r="AE62" s="2" t="str">
        <f t="shared" si="28"/>
        <v>-</v>
      </c>
      <c r="AF62" s="2" t="str">
        <f t="shared" si="29"/>
        <v>-</v>
      </c>
      <c r="AG62" s="25">
        <f t="shared" si="30"/>
        <v>2100</v>
      </c>
      <c r="AH62" s="29">
        <f t="shared" si="31"/>
        <v>3899</v>
      </c>
      <c r="AI62" s="29">
        <f t="shared" si="32"/>
        <v>4694</v>
      </c>
      <c r="AJ62" s="2">
        <f t="shared" si="33"/>
        <v>895</v>
      </c>
      <c r="AK62" s="2">
        <f t="shared" si="34"/>
        <v>616</v>
      </c>
      <c r="AL62" s="2">
        <f t="shared" si="35"/>
        <v>477</v>
      </c>
      <c r="AM62" s="2" t="str">
        <f t="shared" si="36"/>
        <v>-</v>
      </c>
      <c r="AN62" s="2" t="str">
        <f t="shared" si="37"/>
        <v>-</v>
      </c>
      <c r="AO62" s="2" t="str">
        <f t="shared" si="38"/>
        <v>-</v>
      </c>
      <c r="AP62" s="25">
        <f t="shared" si="39"/>
        <v>2400</v>
      </c>
      <c r="AQ62" s="29">
        <f t="shared" si="40"/>
        <v>3599</v>
      </c>
      <c r="AR62" s="29">
        <f t="shared" si="41"/>
        <v>4394</v>
      </c>
      <c r="AS62" s="2">
        <f t="shared" si="42"/>
        <v>838</v>
      </c>
      <c r="AT62" s="2">
        <f t="shared" si="43"/>
        <v>577</v>
      </c>
      <c r="AU62" s="2">
        <f t="shared" si="44"/>
        <v>446</v>
      </c>
      <c r="AV62" s="2" t="str">
        <f t="shared" si="45"/>
        <v>-</v>
      </c>
      <c r="AW62" s="2" t="str">
        <f t="shared" si="46"/>
        <v>-</v>
      </c>
      <c r="AX62" s="2" t="str">
        <f t="shared" si="47"/>
        <v>-</v>
      </c>
    </row>
    <row r="63" ht="14.25" customHeight="1">
      <c r="A63" s="2" t="str">
        <f t="array" ref="A63">IFERROR(INDEX('Product Price'!A:A,SMALL('Product Price'!$D:$D,61)),"")</f>
        <v>realme C100 5G 6/128 GB</v>
      </c>
      <c r="B63" s="2">
        <f t="array" ref="B63">IFERROR(INDEX('Product Price'!B:B,SMALL('Product Price'!$D:$D,61)),"")</f>
        <v>8499</v>
      </c>
      <c r="C63" s="2">
        <f t="array" ref="C63">IFERROR(INDEX('Product Price'!C:C,SMALL('Product Price'!$D:$D,61)),"")</f>
        <v>52</v>
      </c>
      <c r="D63" s="2">
        <f t="shared" si="1"/>
        <v>795</v>
      </c>
      <c r="E63" s="2">
        <f t="shared" si="2"/>
        <v>9294</v>
      </c>
      <c r="F63" s="2">
        <f t="shared" si="3"/>
        <v>1700</v>
      </c>
      <c r="G63" s="2">
        <f t="shared" si="4"/>
        <v>6799</v>
      </c>
      <c r="H63" s="2">
        <f t="shared" si="5"/>
        <v>7594</v>
      </c>
      <c r="I63" s="2">
        <f t="shared" si="6"/>
        <v>1448</v>
      </c>
      <c r="J63" s="2">
        <f t="shared" si="7"/>
        <v>997</v>
      </c>
      <c r="K63" s="2">
        <f t="shared" si="8"/>
        <v>771</v>
      </c>
      <c r="L63" s="2">
        <f t="shared" si="9"/>
        <v>636</v>
      </c>
      <c r="M63" s="2">
        <f t="shared" si="10"/>
        <v>545</v>
      </c>
      <c r="N63" s="2">
        <f t="shared" si="11"/>
        <v>433</v>
      </c>
      <c r="O63" s="2">
        <f t="shared" si="12"/>
        <v>2125</v>
      </c>
      <c r="P63" s="2">
        <f t="shared" si="13"/>
        <v>6374</v>
      </c>
      <c r="Q63" s="2">
        <f t="shared" si="14"/>
        <v>7169</v>
      </c>
      <c r="R63" s="2">
        <f t="shared" si="15"/>
        <v>1367</v>
      </c>
      <c r="S63" s="2">
        <f t="shared" si="16"/>
        <v>941</v>
      </c>
      <c r="T63" s="2">
        <f t="shared" si="17"/>
        <v>728</v>
      </c>
      <c r="U63" s="2">
        <f t="shared" si="18"/>
        <v>600</v>
      </c>
      <c r="V63" s="2">
        <f t="shared" si="19"/>
        <v>515</v>
      </c>
      <c r="W63" s="2">
        <f t="shared" si="20"/>
        <v>408</v>
      </c>
      <c r="X63" s="2">
        <f t="shared" si="21"/>
        <v>2550</v>
      </c>
      <c r="Y63" s="2">
        <f t="shared" si="22"/>
        <v>5949</v>
      </c>
      <c r="Z63" s="2">
        <f t="shared" si="23"/>
        <v>6744</v>
      </c>
      <c r="AA63" s="2">
        <f t="shared" si="24"/>
        <v>1286</v>
      </c>
      <c r="AB63" s="2">
        <f t="shared" si="25"/>
        <v>885</v>
      </c>
      <c r="AC63" s="2">
        <f t="shared" si="26"/>
        <v>685</v>
      </c>
      <c r="AD63" s="2">
        <f t="shared" si="27"/>
        <v>565</v>
      </c>
      <c r="AE63" s="2">
        <f t="shared" si="28"/>
        <v>484</v>
      </c>
      <c r="AF63" s="2" t="str">
        <f t="shared" si="29"/>
        <v>-</v>
      </c>
      <c r="AG63" s="2">
        <f t="shared" si="30"/>
        <v>2975</v>
      </c>
      <c r="AH63" s="2">
        <f t="shared" si="31"/>
        <v>5524</v>
      </c>
      <c r="AI63" s="2">
        <f t="shared" si="32"/>
        <v>6319</v>
      </c>
      <c r="AJ63" s="2">
        <f t="shared" si="33"/>
        <v>1205</v>
      </c>
      <c r="AK63" s="2">
        <f t="shared" si="34"/>
        <v>830</v>
      </c>
      <c r="AL63" s="2">
        <f t="shared" si="35"/>
        <v>642</v>
      </c>
      <c r="AM63" s="2">
        <f t="shared" si="36"/>
        <v>529</v>
      </c>
      <c r="AN63" s="2">
        <f t="shared" si="37"/>
        <v>454</v>
      </c>
      <c r="AO63" s="2" t="str">
        <f t="shared" si="38"/>
        <v>-</v>
      </c>
      <c r="AP63" s="2">
        <f t="shared" si="39"/>
        <v>3400</v>
      </c>
      <c r="AQ63" s="2">
        <f t="shared" si="40"/>
        <v>5099</v>
      </c>
      <c r="AR63" s="2">
        <f t="shared" si="41"/>
        <v>5894</v>
      </c>
      <c r="AS63" s="2">
        <f t="shared" si="42"/>
        <v>1124</v>
      </c>
      <c r="AT63" s="2">
        <f t="shared" si="43"/>
        <v>774</v>
      </c>
      <c r="AU63" s="2">
        <f t="shared" si="44"/>
        <v>599</v>
      </c>
      <c r="AV63" s="2">
        <f t="shared" si="45"/>
        <v>493</v>
      </c>
      <c r="AW63" s="2">
        <f t="shared" si="46"/>
        <v>423</v>
      </c>
      <c r="AX63" s="2" t="str">
        <f t="shared" si="47"/>
        <v>-</v>
      </c>
    </row>
    <row r="64" ht="14.25" customHeight="1">
      <c r="A64" s="2" t="str">
        <f t="array" ref="A64">IFERROR(INDEX('Product Price'!A:A,SMALL('Product Price'!$D:$D,62)),"")</f>
        <v>realme C100 5G 4/128 GB</v>
      </c>
      <c r="B64" s="2">
        <f t="array" ref="B64">IFERROR(INDEX('Product Price'!B:B,SMALL('Product Price'!$D:$D,62)),"")</f>
        <v>7999</v>
      </c>
      <c r="C64" s="2">
        <f t="array" ref="C64">IFERROR(INDEX('Product Price'!C:C,SMALL('Product Price'!$D:$D,62)),"")</f>
        <v>53</v>
      </c>
      <c r="D64" s="2">
        <f t="shared" si="1"/>
        <v>795</v>
      </c>
      <c r="E64" s="2">
        <f t="shared" si="2"/>
        <v>8794</v>
      </c>
      <c r="F64" s="2">
        <f t="shared" si="3"/>
        <v>1600</v>
      </c>
      <c r="G64" s="2">
        <f t="shared" si="4"/>
        <v>6399</v>
      </c>
      <c r="H64" s="2">
        <f t="shared" si="5"/>
        <v>7194</v>
      </c>
      <c r="I64" s="2">
        <f t="shared" si="6"/>
        <v>1372</v>
      </c>
      <c r="J64" s="2">
        <f t="shared" si="7"/>
        <v>944</v>
      </c>
      <c r="K64" s="2">
        <f t="shared" si="8"/>
        <v>730</v>
      </c>
      <c r="L64" s="2">
        <f t="shared" si="9"/>
        <v>602</v>
      </c>
      <c r="M64" s="2">
        <f t="shared" si="10"/>
        <v>517</v>
      </c>
      <c r="N64" s="2">
        <f t="shared" si="11"/>
        <v>410</v>
      </c>
      <c r="O64" s="2">
        <f t="shared" si="12"/>
        <v>2000</v>
      </c>
      <c r="P64" s="2">
        <f t="shared" si="13"/>
        <v>5999</v>
      </c>
      <c r="Q64" s="2">
        <f t="shared" si="14"/>
        <v>6794</v>
      </c>
      <c r="R64" s="2">
        <f t="shared" si="15"/>
        <v>1296</v>
      </c>
      <c r="S64" s="2">
        <f t="shared" si="16"/>
        <v>892</v>
      </c>
      <c r="T64" s="2">
        <f t="shared" si="17"/>
        <v>690</v>
      </c>
      <c r="U64" s="2">
        <f t="shared" si="18"/>
        <v>569</v>
      </c>
      <c r="V64" s="2">
        <f t="shared" si="19"/>
        <v>488</v>
      </c>
      <c r="W64" s="2" t="str">
        <f t="shared" si="20"/>
        <v>-</v>
      </c>
      <c r="X64" s="2">
        <f t="shared" si="21"/>
        <v>2400</v>
      </c>
      <c r="Y64" s="2">
        <f t="shared" si="22"/>
        <v>5599</v>
      </c>
      <c r="Z64" s="2">
        <f t="shared" si="23"/>
        <v>6394</v>
      </c>
      <c r="AA64" s="2">
        <f t="shared" si="24"/>
        <v>1219</v>
      </c>
      <c r="AB64" s="2">
        <f t="shared" si="25"/>
        <v>839</v>
      </c>
      <c r="AC64" s="2">
        <f t="shared" si="26"/>
        <v>649</v>
      </c>
      <c r="AD64" s="2">
        <f t="shared" si="27"/>
        <v>535</v>
      </c>
      <c r="AE64" s="2">
        <f t="shared" si="28"/>
        <v>459</v>
      </c>
      <c r="AF64" s="2" t="str">
        <f t="shared" si="29"/>
        <v>-</v>
      </c>
      <c r="AG64" s="2">
        <f t="shared" si="30"/>
        <v>2800</v>
      </c>
      <c r="AH64" s="2">
        <f t="shared" si="31"/>
        <v>5199</v>
      </c>
      <c r="AI64" s="2">
        <f t="shared" si="32"/>
        <v>5994</v>
      </c>
      <c r="AJ64" s="2">
        <f t="shared" si="33"/>
        <v>1143</v>
      </c>
      <c r="AK64" s="2">
        <f t="shared" si="34"/>
        <v>787</v>
      </c>
      <c r="AL64" s="2">
        <f t="shared" si="35"/>
        <v>609</v>
      </c>
      <c r="AM64" s="2">
        <f t="shared" si="36"/>
        <v>502</v>
      </c>
      <c r="AN64" s="2">
        <f t="shared" si="37"/>
        <v>431</v>
      </c>
      <c r="AO64" s="2" t="str">
        <f t="shared" si="38"/>
        <v>-</v>
      </c>
      <c r="AP64" s="2">
        <f t="shared" si="39"/>
        <v>3200</v>
      </c>
      <c r="AQ64" s="2">
        <f t="shared" si="40"/>
        <v>4799</v>
      </c>
      <c r="AR64" s="2">
        <f t="shared" si="41"/>
        <v>5594</v>
      </c>
      <c r="AS64" s="2">
        <f t="shared" si="42"/>
        <v>1067</v>
      </c>
      <c r="AT64" s="2">
        <f t="shared" si="43"/>
        <v>734</v>
      </c>
      <c r="AU64" s="2">
        <f t="shared" si="44"/>
        <v>568</v>
      </c>
      <c r="AV64" s="2">
        <f t="shared" si="45"/>
        <v>468</v>
      </c>
      <c r="AW64" s="2">
        <f t="shared" si="46"/>
        <v>402</v>
      </c>
      <c r="AX64" s="2" t="str">
        <f t="shared" si="47"/>
        <v>-</v>
      </c>
    </row>
    <row r="65" ht="14.25" customHeight="1">
      <c r="A65" s="2" t="str">
        <f t="array" ref="A65">IFERROR(INDEX('Product Price'!A:A,SMALL('Product Price'!$D:$D,63)),"")</f>
        <v>realme C100X 4G 4/256 GB</v>
      </c>
      <c r="B65" s="2">
        <f t="array" ref="B65">IFERROR(INDEX('Product Price'!B:B,SMALL('Product Price'!$D:$D,63)),"")</f>
        <v>6999</v>
      </c>
      <c r="C65" s="2">
        <f t="array" ref="C65">IFERROR(INDEX('Product Price'!C:C,SMALL('Product Price'!$D:$D,63)),"")</f>
        <v>54</v>
      </c>
      <c r="D65" s="2">
        <f t="shared" si="1"/>
        <v>795</v>
      </c>
      <c r="E65" s="2">
        <f t="shared" si="2"/>
        <v>7794</v>
      </c>
      <c r="F65" s="2">
        <f t="shared" si="3"/>
        <v>1400</v>
      </c>
      <c r="G65" s="2">
        <f t="shared" si="4"/>
        <v>5599</v>
      </c>
      <c r="H65" s="2">
        <f t="shared" si="5"/>
        <v>6394</v>
      </c>
      <c r="I65" s="2">
        <f t="shared" si="6"/>
        <v>1219</v>
      </c>
      <c r="J65" s="2">
        <f t="shared" si="7"/>
        <v>839</v>
      </c>
      <c r="K65" s="2">
        <f t="shared" si="8"/>
        <v>649</v>
      </c>
      <c r="L65" s="2">
        <f t="shared" si="9"/>
        <v>535</v>
      </c>
      <c r="M65" s="2">
        <f t="shared" si="10"/>
        <v>459</v>
      </c>
      <c r="N65" s="2" t="str">
        <f t="shared" si="11"/>
        <v>-</v>
      </c>
      <c r="O65" s="2">
        <f t="shared" si="12"/>
        <v>1750</v>
      </c>
      <c r="P65" s="2">
        <f t="shared" si="13"/>
        <v>5249</v>
      </c>
      <c r="Q65" s="2">
        <f t="shared" si="14"/>
        <v>6044</v>
      </c>
      <c r="R65" s="2">
        <f t="shared" si="15"/>
        <v>1153</v>
      </c>
      <c r="S65" s="2">
        <f t="shared" si="16"/>
        <v>793</v>
      </c>
      <c r="T65" s="2">
        <f t="shared" si="17"/>
        <v>614</v>
      </c>
      <c r="U65" s="2">
        <f t="shared" si="18"/>
        <v>506</v>
      </c>
      <c r="V65" s="2">
        <f t="shared" si="19"/>
        <v>434</v>
      </c>
      <c r="W65" s="2" t="str">
        <f t="shared" si="20"/>
        <v>-</v>
      </c>
      <c r="X65" s="2">
        <f t="shared" si="21"/>
        <v>2100</v>
      </c>
      <c r="Y65" s="2">
        <f t="shared" si="22"/>
        <v>4899</v>
      </c>
      <c r="Z65" s="2">
        <f t="shared" si="23"/>
        <v>5694</v>
      </c>
      <c r="AA65" s="2">
        <f t="shared" si="24"/>
        <v>1086</v>
      </c>
      <c r="AB65" s="2">
        <f t="shared" si="25"/>
        <v>748</v>
      </c>
      <c r="AC65" s="2">
        <f t="shared" si="26"/>
        <v>578</v>
      </c>
      <c r="AD65" s="2">
        <f t="shared" si="27"/>
        <v>477</v>
      </c>
      <c r="AE65" s="2">
        <f t="shared" si="28"/>
        <v>409</v>
      </c>
      <c r="AF65" s="2" t="str">
        <f t="shared" si="29"/>
        <v>-</v>
      </c>
      <c r="AG65" s="2">
        <f t="shared" si="30"/>
        <v>2450</v>
      </c>
      <c r="AH65" s="2">
        <f t="shared" si="31"/>
        <v>4549</v>
      </c>
      <c r="AI65" s="2">
        <f t="shared" si="32"/>
        <v>5344</v>
      </c>
      <c r="AJ65" s="2">
        <f t="shared" si="33"/>
        <v>1019</v>
      </c>
      <c r="AK65" s="2">
        <f t="shared" si="34"/>
        <v>702</v>
      </c>
      <c r="AL65" s="2">
        <f t="shared" si="35"/>
        <v>543</v>
      </c>
      <c r="AM65" s="2">
        <f t="shared" si="36"/>
        <v>447</v>
      </c>
      <c r="AN65" s="2" t="str">
        <f t="shared" si="37"/>
        <v>-</v>
      </c>
      <c r="AO65" s="2" t="str">
        <f t="shared" si="38"/>
        <v>-</v>
      </c>
      <c r="AP65" s="2">
        <f t="shared" si="39"/>
        <v>2800</v>
      </c>
      <c r="AQ65" s="2">
        <f t="shared" si="40"/>
        <v>4199</v>
      </c>
      <c r="AR65" s="2">
        <f t="shared" si="41"/>
        <v>4994</v>
      </c>
      <c r="AS65" s="2">
        <f t="shared" si="42"/>
        <v>953</v>
      </c>
      <c r="AT65" s="2">
        <f t="shared" si="43"/>
        <v>656</v>
      </c>
      <c r="AU65" s="2">
        <f t="shared" si="44"/>
        <v>507</v>
      </c>
      <c r="AV65" s="2">
        <f t="shared" si="45"/>
        <v>418</v>
      </c>
      <c r="AW65" s="2" t="str">
        <f t="shared" si="46"/>
        <v>-</v>
      </c>
      <c r="AX65" s="2" t="str">
        <f t="shared" si="47"/>
        <v>-</v>
      </c>
    </row>
    <row r="66" ht="14.25" customHeight="1">
      <c r="A66" s="2" t="str">
        <f t="array" ref="A66">IFERROR(INDEX('Product Price'!A:A,SMALL('Product Price'!$D:$D,64)),"")</f>
        <v>realme C100i 4G 4/128 GB</v>
      </c>
      <c r="B66" s="2">
        <f t="array" ref="B66">IFERROR(INDEX('Product Price'!B:B,SMALL('Product Price'!$D:$D,64)),"")</f>
        <v>6499</v>
      </c>
      <c r="C66" s="2">
        <f t="array" ref="C66">IFERROR(INDEX('Product Price'!C:C,SMALL('Product Price'!$D:$D,64)),"")</f>
        <v>56</v>
      </c>
      <c r="D66" s="2">
        <f t="shared" si="1"/>
        <v>795</v>
      </c>
      <c r="E66" s="2">
        <f t="shared" si="2"/>
        <v>7294</v>
      </c>
      <c r="F66" s="2">
        <f t="shared" si="3"/>
        <v>1300</v>
      </c>
      <c r="G66" s="2">
        <f t="shared" si="4"/>
        <v>5199</v>
      </c>
      <c r="H66" s="2">
        <f t="shared" si="5"/>
        <v>5994</v>
      </c>
      <c r="I66" s="2">
        <f t="shared" si="6"/>
        <v>1143</v>
      </c>
      <c r="J66" s="2">
        <f t="shared" si="7"/>
        <v>787</v>
      </c>
      <c r="K66" s="2">
        <f t="shared" si="8"/>
        <v>609</v>
      </c>
      <c r="L66" s="2">
        <f t="shared" si="9"/>
        <v>502</v>
      </c>
      <c r="M66" s="2">
        <f t="shared" si="10"/>
        <v>431</v>
      </c>
      <c r="N66" s="2" t="str">
        <f t="shared" si="11"/>
        <v>-</v>
      </c>
      <c r="O66" s="2">
        <f t="shared" si="12"/>
        <v>1625</v>
      </c>
      <c r="P66" s="2">
        <f t="shared" si="13"/>
        <v>4874</v>
      </c>
      <c r="Q66" s="2">
        <f t="shared" si="14"/>
        <v>5669</v>
      </c>
      <c r="R66" s="2">
        <f t="shared" si="15"/>
        <v>1081</v>
      </c>
      <c r="S66" s="2">
        <f t="shared" si="16"/>
        <v>744</v>
      </c>
      <c r="T66" s="2">
        <f t="shared" si="17"/>
        <v>576</v>
      </c>
      <c r="U66" s="2">
        <f t="shared" si="18"/>
        <v>475</v>
      </c>
      <c r="V66" s="2">
        <f t="shared" si="19"/>
        <v>407</v>
      </c>
      <c r="W66" s="2" t="str">
        <f t="shared" si="20"/>
        <v>-</v>
      </c>
      <c r="X66" s="2">
        <f t="shared" si="21"/>
        <v>1950</v>
      </c>
      <c r="Y66" s="2">
        <f t="shared" si="22"/>
        <v>4549</v>
      </c>
      <c r="Z66" s="2">
        <f t="shared" si="23"/>
        <v>5344</v>
      </c>
      <c r="AA66" s="2">
        <f t="shared" si="24"/>
        <v>1019</v>
      </c>
      <c r="AB66" s="2">
        <f t="shared" si="25"/>
        <v>702</v>
      </c>
      <c r="AC66" s="2">
        <f t="shared" si="26"/>
        <v>543</v>
      </c>
      <c r="AD66" s="2">
        <f t="shared" si="27"/>
        <v>447</v>
      </c>
      <c r="AE66" s="2" t="str">
        <f t="shared" si="28"/>
        <v>-</v>
      </c>
      <c r="AF66" s="2" t="str">
        <f t="shared" si="29"/>
        <v>-</v>
      </c>
      <c r="AG66" s="2">
        <f t="shared" si="30"/>
        <v>2275</v>
      </c>
      <c r="AH66" s="2">
        <f t="shared" si="31"/>
        <v>4224</v>
      </c>
      <c r="AI66" s="2">
        <f t="shared" si="32"/>
        <v>5019</v>
      </c>
      <c r="AJ66" s="2">
        <f t="shared" si="33"/>
        <v>957</v>
      </c>
      <c r="AK66" s="2">
        <f t="shared" si="34"/>
        <v>659</v>
      </c>
      <c r="AL66" s="2">
        <f t="shared" si="35"/>
        <v>510</v>
      </c>
      <c r="AM66" s="2">
        <f t="shared" si="36"/>
        <v>420</v>
      </c>
      <c r="AN66" s="2" t="str">
        <f t="shared" si="37"/>
        <v>-</v>
      </c>
      <c r="AO66" s="2" t="str">
        <f t="shared" si="38"/>
        <v>-</v>
      </c>
      <c r="AP66" s="2">
        <f t="shared" si="39"/>
        <v>2600</v>
      </c>
      <c r="AQ66" s="2">
        <f t="shared" si="40"/>
        <v>3899</v>
      </c>
      <c r="AR66" s="2">
        <f t="shared" si="41"/>
        <v>4694</v>
      </c>
      <c r="AS66" s="2">
        <f t="shared" si="42"/>
        <v>895</v>
      </c>
      <c r="AT66" s="2">
        <f t="shared" si="43"/>
        <v>616</v>
      </c>
      <c r="AU66" s="2">
        <f t="shared" si="44"/>
        <v>477</v>
      </c>
      <c r="AV66" s="2" t="str">
        <f t="shared" si="45"/>
        <v>-</v>
      </c>
      <c r="AW66" s="2" t="str">
        <f t="shared" si="46"/>
        <v>-</v>
      </c>
      <c r="AX66" s="2" t="str">
        <f t="shared" si="47"/>
        <v>-</v>
      </c>
    </row>
    <row r="67" ht="14.25" customHeight="1">
      <c r="A67" s="2" t="str">
        <f t="array" ref="A67">IFERROR(INDEX('Product Price'!A:A,SMALL('Product Price'!$D:$D,65)),"")</f>
        <v>realme Note 80 4/64 GB</v>
      </c>
      <c r="B67" s="2">
        <f t="array" ref="B67">IFERROR(INDEX('Product Price'!B:B,SMALL('Product Price'!$D:$D,65)),"")</f>
        <v>4999</v>
      </c>
      <c r="C67" s="2">
        <f t="array" ref="C67">IFERROR(INDEX('Product Price'!C:C,SMALL('Product Price'!$D:$D,65)),"")</f>
        <v>249</v>
      </c>
      <c r="D67" s="2">
        <f t="shared" si="1"/>
        <v>795</v>
      </c>
      <c r="E67" s="2">
        <f t="shared" si="2"/>
        <v>5794</v>
      </c>
      <c r="F67" s="2">
        <f t="shared" si="3"/>
        <v>1000</v>
      </c>
      <c r="G67" s="2">
        <f t="shared" si="4"/>
        <v>3999</v>
      </c>
      <c r="H67" s="2">
        <f t="shared" si="5"/>
        <v>4794</v>
      </c>
      <c r="I67" s="2">
        <f t="shared" si="6"/>
        <v>914</v>
      </c>
      <c r="J67" s="2">
        <f t="shared" si="7"/>
        <v>629</v>
      </c>
      <c r="K67" s="2">
        <f t="shared" si="8"/>
        <v>487</v>
      </c>
      <c r="L67" s="2">
        <f t="shared" si="9"/>
        <v>401</v>
      </c>
      <c r="M67" s="2" t="str">
        <f t="shared" si="10"/>
        <v>-</v>
      </c>
      <c r="N67" s="2" t="str">
        <f t="shared" si="11"/>
        <v>-</v>
      </c>
      <c r="O67" s="2">
        <f t="shared" si="12"/>
        <v>1250</v>
      </c>
      <c r="P67" s="2">
        <f t="shared" si="13"/>
        <v>3749</v>
      </c>
      <c r="Q67" s="2">
        <f t="shared" si="14"/>
        <v>4544</v>
      </c>
      <c r="R67" s="2">
        <f t="shared" si="15"/>
        <v>867</v>
      </c>
      <c r="S67" s="2">
        <f t="shared" si="16"/>
        <v>597</v>
      </c>
      <c r="T67" s="2">
        <f t="shared" si="17"/>
        <v>462</v>
      </c>
      <c r="U67" s="2" t="str">
        <f t="shared" si="18"/>
        <v>-</v>
      </c>
      <c r="V67" s="2" t="str">
        <f t="shared" si="19"/>
        <v>-</v>
      </c>
      <c r="W67" s="2" t="str">
        <f t="shared" si="20"/>
        <v>-</v>
      </c>
      <c r="X67" s="2">
        <f t="shared" si="21"/>
        <v>1500</v>
      </c>
      <c r="Y67" s="2">
        <f t="shared" si="22"/>
        <v>3499</v>
      </c>
      <c r="Z67" s="2">
        <f t="shared" si="23"/>
        <v>4294</v>
      </c>
      <c r="AA67" s="2">
        <f t="shared" si="24"/>
        <v>819</v>
      </c>
      <c r="AB67" s="2">
        <f t="shared" si="25"/>
        <v>564</v>
      </c>
      <c r="AC67" s="2">
        <f t="shared" si="26"/>
        <v>436</v>
      </c>
      <c r="AD67" s="2" t="str">
        <f t="shared" si="27"/>
        <v>-</v>
      </c>
      <c r="AE67" s="2" t="str">
        <f t="shared" si="28"/>
        <v>-</v>
      </c>
      <c r="AF67" s="2" t="str">
        <f t="shared" si="29"/>
        <v>-</v>
      </c>
      <c r="AG67" s="2">
        <f t="shared" si="30"/>
        <v>1750</v>
      </c>
      <c r="AH67" s="2">
        <f t="shared" si="31"/>
        <v>3249</v>
      </c>
      <c r="AI67" s="2">
        <f t="shared" si="32"/>
        <v>4044</v>
      </c>
      <c r="AJ67" s="2">
        <f t="shared" si="33"/>
        <v>771</v>
      </c>
      <c r="AK67" s="2">
        <f t="shared" si="34"/>
        <v>531</v>
      </c>
      <c r="AL67" s="2">
        <f t="shared" si="35"/>
        <v>411</v>
      </c>
      <c r="AM67" s="2" t="str">
        <f t="shared" si="36"/>
        <v>-</v>
      </c>
      <c r="AN67" s="2" t="str">
        <f t="shared" si="37"/>
        <v>-</v>
      </c>
      <c r="AO67" s="2" t="str">
        <f t="shared" si="38"/>
        <v>-</v>
      </c>
      <c r="AP67" s="2">
        <f t="shared" si="39"/>
        <v>2000</v>
      </c>
      <c r="AQ67" s="2">
        <f t="shared" si="40"/>
        <v>2999</v>
      </c>
      <c r="AR67" s="2">
        <f t="shared" si="41"/>
        <v>3794</v>
      </c>
      <c r="AS67" s="2">
        <f t="shared" si="42"/>
        <v>724</v>
      </c>
      <c r="AT67" s="2">
        <f t="shared" si="43"/>
        <v>498</v>
      </c>
      <c r="AU67" s="2" t="str">
        <f t="shared" si="44"/>
        <v>-</v>
      </c>
      <c r="AV67" s="2" t="str">
        <f t="shared" si="45"/>
        <v>-</v>
      </c>
      <c r="AW67" s="2" t="str">
        <f t="shared" si="46"/>
        <v>-</v>
      </c>
      <c r="AX67" s="2" t="str">
        <f t="shared" si="47"/>
        <v>-</v>
      </c>
    </row>
    <row r="68" ht="14.25" customHeight="1">
      <c r="A68" s="2" t="str">
        <f t="array" ref="A68">IFERROR(INDEX('Product Price'!A:A,SMALL('Product Price'!$D:$D,66)),"")</f>
        <v>realme PAD3 5G 8/256 GB</v>
      </c>
      <c r="B68" s="2">
        <f t="array" ref="B68">IFERROR(INDEX('Product Price'!B:B,SMALL('Product Price'!$D:$D,66)),"")</f>
        <v>14999</v>
      </c>
      <c r="C68" s="2">
        <f t="array" ref="C68">IFERROR(INDEX('Product Price'!C:C,SMALL('Product Price'!$D:$D,66)),"")</f>
        <v>55</v>
      </c>
      <c r="D68" s="2">
        <f t="shared" si="1"/>
        <v>1450</v>
      </c>
      <c r="E68" s="2">
        <f t="shared" si="2"/>
        <v>16449</v>
      </c>
      <c r="F68" s="2">
        <f t="shared" si="3"/>
        <v>3000</v>
      </c>
      <c r="G68" s="2">
        <f t="shared" si="4"/>
        <v>11999</v>
      </c>
      <c r="H68" s="2">
        <f t="shared" si="5"/>
        <v>13449</v>
      </c>
      <c r="I68" s="2">
        <f t="shared" si="6"/>
        <v>2564</v>
      </c>
      <c r="J68" s="2">
        <f t="shared" si="7"/>
        <v>1765</v>
      </c>
      <c r="K68" s="2">
        <f t="shared" si="8"/>
        <v>1365</v>
      </c>
      <c r="L68" s="2">
        <f t="shared" si="9"/>
        <v>1125</v>
      </c>
      <c r="M68" s="2">
        <f t="shared" si="10"/>
        <v>965</v>
      </c>
      <c r="N68" s="2">
        <f t="shared" si="11"/>
        <v>766</v>
      </c>
      <c r="O68" s="2">
        <f t="shared" si="12"/>
        <v>3750</v>
      </c>
      <c r="P68" s="2">
        <f t="shared" si="13"/>
        <v>11249</v>
      </c>
      <c r="Q68" s="2">
        <f t="shared" si="14"/>
        <v>12699</v>
      </c>
      <c r="R68" s="2">
        <f t="shared" si="15"/>
        <v>2421</v>
      </c>
      <c r="S68" s="2">
        <f t="shared" si="16"/>
        <v>1667</v>
      </c>
      <c r="T68" s="2">
        <f t="shared" si="17"/>
        <v>1289</v>
      </c>
      <c r="U68" s="2">
        <f t="shared" si="18"/>
        <v>1063</v>
      </c>
      <c r="V68" s="2">
        <f t="shared" si="19"/>
        <v>912</v>
      </c>
      <c r="W68" s="2">
        <f t="shared" si="20"/>
        <v>723</v>
      </c>
      <c r="X68" s="2">
        <f t="shared" si="21"/>
        <v>4500</v>
      </c>
      <c r="Y68" s="2">
        <f t="shared" si="22"/>
        <v>10499</v>
      </c>
      <c r="Z68" s="2">
        <f t="shared" si="23"/>
        <v>11949</v>
      </c>
      <c r="AA68" s="2">
        <f t="shared" si="24"/>
        <v>2278</v>
      </c>
      <c r="AB68" s="2">
        <f t="shared" si="25"/>
        <v>1568</v>
      </c>
      <c r="AC68" s="2">
        <f t="shared" si="26"/>
        <v>1213</v>
      </c>
      <c r="AD68" s="2">
        <f t="shared" si="27"/>
        <v>1000</v>
      </c>
      <c r="AE68" s="2">
        <f t="shared" si="28"/>
        <v>858</v>
      </c>
      <c r="AF68" s="2">
        <f t="shared" si="29"/>
        <v>680</v>
      </c>
      <c r="AG68" s="2">
        <f t="shared" si="30"/>
        <v>5250</v>
      </c>
      <c r="AH68" s="2">
        <f t="shared" si="31"/>
        <v>9749</v>
      </c>
      <c r="AI68" s="2">
        <f t="shared" si="32"/>
        <v>11199</v>
      </c>
      <c r="AJ68" s="2">
        <f t="shared" si="33"/>
        <v>2135</v>
      </c>
      <c r="AK68" s="2">
        <f t="shared" si="34"/>
        <v>1470</v>
      </c>
      <c r="AL68" s="2">
        <f t="shared" si="35"/>
        <v>1137</v>
      </c>
      <c r="AM68" s="2">
        <f t="shared" si="36"/>
        <v>937</v>
      </c>
      <c r="AN68" s="2">
        <f t="shared" si="37"/>
        <v>804</v>
      </c>
      <c r="AO68" s="2">
        <f t="shared" si="38"/>
        <v>638</v>
      </c>
      <c r="AP68" s="2">
        <f t="shared" si="39"/>
        <v>6000</v>
      </c>
      <c r="AQ68" s="2">
        <f t="shared" si="40"/>
        <v>8999</v>
      </c>
      <c r="AR68" s="2">
        <f t="shared" si="41"/>
        <v>10449</v>
      </c>
      <c r="AS68" s="2">
        <f t="shared" si="42"/>
        <v>1992</v>
      </c>
      <c r="AT68" s="2">
        <f t="shared" si="43"/>
        <v>1371</v>
      </c>
      <c r="AU68" s="2">
        <f t="shared" si="44"/>
        <v>1061</v>
      </c>
      <c r="AV68" s="2">
        <f t="shared" si="45"/>
        <v>874</v>
      </c>
      <c r="AW68" s="2">
        <f t="shared" si="46"/>
        <v>750</v>
      </c>
      <c r="AX68" s="2">
        <f t="shared" si="47"/>
        <v>595</v>
      </c>
    </row>
    <row r="69" ht="14.25" customHeight="1">
      <c r="A69" s="2" t="str">
        <f t="array" ref="A69">IFERROR(INDEX('Product Price'!A:A,SMALL('Product Price'!$D:$D,67)),"")</f>
        <v>SAMSUNG Galaxy A07 5G 6/128 GB</v>
      </c>
      <c r="B69" s="2">
        <f t="array" ref="B69">IFERROR(INDEX('Product Price'!B:B,SMALL('Product Price'!$D:$D,67)),"")</f>
        <v>5999</v>
      </c>
      <c r="C69" s="2">
        <f t="array" ref="C69">IFERROR(INDEX('Product Price'!C:C,SMALL('Product Price'!$D:$D,67)),"")</f>
        <v>57</v>
      </c>
      <c r="D69" s="2">
        <f t="shared" si="1"/>
        <v>795</v>
      </c>
      <c r="E69" s="2">
        <f t="shared" si="2"/>
        <v>6794</v>
      </c>
      <c r="F69" s="2">
        <f t="shared" si="3"/>
        <v>1200</v>
      </c>
      <c r="G69" s="2">
        <f t="shared" si="4"/>
        <v>4799</v>
      </c>
      <c r="H69" s="2">
        <f t="shared" si="5"/>
        <v>5594</v>
      </c>
      <c r="I69" s="2">
        <f t="shared" si="6"/>
        <v>1067</v>
      </c>
      <c r="J69" s="2">
        <f t="shared" si="7"/>
        <v>734</v>
      </c>
      <c r="K69" s="2">
        <f t="shared" si="8"/>
        <v>568</v>
      </c>
      <c r="L69" s="2">
        <f t="shared" si="9"/>
        <v>468</v>
      </c>
      <c r="M69" s="2">
        <f t="shared" si="10"/>
        <v>402</v>
      </c>
      <c r="N69" s="2" t="str">
        <f t="shared" si="11"/>
        <v>-</v>
      </c>
      <c r="O69" s="2">
        <f t="shared" si="12"/>
        <v>1500</v>
      </c>
      <c r="P69" s="2">
        <f t="shared" si="13"/>
        <v>4499</v>
      </c>
      <c r="Q69" s="2">
        <f t="shared" si="14"/>
        <v>5294</v>
      </c>
      <c r="R69" s="2">
        <f t="shared" si="15"/>
        <v>1010</v>
      </c>
      <c r="S69" s="2">
        <f t="shared" si="16"/>
        <v>695</v>
      </c>
      <c r="T69" s="2">
        <f t="shared" si="17"/>
        <v>538</v>
      </c>
      <c r="U69" s="2">
        <f t="shared" si="18"/>
        <v>443</v>
      </c>
      <c r="V69" s="2" t="str">
        <f t="shared" si="19"/>
        <v>-</v>
      </c>
      <c r="W69" s="2" t="str">
        <f t="shared" si="20"/>
        <v>-</v>
      </c>
      <c r="X69" s="2">
        <f t="shared" si="21"/>
        <v>1800</v>
      </c>
      <c r="Y69" s="2">
        <f t="shared" si="22"/>
        <v>4199</v>
      </c>
      <c r="Z69" s="2">
        <f t="shared" si="23"/>
        <v>4994</v>
      </c>
      <c r="AA69" s="2">
        <f t="shared" si="24"/>
        <v>953</v>
      </c>
      <c r="AB69" s="2">
        <f t="shared" si="25"/>
        <v>656</v>
      </c>
      <c r="AC69" s="2">
        <f t="shared" si="26"/>
        <v>507</v>
      </c>
      <c r="AD69" s="2">
        <f t="shared" si="27"/>
        <v>418</v>
      </c>
      <c r="AE69" s="2" t="str">
        <f t="shared" si="28"/>
        <v>-</v>
      </c>
      <c r="AF69" s="2" t="str">
        <f t="shared" si="29"/>
        <v>-</v>
      </c>
      <c r="AG69" s="2">
        <f t="shared" si="30"/>
        <v>2100</v>
      </c>
      <c r="AH69" s="2">
        <f t="shared" si="31"/>
        <v>3899</v>
      </c>
      <c r="AI69" s="2">
        <f t="shared" si="32"/>
        <v>4694</v>
      </c>
      <c r="AJ69" s="2">
        <f t="shared" si="33"/>
        <v>895</v>
      </c>
      <c r="AK69" s="2">
        <f t="shared" si="34"/>
        <v>616</v>
      </c>
      <c r="AL69" s="2">
        <f t="shared" si="35"/>
        <v>477</v>
      </c>
      <c r="AM69" s="2" t="str">
        <f t="shared" si="36"/>
        <v>-</v>
      </c>
      <c r="AN69" s="2" t="str">
        <f t="shared" si="37"/>
        <v>-</v>
      </c>
      <c r="AO69" s="2" t="str">
        <f t="shared" si="38"/>
        <v>-</v>
      </c>
      <c r="AP69" s="2">
        <f t="shared" si="39"/>
        <v>2400</v>
      </c>
      <c r="AQ69" s="2">
        <f t="shared" si="40"/>
        <v>3599</v>
      </c>
      <c r="AR69" s="2">
        <f t="shared" si="41"/>
        <v>4394</v>
      </c>
      <c r="AS69" s="2">
        <f t="shared" si="42"/>
        <v>838</v>
      </c>
      <c r="AT69" s="2">
        <f t="shared" si="43"/>
        <v>577</v>
      </c>
      <c r="AU69" s="2">
        <f t="shared" si="44"/>
        <v>446</v>
      </c>
      <c r="AV69" s="2" t="str">
        <f t="shared" si="45"/>
        <v>-</v>
      </c>
      <c r="AW69" s="2" t="str">
        <f t="shared" si="46"/>
        <v>-</v>
      </c>
      <c r="AX69" s="2" t="str">
        <f t="shared" si="47"/>
        <v>-</v>
      </c>
    </row>
    <row r="70" ht="14.25" customHeight="1">
      <c r="A70" s="2" t="str">
        <f t="array" ref="A70">IFERROR(INDEX('Product Price'!A:A,SMALL('Product Price'!$D:$D,68)),"")</f>
        <v>SAMSUNG Galaxy A17 LTE 8/128 GB</v>
      </c>
      <c r="B70" s="2">
        <f t="array" ref="B70">IFERROR(INDEX('Product Price'!B:B,SMALL('Product Price'!$D:$D,68)),"")</f>
        <v>6999</v>
      </c>
      <c r="C70" s="2">
        <f t="array" ref="C70">IFERROR(INDEX('Product Price'!C:C,SMALL('Product Price'!$D:$D,68)),"")</f>
        <v>58</v>
      </c>
      <c r="D70" s="2">
        <f t="shared" si="1"/>
        <v>795</v>
      </c>
      <c r="E70" s="2">
        <f t="shared" si="2"/>
        <v>7794</v>
      </c>
      <c r="F70" s="2">
        <f t="shared" si="3"/>
        <v>1400</v>
      </c>
      <c r="G70" s="2">
        <f t="shared" si="4"/>
        <v>5599</v>
      </c>
      <c r="H70" s="2">
        <f t="shared" si="5"/>
        <v>6394</v>
      </c>
      <c r="I70" s="2">
        <f t="shared" si="6"/>
        <v>1219</v>
      </c>
      <c r="J70" s="2">
        <f t="shared" si="7"/>
        <v>839</v>
      </c>
      <c r="K70" s="2">
        <f t="shared" si="8"/>
        <v>649</v>
      </c>
      <c r="L70" s="2">
        <f t="shared" si="9"/>
        <v>535</v>
      </c>
      <c r="M70" s="2">
        <f t="shared" si="10"/>
        <v>459</v>
      </c>
      <c r="N70" s="2" t="str">
        <f t="shared" si="11"/>
        <v>-</v>
      </c>
      <c r="O70" s="2">
        <f t="shared" si="12"/>
        <v>1750</v>
      </c>
      <c r="P70" s="2">
        <f t="shared" si="13"/>
        <v>5249</v>
      </c>
      <c r="Q70" s="2">
        <f t="shared" si="14"/>
        <v>6044</v>
      </c>
      <c r="R70" s="2">
        <f t="shared" si="15"/>
        <v>1153</v>
      </c>
      <c r="S70" s="2">
        <f t="shared" si="16"/>
        <v>793</v>
      </c>
      <c r="T70" s="2">
        <f t="shared" si="17"/>
        <v>614</v>
      </c>
      <c r="U70" s="2">
        <f t="shared" si="18"/>
        <v>506</v>
      </c>
      <c r="V70" s="2">
        <f t="shared" si="19"/>
        <v>434</v>
      </c>
      <c r="W70" s="2" t="str">
        <f t="shared" si="20"/>
        <v>-</v>
      </c>
      <c r="X70" s="2">
        <f t="shared" si="21"/>
        <v>2100</v>
      </c>
      <c r="Y70" s="2">
        <f t="shared" si="22"/>
        <v>4899</v>
      </c>
      <c r="Z70" s="2">
        <f t="shared" si="23"/>
        <v>5694</v>
      </c>
      <c r="AA70" s="2">
        <f t="shared" si="24"/>
        <v>1086</v>
      </c>
      <c r="AB70" s="2">
        <f t="shared" si="25"/>
        <v>748</v>
      </c>
      <c r="AC70" s="2">
        <f t="shared" si="26"/>
        <v>578</v>
      </c>
      <c r="AD70" s="2">
        <f t="shared" si="27"/>
        <v>477</v>
      </c>
      <c r="AE70" s="2">
        <f t="shared" si="28"/>
        <v>409</v>
      </c>
      <c r="AF70" s="2" t="str">
        <f t="shared" si="29"/>
        <v>-</v>
      </c>
      <c r="AG70" s="2">
        <f t="shared" si="30"/>
        <v>2450</v>
      </c>
      <c r="AH70" s="2">
        <f t="shared" si="31"/>
        <v>4549</v>
      </c>
      <c r="AI70" s="2">
        <f t="shared" si="32"/>
        <v>5344</v>
      </c>
      <c r="AJ70" s="2">
        <f t="shared" si="33"/>
        <v>1019</v>
      </c>
      <c r="AK70" s="2">
        <f t="shared" si="34"/>
        <v>702</v>
      </c>
      <c r="AL70" s="2">
        <f t="shared" si="35"/>
        <v>543</v>
      </c>
      <c r="AM70" s="2">
        <f t="shared" si="36"/>
        <v>447</v>
      </c>
      <c r="AN70" s="2" t="str">
        <f t="shared" si="37"/>
        <v>-</v>
      </c>
      <c r="AO70" s="2" t="str">
        <f t="shared" si="38"/>
        <v>-</v>
      </c>
      <c r="AP70" s="2">
        <f t="shared" si="39"/>
        <v>2800</v>
      </c>
      <c r="AQ70" s="2">
        <f t="shared" si="40"/>
        <v>4199</v>
      </c>
      <c r="AR70" s="2">
        <f t="shared" si="41"/>
        <v>4994</v>
      </c>
      <c r="AS70" s="2">
        <f t="shared" si="42"/>
        <v>953</v>
      </c>
      <c r="AT70" s="2">
        <f t="shared" si="43"/>
        <v>656</v>
      </c>
      <c r="AU70" s="2">
        <f t="shared" si="44"/>
        <v>507</v>
      </c>
      <c r="AV70" s="2">
        <f t="shared" si="45"/>
        <v>418</v>
      </c>
      <c r="AW70" s="2" t="str">
        <f t="shared" si="46"/>
        <v>-</v>
      </c>
      <c r="AX70" s="2" t="str">
        <f t="shared" si="47"/>
        <v>-</v>
      </c>
    </row>
    <row r="71" ht="14.25" customHeight="1">
      <c r="A71" s="2" t="str">
        <f t="array" ref="A71">IFERROR(INDEX('Product Price'!A:A,SMALL('Product Price'!$D:$D,69)),"")</f>
        <v>SAMSUNG Galaxy A17 5G 8/128 GB</v>
      </c>
      <c r="B71" s="2">
        <f t="array" ref="B71">IFERROR(INDEX('Product Price'!B:B,SMALL('Product Price'!$D:$D,69)),"")</f>
        <v>7999</v>
      </c>
      <c r="C71" s="2">
        <f t="array" ref="C71">IFERROR(INDEX('Product Price'!C:C,SMALL('Product Price'!$D:$D,69)),"")</f>
        <v>59</v>
      </c>
      <c r="D71" s="2">
        <f t="shared" si="1"/>
        <v>795</v>
      </c>
      <c r="E71" s="2">
        <f t="shared" si="2"/>
        <v>8794</v>
      </c>
      <c r="F71" s="2">
        <f t="shared" si="3"/>
        <v>1600</v>
      </c>
      <c r="G71" s="2">
        <f t="shared" si="4"/>
        <v>6399</v>
      </c>
      <c r="H71" s="2">
        <f t="shared" si="5"/>
        <v>7194</v>
      </c>
      <c r="I71" s="2">
        <f t="shared" si="6"/>
        <v>1372</v>
      </c>
      <c r="J71" s="2">
        <f t="shared" si="7"/>
        <v>944</v>
      </c>
      <c r="K71" s="2">
        <f t="shared" si="8"/>
        <v>730</v>
      </c>
      <c r="L71" s="2">
        <f t="shared" si="9"/>
        <v>602</v>
      </c>
      <c r="M71" s="2">
        <f t="shared" si="10"/>
        <v>517</v>
      </c>
      <c r="N71" s="2">
        <f t="shared" si="11"/>
        <v>410</v>
      </c>
      <c r="O71" s="2">
        <f t="shared" si="12"/>
        <v>2000</v>
      </c>
      <c r="P71" s="2">
        <f t="shared" si="13"/>
        <v>5999</v>
      </c>
      <c r="Q71" s="2">
        <f t="shared" si="14"/>
        <v>6794</v>
      </c>
      <c r="R71" s="2">
        <f t="shared" si="15"/>
        <v>1296</v>
      </c>
      <c r="S71" s="2">
        <f t="shared" si="16"/>
        <v>892</v>
      </c>
      <c r="T71" s="2">
        <f t="shared" si="17"/>
        <v>690</v>
      </c>
      <c r="U71" s="2">
        <f t="shared" si="18"/>
        <v>569</v>
      </c>
      <c r="V71" s="2">
        <f t="shared" si="19"/>
        <v>488</v>
      </c>
      <c r="W71" s="2" t="str">
        <f t="shared" si="20"/>
        <v>-</v>
      </c>
      <c r="X71" s="2">
        <f t="shared" si="21"/>
        <v>2400</v>
      </c>
      <c r="Y71" s="2">
        <f t="shared" si="22"/>
        <v>5599</v>
      </c>
      <c r="Z71" s="2">
        <f t="shared" si="23"/>
        <v>6394</v>
      </c>
      <c r="AA71" s="2">
        <f t="shared" si="24"/>
        <v>1219</v>
      </c>
      <c r="AB71" s="2">
        <f t="shared" si="25"/>
        <v>839</v>
      </c>
      <c r="AC71" s="2">
        <f t="shared" si="26"/>
        <v>649</v>
      </c>
      <c r="AD71" s="2">
        <f t="shared" si="27"/>
        <v>535</v>
      </c>
      <c r="AE71" s="2">
        <f t="shared" si="28"/>
        <v>459</v>
      </c>
      <c r="AF71" s="2" t="str">
        <f t="shared" si="29"/>
        <v>-</v>
      </c>
      <c r="AG71" s="2">
        <f t="shared" si="30"/>
        <v>2800</v>
      </c>
      <c r="AH71" s="2">
        <f t="shared" si="31"/>
        <v>5199</v>
      </c>
      <c r="AI71" s="2">
        <f t="shared" si="32"/>
        <v>5994</v>
      </c>
      <c r="AJ71" s="2">
        <f t="shared" si="33"/>
        <v>1143</v>
      </c>
      <c r="AK71" s="2">
        <f t="shared" si="34"/>
        <v>787</v>
      </c>
      <c r="AL71" s="2">
        <f t="shared" si="35"/>
        <v>609</v>
      </c>
      <c r="AM71" s="2">
        <f t="shared" si="36"/>
        <v>502</v>
      </c>
      <c r="AN71" s="2">
        <f t="shared" si="37"/>
        <v>431</v>
      </c>
      <c r="AO71" s="2" t="str">
        <f t="shared" si="38"/>
        <v>-</v>
      </c>
      <c r="AP71" s="2">
        <f t="shared" si="39"/>
        <v>3200</v>
      </c>
      <c r="AQ71" s="2">
        <f t="shared" si="40"/>
        <v>4799</v>
      </c>
      <c r="AR71" s="2">
        <f t="shared" si="41"/>
        <v>5594</v>
      </c>
      <c r="AS71" s="2">
        <f t="shared" si="42"/>
        <v>1067</v>
      </c>
      <c r="AT71" s="2">
        <f t="shared" si="43"/>
        <v>734</v>
      </c>
      <c r="AU71" s="2">
        <f t="shared" si="44"/>
        <v>568</v>
      </c>
      <c r="AV71" s="2">
        <f t="shared" si="45"/>
        <v>468</v>
      </c>
      <c r="AW71" s="2">
        <f t="shared" si="46"/>
        <v>402</v>
      </c>
      <c r="AX71" s="2" t="str">
        <f t="shared" si="47"/>
        <v>-</v>
      </c>
    </row>
    <row r="72" ht="14.25" customHeight="1">
      <c r="A72" s="2" t="str">
        <f t="array" ref="A72">IFERROR(INDEX('Product Price'!A:A,SMALL('Product Price'!$D:$D,70)),"")</f>
        <v>SAMSUNG Galaxy A17 5G 8/256 GB</v>
      </c>
      <c r="B72" s="2">
        <f t="array" ref="B72">IFERROR(INDEX('Product Price'!B:B,SMALL('Product Price'!$D:$D,70)),"")</f>
        <v>9299</v>
      </c>
      <c r="C72" s="2">
        <f t="array" ref="C72">IFERROR(INDEX('Product Price'!C:C,SMALL('Product Price'!$D:$D,70)),"")</f>
        <v>60</v>
      </c>
      <c r="D72" s="2">
        <f t="shared" si="1"/>
        <v>795</v>
      </c>
      <c r="E72" s="2">
        <f t="shared" si="2"/>
        <v>10094</v>
      </c>
      <c r="F72" s="2">
        <f t="shared" si="3"/>
        <v>1860</v>
      </c>
      <c r="G72" s="2">
        <f t="shared" si="4"/>
        <v>7439</v>
      </c>
      <c r="H72" s="2">
        <f t="shared" si="5"/>
        <v>8234</v>
      </c>
      <c r="I72" s="2">
        <f t="shared" si="6"/>
        <v>1570</v>
      </c>
      <c r="J72" s="2">
        <f t="shared" si="7"/>
        <v>1081</v>
      </c>
      <c r="K72" s="2">
        <f t="shared" si="8"/>
        <v>836</v>
      </c>
      <c r="L72" s="2">
        <f t="shared" si="9"/>
        <v>689</v>
      </c>
      <c r="M72" s="2">
        <f t="shared" si="10"/>
        <v>591</v>
      </c>
      <c r="N72" s="2">
        <f t="shared" si="11"/>
        <v>469</v>
      </c>
      <c r="O72" s="2">
        <f t="shared" si="12"/>
        <v>2325</v>
      </c>
      <c r="P72" s="2">
        <f t="shared" si="13"/>
        <v>6974</v>
      </c>
      <c r="Q72" s="2">
        <f t="shared" si="14"/>
        <v>7769</v>
      </c>
      <c r="R72" s="2">
        <f t="shared" si="15"/>
        <v>1482</v>
      </c>
      <c r="S72" s="2">
        <f t="shared" si="16"/>
        <v>1020</v>
      </c>
      <c r="T72" s="2">
        <f t="shared" si="17"/>
        <v>789</v>
      </c>
      <c r="U72" s="2">
        <f t="shared" si="18"/>
        <v>650</v>
      </c>
      <c r="V72" s="2">
        <f t="shared" si="19"/>
        <v>558</v>
      </c>
      <c r="W72" s="2">
        <f t="shared" si="20"/>
        <v>442</v>
      </c>
      <c r="X72" s="2">
        <f t="shared" si="21"/>
        <v>2790</v>
      </c>
      <c r="Y72" s="2">
        <f t="shared" si="22"/>
        <v>6509</v>
      </c>
      <c r="Z72" s="2">
        <f t="shared" si="23"/>
        <v>7304</v>
      </c>
      <c r="AA72" s="2">
        <f t="shared" si="24"/>
        <v>1393</v>
      </c>
      <c r="AB72" s="2">
        <f t="shared" si="25"/>
        <v>959</v>
      </c>
      <c r="AC72" s="2">
        <f t="shared" si="26"/>
        <v>742</v>
      </c>
      <c r="AD72" s="2">
        <f t="shared" si="27"/>
        <v>611</v>
      </c>
      <c r="AE72" s="2">
        <f t="shared" si="28"/>
        <v>525</v>
      </c>
      <c r="AF72" s="2">
        <f t="shared" si="29"/>
        <v>416</v>
      </c>
      <c r="AG72" s="2">
        <f t="shared" si="30"/>
        <v>3255</v>
      </c>
      <c r="AH72" s="2">
        <f t="shared" si="31"/>
        <v>6044</v>
      </c>
      <c r="AI72" s="2">
        <f t="shared" si="32"/>
        <v>6839</v>
      </c>
      <c r="AJ72" s="2">
        <f t="shared" si="33"/>
        <v>1304</v>
      </c>
      <c r="AK72" s="2">
        <f t="shared" si="34"/>
        <v>898</v>
      </c>
      <c r="AL72" s="2">
        <f t="shared" si="35"/>
        <v>694</v>
      </c>
      <c r="AM72" s="2">
        <f t="shared" si="36"/>
        <v>573</v>
      </c>
      <c r="AN72" s="2">
        <f t="shared" si="37"/>
        <v>491</v>
      </c>
      <c r="AO72" s="2" t="str">
        <f t="shared" si="38"/>
        <v>-</v>
      </c>
      <c r="AP72" s="2">
        <f t="shared" si="39"/>
        <v>3720</v>
      </c>
      <c r="AQ72" s="2">
        <f t="shared" si="40"/>
        <v>5579</v>
      </c>
      <c r="AR72" s="2">
        <f t="shared" si="41"/>
        <v>6374</v>
      </c>
      <c r="AS72" s="2">
        <f t="shared" si="42"/>
        <v>1216</v>
      </c>
      <c r="AT72" s="2">
        <f t="shared" si="43"/>
        <v>837</v>
      </c>
      <c r="AU72" s="2">
        <f t="shared" si="44"/>
        <v>647</v>
      </c>
      <c r="AV72" s="2">
        <f t="shared" si="45"/>
        <v>534</v>
      </c>
      <c r="AW72" s="2">
        <f t="shared" si="46"/>
        <v>458</v>
      </c>
      <c r="AX72" s="2" t="str">
        <f t="shared" si="47"/>
        <v>-</v>
      </c>
    </row>
    <row r="73" ht="14.25" customHeight="1">
      <c r="A73" s="2" t="str">
        <f t="array" ref="A73">IFERROR(INDEX('Product Price'!A:A,SMALL('Product Price'!$D:$D,71)),"")</f>
        <v>SAMSUNG Galaxy A26 5G 8/256 GB</v>
      </c>
      <c r="B73" s="2">
        <f t="array" ref="B73">IFERROR(INDEX('Product Price'!B:B,SMALL('Product Price'!$D:$D,71)),"")</f>
        <v>10999</v>
      </c>
      <c r="C73" s="2">
        <f t="array" ref="C73">IFERROR(INDEX('Product Price'!C:C,SMALL('Product Price'!$D:$D,71)),"")</f>
        <v>61</v>
      </c>
      <c r="D73" s="2">
        <f t="shared" si="1"/>
        <v>1450</v>
      </c>
      <c r="E73" s="2">
        <f t="shared" si="2"/>
        <v>12449</v>
      </c>
      <c r="F73" s="2">
        <f t="shared" si="3"/>
        <v>2200</v>
      </c>
      <c r="G73" s="2">
        <f t="shared" si="4"/>
        <v>8799</v>
      </c>
      <c r="H73" s="2">
        <f t="shared" si="5"/>
        <v>10249</v>
      </c>
      <c r="I73" s="2">
        <f t="shared" si="6"/>
        <v>1954</v>
      </c>
      <c r="J73" s="2">
        <f t="shared" si="7"/>
        <v>1345</v>
      </c>
      <c r="K73" s="2">
        <f t="shared" si="8"/>
        <v>1040</v>
      </c>
      <c r="L73" s="2">
        <f t="shared" si="9"/>
        <v>858</v>
      </c>
      <c r="M73" s="2">
        <f t="shared" si="10"/>
        <v>736</v>
      </c>
      <c r="N73" s="2">
        <f t="shared" si="11"/>
        <v>584</v>
      </c>
      <c r="O73" s="2">
        <f t="shared" si="12"/>
        <v>2750</v>
      </c>
      <c r="P73" s="2">
        <f t="shared" si="13"/>
        <v>8249</v>
      </c>
      <c r="Q73" s="2">
        <f t="shared" si="14"/>
        <v>9699</v>
      </c>
      <c r="R73" s="2">
        <f t="shared" si="15"/>
        <v>1850</v>
      </c>
      <c r="S73" s="2">
        <f t="shared" si="16"/>
        <v>1273</v>
      </c>
      <c r="T73" s="2">
        <f t="shared" si="17"/>
        <v>985</v>
      </c>
      <c r="U73" s="2">
        <f t="shared" si="18"/>
        <v>812</v>
      </c>
      <c r="V73" s="2">
        <f t="shared" si="19"/>
        <v>696</v>
      </c>
      <c r="W73" s="2">
        <f t="shared" si="20"/>
        <v>552</v>
      </c>
      <c r="X73" s="2">
        <f t="shared" si="21"/>
        <v>3300</v>
      </c>
      <c r="Y73" s="2">
        <f t="shared" si="22"/>
        <v>7699</v>
      </c>
      <c r="Z73" s="2">
        <f t="shared" si="23"/>
        <v>9149</v>
      </c>
      <c r="AA73" s="2">
        <f t="shared" si="24"/>
        <v>1745</v>
      </c>
      <c r="AB73" s="2">
        <f t="shared" si="25"/>
        <v>1201</v>
      </c>
      <c r="AC73" s="2">
        <f t="shared" si="26"/>
        <v>929</v>
      </c>
      <c r="AD73" s="2">
        <f t="shared" si="27"/>
        <v>766</v>
      </c>
      <c r="AE73" s="2">
        <f t="shared" si="28"/>
        <v>657</v>
      </c>
      <c r="AF73" s="2">
        <f t="shared" si="29"/>
        <v>521</v>
      </c>
      <c r="AG73" s="2">
        <f t="shared" si="30"/>
        <v>3850</v>
      </c>
      <c r="AH73" s="2">
        <f t="shared" si="31"/>
        <v>7149</v>
      </c>
      <c r="AI73" s="2">
        <f t="shared" si="32"/>
        <v>8599</v>
      </c>
      <c r="AJ73" s="2">
        <f t="shared" si="33"/>
        <v>1640</v>
      </c>
      <c r="AK73" s="2">
        <f t="shared" si="34"/>
        <v>1129</v>
      </c>
      <c r="AL73" s="2">
        <f t="shared" si="35"/>
        <v>873</v>
      </c>
      <c r="AM73" s="2">
        <f t="shared" si="36"/>
        <v>720</v>
      </c>
      <c r="AN73" s="2">
        <f t="shared" si="37"/>
        <v>617</v>
      </c>
      <c r="AO73" s="2">
        <f t="shared" si="38"/>
        <v>490</v>
      </c>
      <c r="AP73" s="2">
        <f t="shared" si="39"/>
        <v>4400</v>
      </c>
      <c r="AQ73" s="2">
        <f t="shared" si="40"/>
        <v>6599</v>
      </c>
      <c r="AR73" s="2">
        <f t="shared" si="41"/>
        <v>8049</v>
      </c>
      <c r="AS73" s="2">
        <f t="shared" si="42"/>
        <v>1535</v>
      </c>
      <c r="AT73" s="2">
        <f t="shared" si="43"/>
        <v>1056</v>
      </c>
      <c r="AU73" s="2">
        <f t="shared" si="44"/>
        <v>817</v>
      </c>
      <c r="AV73" s="2">
        <f t="shared" si="45"/>
        <v>674</v>
      </c>
      <c r="AW73" s="2">
        <f t="shared" si="46"/>
        <v>578</v>
      </c>
      <c r="AX73" s="2">
        <f t="shared" si="47"/>
        <v>458</v>
      </c>
    </row>
    <row r="74" ht="14.25" customHeight="1">
      <c r="A74" s="2" t="str">
        <f t="array" ref="A74">IFERROR(INDEX('Product Price'!A:A,SMALL('Product Price'!$D:$D,72)),"")</f>
        <v>SAMSUNG Galaxy A57 5G 12/512 GB</v>
      </c>
      <c r="B74" s="2">
        <f t="array" ref="B74">IFERROR(INDEX('Product Price'!B:B,SMALL('Product Price'!$D:$D,72)),"")</f>
        <v>20999</v>
      </c>
      <c r="C74" s="2">
        <f t="array" ref="C74">IFERROR(INDEX('Product Price'!C:C,SMALL('Product Price'!$D:$D,72)),"")</f>
        <v>62</v>
      </c>
      <c r="D74" s="2">
        <f t="shared" si="1"/>
        <v>1900</v>
      </c>
      <c r="E74" s="2">
        <f t="shared" si="2"/>
        <v>22899</v>
      </c>
      <c r="F74" s="2">
        <f t="shared" si="3"/>
        <v>4200</v>
      </c>
      <c r="G74" s="2">
        <f t="shared" si="4"/>
        <v>16799</v>
      </c>
      <c r="H74" s="2">
        <f t="shared" si="5"/>
        <v>18699</v>
      </c>
      <c r="I74" s="2">
        <f t="shared" si="6"/>
        <v>3565</v>
      </c>
      <c r="J74" s="2">
        <f t="shared" si="7"/>
        <v>2454</v>
      </c>
      <c r="K74" s="2">
        <f t="shared" si="8"/>
        <v>1898</v>
      </c>
      <c r="L74" s="2">
        <f t="shared" si="9"/>
        <v>1564</v>
      </c>
      <c r="M74" s="2">
        <f t="shared" si="10"/>
        <v>1342</v>
      </c>
      <c r="N74" s="2">
        <f t="shared" si="11"/>
        <v>1064</v>
      </c>
      <c r="O74" s="2">
        <f t="shared" si="12"/>
        <v>5250</v>
      </c>
      <c r="P74" s="2">
        <f t="shared" si="13"/>
        <v>15749</v>
      </c>
      <c r="Q74" s="2">
        <f t="shared" si="14"/>
        <v>17649</v>
      </c>
      <c r="R74" s="2">
        <f t="shared" si="15"/>
        <v>3365</v>
      </c>
      <c r="S74" s="2">
        <f t="shared" si="16"/>
        <v>2316</v>
      </c>
      <c r="T74" s="2">
        <f t="shared" si="17"/>
        <v>1791</v>
      </c>
      <c r="U74" s="2">
        <f t="shared" si="18"/>
        <v>1477</v>
      </c>
      <c r="V74" s="2">
        <f t="shared" si="19"/>
        <v>1267</v>
      </c>
      <c r="W74" s="2">
        <f t="shared" si="20"/>
        <v>1005</v>
      </c>
      <c r="X74" s="2">
        <f t="shared" si="21"/>
        <v>6300</v>
      </c>
      <c r="Y74" s="2">
        <f t="shared" si="22"/>
        <v>14699</v>
      </c>
      <c r="Z74" s="2">
        <f t="shared" si="23"/>
        <v>16599</v>
      </c>
      <c r="AA74" s="2">
        <f t="shared" si="24"/>
        <v>3165</v>
      </c>
      <c r="AB74" s="2">
        <f t="shared" si="25"/>
        <v>2178</v>
      </c>
      <c r="AC74" s="2">
        <f t="shared" si="26"/>
        <v>1685</v>
      </c>
      <c r="AD74" s="2">
        <f t="shared" si="27"/>
        <v>1389</v>
      </c>
      <c r="AE74" s="2">
        <f t="shared" si="28"/>
        <v>1191</v>
      </c>
      <c r="AF74" s="2">
        <f t="shared" si="29"/>
        <v>945</v>
      </c>
      <c r="AG74" s="2">
        <f t="shared" si="30"/>
        <v>7350</v>
      </c>
      <c r="AH74" s="2">
        <f t="shared" si="31"/>
        <v>13649</v>
      </c>
      <c r="AI74" s="2">
        <f t="shared" si="32"/>
        <v>15549</v>
      </c>
      <c r="AJ74" s="2">
        <f t="shared" si="33"/>
        <v>2965</v>
      </c>
      <c r="AK74" s="2">
        <f t="shared" si="34"/>
        <v>2040</v>
      </c>
      <c r="AL74" s="2">
        <f t="shared" si="35"/>
        <v>1578</v>
      </c>
      <c r="AM74" s="2">
        <f t="shared" si="36"/>
        <v>1301</v>
      </c>
      <c r="AN74" s="2">
        <f t="shared" si="37"/>
        <v>1116</v>
      </c>
      <c r="AO74" s="2">
        <f t="shared" si="38"/>
        <v>885</v>
      </c>
      <c r="AP74" s="2">
        <f t="shared" si="39"/>
        <v>8400</v>
      </c>
      <c r="AQ74" s="2">
        <f t="shared" si="40"/>
        <v>12599</v>
      </c>
      <c r="AR74" s="2">
        <f t="shared" si="41"/>
        <v>14499</v>
      </c>
      <c r="AS74" s="2">
        <f t="shared" si="42"/>
        <v>2765</v>
      </c>
      <c r="AT74" s="2">
        <f t="shared" si="43"/>
        <v>1903</v>
      </c>
      <c r="AU74" s="2">
        <f t="shared" si="44"/>
        <v>1472</v>
      </c>
      <c r="AV74" s="2">
        <f t="shared" si="45"/>
        <v>1213</v>
      </c>
      <c r="AW74" s="2">
        <f t="shared" si="46"/>
        <v>1041</v>
      </c>
      <c r="AX74" s="2">
        <f t="shared" si="47"/>
        <v>825</v>
      </c>
    </row>
    <row r="75" ht="14.25" customHeight="1">
      <c r="A75" s="2" t="str">
        <f t="array" ref="A75">IFERROR(INDEX('Product Price'!A:A,SMALL('Product Price'!$D:$D,73)),"")</f>
        <v>SAMSUNG Galaxy A57 5G 12/256 GB</v>
      </c>
      <c r="B75" s="2">
        <f t="array" ref="B75">IFERROR(INDEX('Product Price'!B:B,SMALL('Product Price'!$D:$D,73)),"")</f>
        <v>17999</v>
      </c>
      <c r="C75" s="2">
        <f t="array" ref="C75">IFERROR(INDEX('Product Price'!C:C,SMALL('Product Price'!$D:$D,73)),"")</f>
        <v>63</v>
      </c>
      <c r="D75" s="2">
        <f t="shared" si="1"/>
        <v>1450</v>
      </c>
      <c r="E75" s="2">
        <f t="shared" si="2"/>
        <v>19449</v>
      </c>
      <c r="F75" s="2">
        <f t="shared" si="3"/>
        <v>3600</v>
      </c>
      <c r="G75" s="2">
        <f t="shared" si="4"/>
        <v>14399</v>
      </c>
      <c r="H75" s="2">
        <f t="shared" si="5"/>
        <v>15849</v>
      </c>
      <c r="I75" s="2">
        <f t="shared" si="6"/>
        <v>3022</v>
      </c>
      <c r="J75" s="2">
        <f t="shared" si="7"/>
        <v>2080</v>
      </c>
      <c r="K75" s="2">
        <f t="shared" si="8"/>
        <v>1609</v>
      </c>
      <c r="L75" s="2">
        <f t="shared" si="9"/>
        <v>1326</v>
      </c>
      <c r="M75" s="2">
        <f t="shared" si="10"/>
        <v>1138</v>
      </c>
      <c r="N75" s="2">
        <f t="shared" si="11"/>
        <v>902</v>
      </c>
      <c r="O75" s="2">
        <f t="shared" si="12"/>
        <v>4500</v>
      </c>
      <c r="P75" s="2">
        <f t="shared" si="13"/>
        <v>13499</v>
      </c>
      <c r="Q75" s="2">
        <f t="shared" si="14"/>
        <v>14949</v>
      </c>
      <c r="R75" s="2">
        <f t="shared" si="15"/>
        <v>2850</v>
      </c>
      <c r="S75" s="2">
        <f t="shared" si="16"/>
        <v>1962</v>
      </c>
      <c r="T75" s="2">
        <f t="shared" si="17"/>
        <v>1517</v>
      </c>
      <c r="U75" s="2">
        <f t="shared" si="18"/>
        <v>1251</v>
      </c>
      <c r="V75" s="2">
        <f t="shared" si="19"/>
        <v>1073</v>
      </c>
      <c r="W75" s="2">
        <f t="shared" si="20"/>
        <v>851</v>
      </c>
      <c r="X75" s="2">
        <f t="shared" si="21"/>
        <v>5400</v>
      </c>
      <c r="Y75" s="2">
        <f t="shared" si="22"/>
        <v>12599</v>
      </c>
      <c r="Z75" s="2">
        <f t="shared" si="23"/>
        <v>14049</v>
      </c>
      <c r="AA75" s="2">
        <f t="shared" si="24"/>
        <v>2679</v>
      </c>
      <c r="AB75" s="2">
        <f t="shared" si="25"/>
        <v>1844</v>
      </c>
      <c r="AC75" s="2">
        <f t="shared" si="26"/>
        <v>1426</v>
      </c>
      <c r="AD75" s="2">
        <f t="shared" si="27"/>
        <v>1176</v>
      </c>
      <c r="AE75" s="2">
        <f t="shared" si="28"/>
        <v>1009</v>
      </c>
      <c r="AF75" s="2">
        <f t="shared" si="29"/>
        <v>800</v>
      </c>
      <c r="AG75" s="2">
        <f t="shared" si="30"/>
        <v>6300</v>
      </c>
      <c r="AH75" s="2">
        <f t="shared" si="31"/>
        <v>11699</v>
      </c>
      <c r="AI75" s="2">
        <f t="shared" si="32"/>
        <v>13149</v>
      </c>
      <c r="AJ75" s="2">
        <f t="shared" si="33"/>
        <v>2507</v>
      </c>
      <c r="AK75" s="2">
        <f t="shared" si="34"/>
        <v>1726</v>
      </c>
      <c r="AL75" s="2">
        <f t="shared" si="35"/>
        <v>1335</v>
      </c>
      <c r="AM75" s="2">
        <f t="shared" si="36"/>
        <v>1100</v>
      </c>
      <c r="AN75" s="2">
        <f t="shared" si="37"/>
        <v>944</v>
      </c>
      <c r="AO75" s="2">
        <f t="shared" si="38"/>
        <v>749</v>
      </c>
      <c r="AP75" s="2">
        <f t="shared" si="39"/>
        <v>7200</v>
      </c>
      <c r="AQ75" s="2">
        <f t="shared" si="40"/>
        <v>10799</v>
      </c>
      <c r="AR75" s="2">
        <f t="shared" si="41"/>
        <v>12249</v>
      </c>
      <c r="AS75" s="2">
        <f t="shared" si="42"/>
        <v>2336</v>
      </c>
      <c r="AT75" s="2">
        <f t="shared" si="43"/>
        <v>1607</v>
      </c>
      <c r="AU75" s="2">
        <f t="shared" si="44"/>
        <v>1243</v>
      </c>
      <c r="AV75" s="2">
        <f t="shared" si="45"/>
        <v>1025</v>
      </c>
      <c r="AW75" s="2">
        <f t="shared" si="46"/>
        <v>879</v>
      </c>
      <c r="AX75" s="2">
        <f t="shared" si="47"/>
        <v>697</v>
      </c>
    </row>
    <row r="76" ht="14.25" customHeight="1">
      <c r="A76" s="2" t="str">
        <f t="array" ref="A76">IFERROR(INDEX('Product Price'!A:A,SMALL('Product Price'!$D:$D,74)),"")</f>
        <v>SAMSUNG Galaxy A57 5G 8/256 GB</v>
      </c>
      <c r="B76" s="2">
        <f t="array" ref="B76">IFERROR(INDEX('Product Price'!B:B,SMALL('Product Price'!$D:$D,74)),"")</f>
        <v>16999</v>
      </c>
      <c r="C76" s="2">
        <f t="array" ref="C76">IFERROR(INDEX('Product Price'!C:C,SMALL('Product Price'!$D:$D,74)),"")</f>
        <v>64</v>
      </c>
      <c r="D76" s="2">
        <f t="shared" si="1"/>
        <v>1450</v>
      </c>
      <c r="E76" s="2">
        <f t="shared" si="2"/>
        <v>18449</v>
      </c>
      <c r="F76" s="2">
        <f t="shared" si="3"/>
        <v>3400</v>
      </c>
      <c r="G76" s="2">
        <f t="shared" si="4"/>
        <v>13599</v>
      </c>
      <c r="H76" s="2">
        <f t="shared" si="5"/>
        <v>15049</v>
      </c>
      <c r="I76" s="2">
        <f t="shared" si="6"/>
        <v>2869</v>
      </c>
      <c r="J76" s="2">
        <f t="shared" si="7"/>
        <v>1975</v>
      </c>
      <c r="K76" s="2">
        <f t="shared" si="8"/>
        <v>1528</v>
      </c>
      <c r="L76" s="2">
        <f t="shared" si="9"/>
        <v>1259</v>
      </c>
      <c r="M76" s="2">
        <f t="shared" si="10"/>
        <v>1080</v>
      </c>
      <c r="N76" s="2">
        <f t="shared" si="11"/>
        <v>857</v>
      </c>
      <c r="O76" s="2">
        <f t="shared" si="12"/>
        <v>4250</v>
      </c>
      <c r="P76" s="2">
        <f t="shared" si="13"/>
        <v>12749</v>
      </c>
      <c r="Q76" s="2">
        <f t="shared" si="14"/>
        <v>14199</v>
      </c>
      <c r="R76" s="2">
        <f t="shared" si="15"/>
        <v>2707</v>
      </c>
      <c r="S76" s="2">
        <f t="shared" si="16"/>
        <v>1863</v>
      </c>
      <c r="T76" s="2">
        <f t="shared" si="17"/>
        <v>1441</v>
      </c>
      <c r="U76" s="2">
        <f t="shared" si="18"/>
        <v>1188</v>
      </c>
      <c r="V76" s="2">
        <f t="shared" si="19"/>
        <v>1019</v>
      </c>
      <c r="W76" s="2">
        <f t="shared" si="20"/>
        <v>808</v>
      </c>
      <c r="X76" s="2">
        <f t="shared" si="21"/>
        <v>5100</v>
      </c>
      <c r="Y76" s="2">
        <f t="shared" si="22"/>
        <v>11899</v>
      </c>
      <c r="Z76" s="2">
        <f t="shared" si="23"/>
        <v>13349</v>
      </c>
      <c r="AA76" s="2">
        <f t="shared" si="24"/>
        <v>2545</v>
      </c>
      <c r="AB76" s="2">
        <f t="shared" si="25"/>
        <v>1752</v>
      </c>
      <c r="AC76" s="2">
        <f t="shared" si="26"/>
        <v>1355</v>
      </c>
      <c r="AD76" s="2">
        <f t="shared" si="27"/>
        <v>1117</v>
      </c>
      <c r="AE76" s="2">
        <f t="shared" si="28"/>
        <v>958</v>
      </c>
      <c r="AF76" s="2">
        <f t="shared" si="29"/>
        <v>760</v>
      </c>
      <c r="AG76" s="2">
        <f t="shared" si="30"/>
        <v>5950</v>
      </c>
      <c r="AH76" s="2">
        <f t="shared" si="31"/>
        <v>11049</v>
      </c>
      <c r="AI76" s="2">
        <f t="shared" si="32"/>
        <v>12499</v>
      </c>
      <c r="AJ76" s="2">
        <f t="shared" si="33"/>
        <v>2383</v>
      </c>
      <c r="AK76" s="2">
        <f t="shared" si="34"/>
        <v>1640</v>
      </c>
      <c r="AL76" s="2">
        <f t="shared" si="35"/>
        <v>1269</v>
      </c>
      <c r="AM76" s="2">
        <f t="shared" si="36"/>
        <v>1046</v>
      </c>
      <c r="AN76" s="2">
        <f t="shared" si="37"/>
        <v>897</v>
      </c>
      <c r="AO76" s="2">
        <f t="shared" si="38"/>
        <v>712</v>
      </c>
      <c r="AP76" s="2">
        <f t="shared" si="39"/>
        <v>6800</v>
      </c>
      <c r="AQ76" s="2">
        <f t="shared" si="40"/>
        <v>10199</v>
      </c>
      <c r="AR76" s="2">
        <f t="shared" si="41"/>
        <v>11649</v>
      </c>
      <c r="AS76" s="2">
        <f t="shared" si="42"/>
        <v>2221</v>
      </c>
      <c r="AT76" s="2">
        <f t="shared" si="43"/>
        <v>1529</v>
      </c>
      <c r="AU76" s="2">
        <f t="shared" si="44"/>
        <v>1183</v>
      </c>
      <c r="AV76" s="2">
        <f t="shared" si="45"/>
        <v>975</v>
      </c>
      <c r="AW76" s="2">
        <f t="shared" si="46"/>
        <v>836</v>
      </c>
      <c r="AX76" s="2">
        <f t="shared" si="47"/>
        <v>663</v>
      </c>
    </row>
    <row r="77" ht="14.25" customHeight="1">
      <c r="A77" s="2" t="str">
        <f t="array" ref="A77">IFERROR(INDEX('Product Price'!A:A,SMALL('Product Price'!$D:$D,75)),"")</f>
        <v>SAMSUNG Galaxy A37 5G 8/256 GB</v>
      </c>
      <c r="B77" s="2">
        <f t="array" ref="B77">IFERROR(INDEX('Product Price'!B:B,SMALL('Product Price'!$D:$D,75)),"")</f>
        <v>13999</v>
      </c>
      <c r="C77" s="2">
        <f t="array" ref="C77">IFERROR(INDEX('Product Price'!C:C,SMALL('Product Price'!$D:$D,75)),"")</f>
        <v>65</v>
      </c>
      <c r="D77" s="2">
        <f t="shared" si="1"/>
        <v>1450</v>
      </c>
      <c r="E77" s="2">
        <f t="shared" si="2"/>
        <v>15449</v>
      </c>
      <c r="F77" s="2">
        <f t="shared" si="3"/>
        <v>2800</v>
      </c>
      <c r="G77" s="2">
        <f t="shared" si="4"/>
        <v>11199</v>
      </c>
      <c r="H77" s="2">
        <f t="shared" si="5"/>
        <v>12649</v>
      </c>
      <c r="I77" s="2">
        <f t="shared" si="6"/>
        <v>2412</v>
      </c>
      <c r="J77" s="2">
        <f t="shared" si="7"/>
        <v>1660</v>
      </c>
      <c r="K77" s="2">
        <f t="shared" si="8"/>
        <v>1284</v>
      </c>
      <c r="L77" s="2">
        <f t="shared" si="9"/>
        <v>1058</v>
      </c>
      <c r="M77" s="2">
        <f t="shared" si="10"/>
        <v>908</v>
      </c>
      <c r="N77" s="2">
        <f t="shared" si="11"/>
        <v>720</v>
      </c>
      <c r="O77" s="2">
        <f t="shared" si="12"/>
        <v>3500</v>
      </c>
      <c r="P77" s="2">
        <f t="shared" si="13"/>
        <v>10499</v>
      </c>
      <c r="Q77" s="2">
        <f t="shared" si="14"/>
        <v>11949</v>
      </c>
      <c r="R77" s="2">
        <f t="shared" si="15"/>
        <v>2278</v>
      </c>
      <c r="S77" s="2">
        <f t="shared" si="16"/>
        <v>1568</v>
      </c>
      <c r="T77" s="2">
        <f t="shared" si="17"/>
        <v>1213</v>
      </c>
      <c r="U77" s="2">
        <f t="shared" si="18"/>
        <v>1000</v>
      </c>
      <c r="V77" s="2">
        <f t="shared" si="19"/>
        <v>858</v>
      </c>
      <c r="W77" s="2">
        <f t="shared" si="20"/>
        <v>680</v>
      </c>
      <c r="X77" s="2">
        <f t="shared" si="21"/>
        <v>4200</v>
      </c>
      <c r="Y77" s="2">
        <f t="shared" si="22"/>
        <v>9799</v>
      </c>
      <c r="Z77" s="2">
        <f t="shared" si="23"/>
        <v>11249</v>
      </c>
      <c r="AA77" s="2">
        <f t="shared" si="24"/>
        <v>2145</v>
      </c>
      <c r="AB77" s="2">
        <f t="shared" si="25"/>
        <v>1476</v>
      </c>
      <c r="AC77" s="2">
        <f t="shared" si="26"/>
        <v>1142</v>
      </c>
      <c r="AD77" s="2">
        <f t="shared" si="27"/>
        <v>941</v>
      </c>
      <c r="AE77" s="2">
        <f t="shared" si="28"/>
        <v>808</v>
      </c>
      <c r="AF77" s="2">
        <f t="shared" si="29"/>
        <v>640</v>
      </c>
      <c r="AG77" s="2">
        <f t="shared" si="30"/>
        <v>4900</v>
      </c>
      <c r="AH77" s="2">
        <f t="shared" si="31"/>
        <v>9099</v>
      </c>
      <c r="AI77" s="2">
        <f t="shared" si="32"/>
        <v>10549</v>
      </c>
      <c r="AJ77" s="2">
        <f t="shared" si="33"/>
        <v>2012</v>
      </c>
      <c r="AK77" s="2">
        <f t="shared" si="34"/>
        <v>1384</v>
      </c>
      <c r="AL77" s="2">
        <f t="shared" si="35"/>
        <v>1071</v>
      </c>
      <c r="AM77" s="2">
        <f t="shared" si="36"/>
        <v>883</v>
      </c>
      <c r="AN77" s="2">
        <f t="shared" si="37"/>
        <v>757</v>
      </c>
      <c r="AO77" s="2">
        <f t="shared" si="38"/>
        <v>601</v>
      </c>
      <c r="AP77" s="2">
        <f t="shared" si="39"/>
        <v>5600</v>
      </c>
      <c r="AQ77" s="2">
        <f t="shared" si="40"/>
        <v>8399</v>
      </c>
      <c r="AR77" s="2">
        <f t="shared" si="41"/>
        <v>9849</v>
      </c>
      <c r="AS77" s="2">
        <f t="shared" si="42"/>
        <v>1878</v>
      </c>
      <c r="AT77" s="2">
        <f t="shared" si="43"/>
        <v>1293</v>
      </c>
      <c r="AU77" s="2">
        <f t="shared" si="44"/>
        <v>1000</v>
      </c>
      <c r="AV77" s="2">
        <f t="shared" si="45"/>
        <v>824</v>
      </c>
      <c r="AW77" s="2">
        <f t="shared" si="46"/>
        <v>707</v>
      </c>
      <c r="AX77" s="2">
        <f t="shared" si="47"/>
        <v>561</v>
      </c>
    </row>
    <row r="78" ht="14.25" customHeight="1">
      <c r="A78" s="2" t="str">
        <f t="array" ref="A78">IFERROR(INDEX('Product Price'!A:A,SMALL('Product Price'!$D:$D,76)),"")</f>
        <v>SAMSUNG Galaxy A36 5G 8/128 GB</v>
      </c>
      <c r="B78" s="2">
        <f t="array" ref="B78">IFERROR(INDEX('Product Price'!B:B,SMALL('Product Price'!$D:$D,76)),"")</f>
        <v>11999</v>
      </c>
      <c r="C78" s="2">
        <f t="array" ref="C78">IFERROR(INDEX('Product Price'!C:C,SMALL('Product Price'!$D:$D,76)),"")</f>
        <v>66</v>
      </c>
      <c r="D78" s="2">
        <f t="shared" si="1"/>
        <v>1450</v>
      </c>
      <c r="E78" s="2">
        <f t="shared" si="2"/>
        <v>13449</v>
      </c>
      <c r="F78" s="2">
        <f t="shared" si="3"/>
        <v>2400</v>
      </c>
      <c r="G78" s="2">
        <f t="shared" si="4"/>
        <v>9599</v>
      </c>
      <c r="H78" s="2">
        <f t="shared" si="5"/>
        <v>11049</v>
      </c>
      <c r="I78" s="2">
        <f t="shared" si="6"/>
        <v>2107</v>
      </c>
      <c r="J78" s="2">
        <f t="shared" si="7"/>
        <v>1450</v>
      </c>
      <c r="K78" s="2">
        <f t="shared" si="8"/>
        <v>1122</v>
      </c>
      <c r="L78" s="2">
        <f t="shared" si="9"/>
        <v>925</v>
      </c>
      <c r="M78" s="2">
        <f t="shared" si="10"/>
        <v>793</v>
      </c>
      <c r="N78" s="2">
        <f t="shared" si="11"/>
        <v>629</v>
      </c>
      <c r="O78" s="2">
        <f t="shared" si="12"/>
        <v>3000</v>
      </c>
      <c r="P78" s="2">
        <f t="shared" si="13"/>
        <v>8999</v>
      </c>
      <c r="Q78" s="2">
        <f t="shared" si="14"/>
        <v>10449</v>
      </c>
      <c r="R78" s="2">
        <f t="shared" si="15"/>
        <v>1992</v>
      </c>
      <c r="S78" s="2">
        <f t="shared" si="16"/>
        <v>1371</v>
      </c>
      <c r="T78" s="2">
        <f t="shared" si="17"/>
        <v>1061</v>
      </c>
      <c r="U78" s="2">
        <f t="shared" si="18"/>
        <v>874</v>
      </c>
      <c r="V78" s="2">
        <f t="shared" si="19"/>
        <v>750</v>
      </c>
      <c r="W78" s="2">
        <f t="shared" si="20"/>
        <v>595</v>
      </c>
      <c r="X78" s="2">
        <f t="shared" si="21"/>
        <v>3600</v>
      </c>
      <c r="Y78" s="2">
        <f t="shared" si="22"/>
        <v>8399</v>
      </c>
      <c r="Z78" s="2">
        <f t="shared" si="23"/>
        <v>9849</v>
      </c>
      <c r="AA78" s="2">
        <f t="shared" si="24"/>
        <v>1878</v>
      </c>
      <c r="AB78" s="2">
        <f t="shared" si="25"/>
        <v>1293</v>
      </c>
      <c r="AC78" s="2">
        <f t="shared" si="26"/>
        <v>1000</v>
      </c>
      <c r="AD78" s="2">
        <f t="shared" si="27"/>
        <v>824</v>
      </c>
      <c r="AE78" s="2">
        <f t="shared" si="28"/>
        <v>707</v>
      </c>
      <c r="AF78" s="2">
        <f t="shared" si="29"/>
        <v>561</v>
      </c>
      <c r="AG78" s="2">
        <f t="shared" si="30"/>
        <v>4200</v>
      </c>
      <c r="AH78" s="2">
        <f t="shared" si="31"/>
        <v>7799</v>
      </c>
      <c r="AI78" s="2">
        <f t="shared" si="32"/>
        <v>9249</v>
      </c>
      <c r="AJ78" s="2">
        <f t="shared" si="33"/>
        <v>1764</v>
      </c>
      <c r="AK78" s="2">
        <f t="shared" si="34"/>
        <v>1214</v>
      </c>
      <c r="AL78" s="2">
        <f t="shared" si="35"/>
        <v>939</v>
      </c>
      <c r="AM78" s="2">
        <f t="shared" si="36"/>
        <v>774</v>
      </c>
      <c r="AN78" s="2">
        <f t="shared" si="37"/>
        <v>664</v>
      </c>
      <c r="AO78" s="2">
        <f t="shared" si="38"/>
        <v>527</v>
      </c>
      <c r="AP78" s="2">
        <f t="shared" si="39"/>
        <v>4800</v>
      </c>
      <c r="AQ78" s="2">
        <f t="shared" si="40"/>
        <v>7199</v>
      </c>
      <c r="AR78" s="2">
        <f t="shared" si="41"/>
        <v>8649</v>
      </c>
      <c r="AS78" s="2">
        <f t="shared" si="42"/>
        <v>1649</v>
      </c>
      <c r="AT78" s="2">
        <f t="shared" si="43"/>
        <v>1135</v>
      </c>
      <c r="AU78" s="2">
        <f t="shared" si="44"/>
        <v>878</v>
      </c>
      <c r="AV78" s="2">
        <f t="shared" si="45"/>
        <v>724</v>
      </c>
      <c r="AW78" s="2">
        <f t="shared" si="46"/>
        <v>621</v>
      </c>
      <c r="AX78" s="2">
        <f t="shared" si="47"/>
        <v>493</v>
      </c>
    </row>
    <row r="79" ht="14.25" customHeight="1">
      <c r="A79" s="2" t="str">
        <f t="array" ref="A79">IFERROR(INDEX('Product Price'!A:A,SMALL('Product Price'!$D:$D,77)),"")</f>
        <v>SAMSUNG Galaxy A56 5G 8/128 GB</v>
      </c>
      <c r="B79" s="2">
        <f t="array" ref="B79">IFERROR(INDEX('Product Price'!B:B,SMALL('Product Price'!$D:$D,77)),"")</f>
        <v>13999</v>
      </c>
      <c r="C79" s="2">
        <f t="array" ref="C79">IFERROR(INDEX('Product Price'!C:C,SMALL('Product Price'!$D:$D,77)),"")</f>
        <v>67</v>
      </c>
      <c r="D79" s="2">
        <f t="shared" si="1"/>
        <v>1450</v>
      </c>
      <c r="E79" s="2">
        <f t="shared" si="2"/>
        <v>15449</v>
      </c>
      <c r="F79" s="2">
        <f t="shared" si="3"/>
        <v>2800</v>
      </c>
      <c r="G79" s="2">
        <f t="shared" si="4"/>
        <v>11199</v>
      </c>
      <c r="H79" s="2">
        <f t="shared" si="5"/>
        <v>12649</v>
      </c>
      <c r="I79" s="2">
        <f t="shared" si="6"/>
        <v>2412</v>
      </c>
      <c r="J79" s="2">
        <f t="shared" si="7"/>
        <v>1660</v>
      </c>
      <c r="K79" s="2">
        <f t="shared" si="8"/>
        <v>1284</v>
      </c>
      <c r="L79" s="2">
        <f t="shared" si="9"/>
        <v>1058</v>
      </c>
      <c r="M79" s="2">
        <f t="shared" si="10"/>
        <v>908</v>
      </c>
      <c r="N79" s="2">
        <f t="shared" si="11"/>
        <v>720</v>
      </c>
      <c r="O79" s="2">
        <f t="shared" si="12"/>
        <v>3500</v>
      </c>
      <c r="P79" s="2">
        <f t="shared" si="13"/>
        <v>10499</v>
      </c>
      <c r="Q79" s="2">
        <f t="shared" si="14"/>
        <v>11949</v>
      </c>
      <c r="R79" s="2">
        <f t="shared" si="15"/>
        <v>2278</v>
      </c>
      <c r="S79" s="2">
        <f t="shared" si="16"/>
        <v>1568</v>
      </c>
      <c r="T79" s="2">
        <f t="shared" si="17"/>
        <v>1213</v>
      </c>
      <c r="U79" s="2">
        <f t="shared" si="18"/>
        <v>1000</v>
      </c>
      <c r="V79" s="2">
        <f t="shared" si="19"/>
        <v>858</v>
      </c>
      <c r="W79" s="2">
        <f t="shared" si="20"/>
        <v>680</v>
      </c>
      <c r="X79" s="2">
        <f t="shared" si="21"/>
        <v>4200</v>
      </c>
      <c r="Y79" s="2">
        <f t="shared" si="22"/>
        <v>9799</v>
      </c>
      <c r="Z79" s="2">
        <f t="shared" si="23"/>
        <v>11249</v>
      </c>
      <c r="AA79" s="2">
        <f t="shared" si="24"/>
        <v>2145</v>
      </c>
      <c r="AB79" s="2">
        <f t="shared" si="25"/>
        <v>1476</v>
      </c>
      <c r="AC79" s="2">
        <f t="shared" si="26"/>
        <v>1142</v>
      </c>
      <c r="AD79" s="2">
        <f t="shared" si="27"/>
        <v>941</v>
      </c>
      <c r="AE79" s="2">
        <f t="shared" si="28"/>
        <v>808</v>
      </c>
      <c r="AF79" s="2">
        <f t="shared" si="29"/>
        <v>640</v>
      </c>
      <c r="AG79" s="2">
        <f t="shared" si="30"/>
        <v>4900</v>
      </c>
      <c r="AH79" s="2">
        <f t="shared" si="31"/>
        <v>9099</v>
      </c>
      <c r="AI79" s="2">
        <f t="shared" si="32"/>
        <v>10549</v>
      </c>
      <c r="AJ79" s="2">
        <f t="shared" si="33"/>
        <v>2012</v>
      </c>
      <c r="AK79" s="2">
        <f t="shared" si="34"/>
        <v>1384</v>
      </c>
      <c r="AL79" s="2">
        <f t="shared" si="35"/>
        <v>1071</v>
      </c>
      <c r="AM79" s="2">
        <f t="shared" si="36"/>
        <v>883</v>
      </c>
      <c r="AN79" s="2">
        <f t="shared" si="37"/>
        <v>757</v>
      </c>
      <c r="AO79" s="2">
        <f t="shared" si="38"/>
        <v>601</v>
      </c>
      <c r="AP79" s="2">
        <f t="shared" si="39"/>
        <v>5600</v>
      </c>
      <c r="AQ79" s="2">
        <f t="shared" si="40"/>
        <v>8399</v>
      </c>
      <c r="AR79" s="2">
        <f t="shared" si="41"/>
        <v>9849</v>
      </c>
      <c r="AS79" s="2">
        <f t="shared" si="42"/>
        <v>1878</v>
      </c>
      <c r="AT79" s="2">
        <f t="shared" si="43"/>
        <v>1293</v>
      </c>
      <c r="AU79" s="2">
        <f t="shared" si="44"/>
        <v>1000</v>
      </c>
      <c r="AV79" s="2">
        <f t="shared" si="45"/>
        <v>824</v>
      </c>
      <c r="AW79" s="2">
        <f t="shared" si="46"/>
        <v>707</v>
      </c>
      <c r="AX79" s="2">
        <f t="shared" si="47"/>
        <v>561</v>
      </c>
    </row>
    <row r="80" ht="14.25" customHeight="1">
      <c r="A80" s="2" t="str">
        <f t="array" ref="A80">IFERROR(INDEX('Product Price'!A:A,SMALL('Product Price'!$D:$D,78)),"")</f>
        <v>SAMSUNG Galaxy A56 5G 12/256 GB</v>
      </c>
      <c r="B80" s="2">
        <f t="array" ref="B80">IFERROR(INDEX('Product Price'!B:B,SMALL('Product Price'!$D:$D,78)),"")</f>
        <v>15999</v>
      </c>
      <c r="C80" s="2">
        <f t="array" ref="C80">IFERROR(INDEX('Product Price'!C:C,SMALL('Product Price'!$D:$D,78)),"")</f>
        <v>68</v>
      </c>
      <c r="D80" s="2">
        <f t="shared" si="1"/>
        <v>1450</v>
      </c>
      <c r="E80" s="2">
        <f t="shared" si="2"/>
        <v>17449</v>
      </c>
      <c r="F80" s="2">
        <f t="shared" si="3"/>
        <v>3200</v>
      </c>
      <c r="G80" s="2">
        <f t="shared" si="4"/>
        <v>12799</v>
      </c>
      <c r="H80" s="2">
        <f t="shared" si="5"/>
        <v>14249</v>
      </c>
      <c r="I80" s="2">
        <f t="shared" si="6"/>
        <v>2717</v>
      </c>
      <c r="J80" s="2">
        <f t="shared" si="7"/>
        <v>1870</v>
      </c>
      <c r="K80" s="2">
        <f t="shared" si="8"/>
        <v>1446</v>
      </c>
      <c r="L80" s="2">
        <f t="shared" si="9"/>
        <v>1192</v>
      </c>
      <c r="M80" s="2">
        <f t="shared" si="10"/>
        <v>1023</v>
      </c>
      <c r="N80" s="2">
        <f t="shared" si="11"/>
        <v>811</v>
      </c>
      <c r="O80" s="2">
        <f t="shared" si="12"/>
        <v>4000</v>
      </c>
      <c r="P80" s="2">
        <f t="shared" si="13"/>
        <v>11999</v>
      </c>
      <c r="Q80" s="2">
        <f t="shared" si="14"/>
        <v>13449</v>
      </c>
      <c r="R80" s="2">
        <f t="shared" si="15"/>
        <v>2564</v>
      </c>
      <c r="S80" s="2">
        <f t="shared" si="16"/>
        <v>1765</v>
      </c>
      <c r="T80" s="2">
        <f t="shared" si="17"/>
        <v>1365</v>
      </c>
      <c r="U80" s="2">
        <f t="shared" si="18"/>
        <v>1125</v>
      </c>
      <c r="V80" s="2">
        <f t="shared" si="19"/>
        <v>965</v>
      </c>
      <c r="W80" s="2">
        <f t="shared" si="20"/>
        <v>766</v>
      </c>
      <c r="X80" s="2">
        <f t="shared" si="21"/>
        <v>4800</v>
      </c>
      <c r="Y80" s="2">
        <f t="shared" si="22"/>
        <v>11199</v>
      </c>
      <c r="Z80" s="2">
        <f t="shared" si="23"/>
        <v>12649</v>
      </c>
      <c r="AA80" s="2">
        <f t="shared" si="24"/>
        <v>2412</v>
      </c>
      <c r="AB80" s="2">
        <f t="shared" si="25"/>
        <v>1660</v>
      </c>
      <c r="AC80" s="2">
        <f t="shared" si="26"/>
        <v>1284</v>
      </c>
      <c r="AD80" s="2">
        <f t="shared" si="27"/>
        <v>1058</v>
      </c>
      <c r="AE80" s="2">
        <f t="shared" si="28"/>
        <v>908</v>
      </c>
      <c r="AF80" s="2">
        <f t="shared" si="29"/>
        <v>720</v>
      </c>
      <c r="AG80" s="2">
        <f t="shared" si="30"/>
        <v>5600</v>
      </c>
      <c r="AH80" s="2">
        <f t="shared" si="31"/>
        <v>10399</v>
      </c>
      <c r="AI80" s="2">
        <f t="shared" si="32"/>
        <v>11849</v>
      </c>
      <c r="AJ80" s="2">
        <f t="shared" si="33"/>
        <v>2259</v>
      </c>
      <c r="AK80" s="2">
        <f t="shared" si="34"/>
        <v>1555</v>
      </c>
      <c r="AL80" s="2">
        <f t="shared" si="35"/>
        <v>1203</v>
      </c>
      <c r="AM80" s="2">
        <f t="shared" si="36"/>
        <v>992</v>
      </c>
      <c r="AN80" s="2">
        <f t="shared" si="37"/>
        <v>851</v>
      </c>
      <c r="AO80" s="2">
        <f t="shared" si="38"/>
        <v>675</v>
      </c>
      <c r="AP80" s="2">
        <f t="shared" si="39"/>
        <v>6400</v>
      </c>
      <c r="AQ80" s="2">
        <f t="shared" si="40"/>
        <v>9599</v>
      </c>
      <c r="AR80" s="2">
        <f t="shared" si="41"/>
        <v>11049</v>
      </c>
      <c r="AS80" s="2">
        <f t="shared" si="42"/>
        <v>2107</v>
      </c>
      <c r="AT80" s="2">
        <f t="shared" si="43"/>
        <v>1450</v>
      </c>
      <c r="AU80" s="2">
        <f t="shared" si="44"/>
        <v>1122</v>
      </c>
      <c r="AV80" s="2">
        <f t="shared" si="45"/>
        <v>925</v>
      </c>
      <c r="AW80" s="2">
        <f t="shared" si="46"/>
        <v>793</v>
      </c>
      <c r="AX80" s="2">
        <f t="shared" si="47"/>
        <v>629</v>
      </c>
    </row>
    <row r="81" ht="14.25" customHeight="1">
      <c r="A81" s="2" t="str">
        <f t="array" ref="A81">IFERROR(INDEX('Product Price'!A:A,SMALL('Product Price'!$D:$D,79)),"")</f>
        <v>SAMSUNG Galaxy Z Flip6 12/256 GB</v>
      </c>
      <c r="B81" s="2">
        <f t="array" ref="B81">IFERROR(INDEX('Product Price'!B:B,SMALL('Product Price'!$D:$D,79)),"")</f>
        <v>42900</v>
      </c>
      <c r="C81" s="2">
        <f t="array" ref="C81">IFERROR(INDEX('Product Price'!C:C,SMALL('Product Price'!$D:$D,79)),"")</f>
        <v>69</v>
      </c>
      <c r="D81" s="2">
        <f t="shared" si="1"/>
        <v>2475</v>
      </c>
      <c r="E81" s="2">
        <f t="shared" si="2"/>
        <v>45375</v>
      </c>
      <c r="F81" s="2">
        <f t="shared" si="3"/>
        <v>8580</v>
      </c>
      <c r="G81" s="2">
        <f t="shared" si="4"/>
        <v>34320</v>
      </c>
      <c r="H81" s="2">
        <f t="shared" si="5"/>
        <v>36795</v>
      </c>
      <c r="I81" s="2">
        <f t="shared" si="6"/>
        <v>7015</v>
      </c>
      <c r="J81" s="2">
        <f t="shared" si="7"/>
        <v>4828</v>
      </c>
      <c r="K81" s="2">
        <f t="shared" si="8"/>
        <v>3734</v>
      </c>
      <c r="L81" s="2">
        <f t="shared" si="9"/>
        <v>3078</v>
      </c>
      <c r="M81" s="2">
        <f t="shared" si="10"/>
        <v>2641</v>
      </c>
      <c r="N81" s="2">
        <f t="shared" si="11"/>
        <v>2094</v>
      </c>
      <c r="O81" s="2">
        <f t="shared" si="12"/>
        <v>10725</v>
      </c>
      <c r="P81" s="2">
        <f t="shared" si="13"/>
        <v>32175</v>
      </c>
      <c r="Q81" s="2">
        <f t="shared" si="14"/>
        <v>34650</v>
      </c>
      <c r="R81" s="2">
        <f t="shared" si="15"/>
        <v>6606</v>
      </c>
      <c r="S81" s="2">
        <f t="shared" si="16"/>
        <v>4546</v>
      </c>
      <c r="T81" s="2">
        <f t="shared" si="17"/>
        <v>3516</v>
      </c>
      <c r="U81" s="2">
        <f t="shared" si="18"/>
        <v>2899</v>
      </c>
      <c r="V81" s="2">
        <f t="shared" si="19"/>
        <v>2487</v>
      </c>
      <c r="W81" s="2">
        <f t="shared" si="20"/>
        <v>1972</v>
      </c>
      <c r="X81" s="2">
        <f t="shared" si="21"/>
        <v>12870</v>
      </c>
      <c r="Y81" s="2">
        <f t="shared" si="22"/>
        <v>30030</v>
      </c>
      <c r="Z81" s="2">
        <f t="shared" si="23"/>
        <v>32505</v>
      </c>
      <c r="AA81" s="2">
        <f t="shared" si="24"/>
        <v>6197</v>
      </c>
      <c r="AB81" s="2">
        <f t="shared" si="25"/>
        <v>4265</v>
      </c>
      <c r="AC81" s="2">
        <f t="shared" si="26"/>
        <v>3299</v>
      </c>
      <c r="AD81" s="2">
        <f t="shared" si="27"/>
        <v>2719</v>
      </c>
      <c r="AE81" s="2">
        <f t="shared" si="28"/>
        <v>2333</v>
      </c>
      <c r="AF81" s="2">
        <f t="shared" si="29"/>
        <v>1850</v>
      </c>
      <c r="AG81" s="2">
        <f t="shared" si="30"/>
        <v>15015</v>
      </c>
      <c r="AH81" s="2">
        <f t="shared" si="31"/>
        <v>27885</v>
      </c>
      <c r="AI81" s="2">
        <f t="shared" si="32"/>
        <v>30360</v>
      </c>
      <c r="AJ81" s="2">
        <f t="shared" si="33"/>
        <v>5788</v>
      </c>
      <c r="AK81" s="2">
        <f t="shared" si="34"/>
        <v>3984</v>
      </c>
      <c r="AL81" s="2">
        <f t="shared" si="35"/>
        <v>3081</v>
      </c>
      <c r="AM81" s="2">
        <f t="shared" si="36"/>
        <v>2540</v>
      </c>
      <c r="AN81" s="2">
        <f t="shared" si="37"/>
        <v>2179</v>
      </c>
      <c r="AO81" s="2">
        <f t="shared" si="38"/>
        <v>1728</v>
      </c>
      <c r="AP81" s="2">
        <f t="shared" si="39"/>
        <v>17160</v>
      </c>
      <c r="AQ81" s="2">
        <f t="shared" si="40"/>
        <v>25740</v>
      </c>
      <c r="AR81" s="2">
        <f t="shared" si="41"/>
        <v>28215</v>
      </c>
      <c r="AS81" s="2">
        <f t="shared" si="42"/>
        <v>5379</v>
      </c>
      <c r="AT81" s="2">
        <f t="shared" si="43"/>
        <v>3702</v>
      </c>
      <c r="AU81" s="2">
        <f t="shared" si="44"/>
        <v>2864</v>
      </c>
      <c r="AV81" s="2">
        <f t="shared" si="45"/>
        <v>2360</v>
      </c>
      <c r="AW81" s="2">
        <f t="shared" si="46"/>
        <v>2025</v>
      </c>
      <c r="AX81" s="2">
        <f t="shared" si="47"/>
        <v>1606</v>
      </c>
    </row>
    <row r="82" ht="14.25" customHeight="1">
      <c r="A82" s="2" t="str">
        <f t="array" ref="A82">IFERROR(INDEX('Product Price'!A:A,SMALL('Product Price'!$D:$D,80)),"")</f>
        <v>SAMSUNG Galaxy Z Flip6 12/512 GB</v>
      </c>
      <c r="B82" s="2">
        <f t="array" ref="B82">IFERROR(INDEX('Product Price'!B:B,SMALL('Product Price'!$D:$D,80)),"")</f>
        <v>47900</v>
      </c>
      <c r="C82" s="2">
        <f t="array" ref="C82">IFERROR(INDEX('Product Price'!C:C,SMALL('Product Price'!$D:$D,80)),"")</f>
        <v>70</v>
      </c>
      <c r="D82" s="2">
        <f t="shared" si="1"/>
        <v>2475</v>
      </c>
      <c r="E82" s="2">
        <f t="shared" si="2"/>
        <v>50375</v>
      </c>
      <c r="F82" s="2">
        <f t="shared" si="3"/>
        <v>9580</v>
      </c>
      <c r="G82" s="2">
        <f t="shared" si="4"/>
        <v>38320</v>
      </c>
      <c r="H82" s="2">
        <f t="shared" si="5"/>
        <v>40795</v>
      </c>
      <c r="I82" s="2">
        <f t="shared" si="6"/>
        <v>7778</v>
      </c>
      <c r="J82" s="2">
        <f t="shared" si="7"/>
        <v>5353</v>
      </c>
      <c r="K82" s="2">
        <f t="shared" si="8"/>
        <v>4140</v>
      </c>
      <c r="L82" s="2">
        <f t="shared" si="9"/>
        <v>3413</v>
      </c>
      <c r="M82" s="2">
        <f t="shared" si="10"/>
        <v>2928</v>
      </c>
      <c r="N82" s="2">
        <f t="shared" si="11"/>
        <v>2321</v>
      </c>
      <c r="O82" s="2">
        <f t="shared" si="12"/>
        <v>11975</v>
      </c>
      <c r="P82" s="2">
        <f t="shared" si="13"/>
        <v>35925</v>
      </c>
      <c r="Q82" s="2">
        <f t="shared" si="14"/>
        <v>38400</v>
      </c>
      <c r="R82" s="2">
        <f t="shared" si="15"/>
        <v>7321</v>
      </c>
      <c r="S82" s="2">
        <f t="shared" si="16"/>
        <v>5038</v>
      </c>
      <c r="T82" s="2">
        <f t="shared" si="17"/>
        <v>3897</v>
      </c>
      <c r="U82" s="2">
        <f t="shared" si="18"/>
        <v>3212</v>
      </c>
      <c r="V82" s="2">
        <f t="shared" si="19"/>
        <v>2756</v>
      </c>
      <c r="W82" s="2">
        <f t="shared" si="20"/>
        <v>2185</v>
      </c>
      <c r="X82" s="2">
        <f t="shared" si="21"/>
        <v>14370</v>
      </c>
      <c r="Y82" s="2">
        <f t="shared" si="22"/>
        <v>33530</v>
      </c>
      <c r="Z82" s="2">
        <f t="shared" si="23"/>
        <v>36005</v>
      </c>
      <c r="AA82" s="2">
        <f t="shared" si="24"/>
        <v>6864</v>
      </c>
      <c r="AB82" s="2">
        <f t="shared" si="25"/>
        <v>4724</v>
      </c>
      <c r="AC82" s="2">
        <f t="shared" si="26"/>
        <v>3654</v>
      </c>
      <c r="AD82" s="2">
        <f t="shared" si="27"/>
        <v>3012</v>
      </c>
      <c r="AE82" s="2">
        <f t="shared" si="28"/>
        <v>2584</v>
      </c>
      <c r="AF82" s="2">
        <f t="shared" si="29"/>
        <v>2049</v>
      </c>
      <c r="AG82" s="2">
        <f t="shared" si="30"/>
        <v>16765</v>
      </c>
      <c r="AH82" s="2">
        <f t="shared" si="31"/>
        <v>31135</v>
      </c>
      <c r="AI82" s="2">
        <f t="shared" si="32"/>
        <v>33610</v>
      </c>
      <c r="AJ82" s="2">
        <f t="shared" si="33"/>
        <v>6408</v>
      </c>
      <c r="AK82" s="2">
        <f t="shared" si="34"/>
        <v>4410</v>
      </c>
      <c r="AL82" s="2">
        <f t="shared" si="35"/>
        <v>3411</v>
      </c>
      <c r="AM82" s="2">
        <f t="shared" si="36"/>
        <v>2812</v>
      </c>
      <c r="AN82" s="2">
        <f t="shared" si="37"/>
        <v>2412</v>
      </c>
      <c r="AO82" s="2">
        <f t="shared" si="38"/>
        <v>1913</v>
      </c>
      <c r="AP82" s="2">
        <f t="shared" si="39"/>
        <v>19160</v>
      </c>
      <c r="AQ82" s="2">
        <f t="shared" si="40"/>
        <v>28740</v>
      </c>
      <c r="AR82" s="2">
        <f t="shared" si="41"/>
        <v>31215</v>
      </c>
      <c r="AS82" s="2">
        <f t="shared" si="42"/>
        <v>5951</v>
      </c>
      <c r="AT82" s="2">
        <f t="shared" si="43"/>
        <v>4096</v>
      </c>
      <c r="AU82" s="2">
        <f t="shared" si="44"/>
        <v>3168</v>
      </c>
      <c r="AV82" s="2">
        <f t="shared" si="45"/>
        <v>2611</v>
      </c>
      <c r="AW82" s="2">
        <f t="shared" si="46"/>
        <v>2240</v>
      </c>
      <c r="AX82" s="2">
        <f t="shared" si="47"/>
        <v>1776</v>
      </c>
    </row>
    <row r="83" ht="14.25" customHeight="1">
      <c r="A83" s="2" t="str">
        <f t="array" ref="A83">IFERROR(INDEX('Product Price'!A:A,SMALL('Product Price'!$D:$D,81)),"")</f>
        <v>SAMSUNG Galaxy Z Flip7 12/256 GB</v>
      </c>
      <c r="B83" s="2">
        <f t="array" ref="B83">IFERROR(INDEX('Product Price'!B:B,SMALL('Product Price'!$D:$D,81)),"")</f>
        <v>40900</v>
      </c>
      <c r="C83" s="2">
        <f t="array" ref="C83">IFERROR(INDEX('Product Price'!C:C,SMALL('Product Price'!$D:$D,81)),"")</f>
        <v>71</v>
      </c>
      <c r="D83" s="2">
        <f t="shared" si="1"/>
        <v>2475</v>
      </c>
      <c r="E83" s="2">
        <f t="shared" si="2"/>
        <v>43375</v>
      </c>
      <c r="F83" s="2">
        <f t="shared" si="3"/>
        <v>8180</v>
      </c>
      <c r="G83" s="2">
        <f t="shared" si="4"/>
        <v>32720</v>
      </c>
      <c r="H83" s="2">
        <f t="shared" si="5"/>
        <v>35195</v>
      </c>
      <c r="I83" s="2">
        <f t="shared" si="6"/>
        <v>6710</v>
      </c>
      <c r="J83" s="2">
        <f t="shared" si="7"/>
        <v>4618</v>
      </c>
      <c r="K83" s="2">
        <f t="shared" si="8"/>
        <v>3572</v>
      </c>
      <c r="L83" s="2">
        <f t="shared" si="9"/>
        <v>2944</v>
      </c>
      <c r="M83" s="2">
        <f t="shared" si="10"/>
        <v>2526</v>
      </c>
      <c r="N83" s="2">
        <f t="shared" si="11"/>
        <v>2003</v>
      </c>
      <c r="O83" s="2">
        <f t="shared" si="12"/>
        <v>10225</v>
      </c>
      <c r="P83" s="2">
        <f t="shared" si="13"/>
        <v>30675</v>
      </c>
      <c r="Q83" s="2">
        <f t="shared" si="14"/>
        <v>33150</v>
      </c>
      <c r="R83" s="2">
        <f t="shared" si="15"/>
        <v>6320</v>
      </c>
      <c r="S83" s="2">
        <f t="shared" si="16"/>
        <v>4350</v>
      </c>
      <c r="T83" s="2">
        <f t="shared" si="17"/>
        <v>3364</v>
      </c>
      <c r="U83" s="2">
        <f t="shared" si="18"/>
        <v>2773</v>
      </c>
      <c r="V83" s="2">
        <f t="shared" si="19"/>
        <v>2379</v>
      </c>
      <c r="W83" s="2">
        <f t="shared" si="20"/>
        <v>1886</v>
      </c>
      <c r="X83" s="2">
        <f t="shared" si="21"/>
        <v>12270</v>
      </c>
      <c r="Y83" s="2">
        <f t="shared" si="22"/>
        <v>28630</v>
      </c>
      <c r="Z83" s="2">
        <f t="shared" si="23"/>
        <v>31105</v>
      </c>
      <c r="AA83" s="2">
        <f t="shared" si="24"/>
        <v>5930</v>
      </c>
      <c r="AB83" s="2">
        <f t="shared" si="25"/>
        <v>4081</v>
      </c>
      <c r="AC83" s="2">
        <f t="shared" si="26"/>
        <v>3157</v>
      </c>
      <c r="AD83" s="2">
        <f t="shared" si="27"/>
        <v>2602</v>
      </c>
      <c r="AE83" s="2">
        <f t="shared" si="28"/>
        <v>2232</v>
      </c>
      <c r="AF83" s="2">
        <f t="shared" si="29"/>
        <v>1770</v>
      </c>
      <c r="AG83" s="2">
        <f t="shared" si="30"/>
        <v>14315</v>
      </c>
      <c r="AH83" s="2">
        <f t="shared" si="31"/>
        <v>26585</v>
      </c>
      <c r="AI83" s="2">
        <f t="shared" si="32"/>
        <v>29060</v>
      </c>
      <c r="AJ83" s="2">
        <f t="shared" si="33"/>
        <v>5540</v>
      </c>
      <c r="AK83" s="2">
        <f t="shared" si="34"/>
        <v>3813</v>
      </c>
      <c r="AL83" s="2">
        <f t="shared" si="35"/>
        <v>2949</v>
      </c>
      <c r="AM83" s="2">
        <f t="shared" si="36"/>
        <v>2431</v>
      </c>
      <c r="AN83" s="2">
        <f t="shared" si="37"/>
        <v>2086</v>
      </c>
      <c r="AO83" s="2">
        <f t="shared" si="38"/>
        <v>1654</v>
      </c>
      <c r="AP83" s="2">
        <f t="shared" si="39"/>
        <v>16360</v>
      </c>
      <c r="AQ83" s="2">
        <f t="shared" si="40"/>
        <v>24540</v>
      </c>
      <c r="AR83" s="2">
        <f t="shared" si="41"/>
        <v>27015</v>
      </c>
      <c r="AS83" s="2">
        <f t="shared" si="42"/>
        <v>5151</v>
      </c>
      <c r="AT83" s="2">
        <f t="shared" si="43"/>
        <v>3545</v>
      </c>
      <c r="AU83" s="2">
        <f t="shared" si="44"/>
        <v>2742</v>
      </c>
      <c r="AV83" s="2">
        <f t="shared" si="45"/>
        <v>2260</v>
      </c>
      <c r="AW83" s="2">
        <f t="shared" si="46"/>
        <v>1939</v>
      </c>
      <c r="AX83" s="2">
        <f t="shared" si="47"/>
        <v>1537</v>
      </c>
    </row>
    <row r="84" ht="14.25" customHeight="1">
      <c r="A84" s="2" t="str">
        <f t="array" ref="A84">IFERROR(INDEX('Product Price'!A:A,SMALL('Product Price'!$D:$D,82)),"")</f>
        <v>SAMSUNG Galaxy Z Flip7 12/512 GB</v>
      </c>
      <c r="B84" s="2">
        <f t="array" ref="B84">IFERROR(INDEX('Product Price'!B:B,SMALL('Product Price'!$D:$D,82)),"")</f>
        <v>48900</v>
      </c>
      <c r="C84" s="2">
        <f t="array" ref="C84">IFERROR(INDEX('Product Price'!C:C,SMALL('Product Price'!$D:$D,82)),"")</f>
        <v>72</v>
      </c>
      <c r="D84" s="2">
        <f t="shared" si="1"/>
        <v>2475</v>
      </c>
      <c r="E84" s="2">
        <f t="shared" si="2"/>
        <v>51375</v>
      </c>
      <c r="F84" s="2">
        <f t="shared" si="3"/>
        <v>9780</v>
      </c>
      <c r="G84" s="2">
        <f t="shared" si="4"/>
        <v>39120</v>
      </c>
      <c r="H84" s="2">
        <f t="shared" si="5"/>
        <v>41595</v>
      </c>
      <c r="I84" s="2">
        <f t="shared" si="6"/>
        <v>7930</v>
      </c>
      <c r="J84" s="2">
        <f t="shared" si="7"/>
        <v>5458</v>
      </c>
      <c r="K84" s="2">
        <f t="shared" si="8"/>
        <v>4221</v>
      </c>
      <c r="L84" s="2">
        <f t="shared" si="9"/>
        <v>3479</v>
      </c>
      <c r="M84" s="2">
        <f t="shared" si="10"/>
        <v>2985</v>
      </c>
      <c r="N84" s="2">
        <f t="shared" si="11"/>
        <v>2367</v>
      </c>
      <c r="O84" s="2">
        <f t="shared" si="12"/>
        <v>12225</v>
      </c>
      <c r="P84" s="2">
        <f t="shared" si="13"/>
        <v>36675</v>
      </c>
      <c r="Q84" s="2">
        <f t="shared" si="14"/>
        <v>39150</v>
      </c>
      <c r="R84" s="2">
        <f t="shared" si="15"/>
        <v>7464</v>
      </c>
      <c r="S84" s="2">
        <f t="shared" si="16"/>
        <v>5137</v>
      </c>
      <c r="T84" s="2">
        <f t="shared" si="17"/>
        <v>3973</v>
      </c>
      <c r="U84" s="2">
        <f t="shared" si="18"/>
        <v>3275</v>
      </c>
      <c r="V84" s="2">
        <f t="shared" si="19"/>
        <v>2809</v>
      </c>
      <c r="W84" s="2">
        <f t="shared" si="20"/>
        <v>2228</v>
      </c>
      <c r="X84" s="2">
        <f t="shared" si="21"/>
        <v>14670</v>
      </c>
      <c r="Y84" s="2">
        <f t="shared" si="22"/>
        <v>34230</v>
      </c>
      <c r="Z84" s="2">
        <f t="shared" si="23"/>
        <v>36705</v>
      </c>
      <c r="AA84" s="2">
        <f t="shared" si="24"/>
        <v>6998</v>
      </c>
      <c r="AB84" s="2">
        <f t="shared" si="25"/>
        <v>4816</v>
      </c>
      <c r="AC84" s="2">
        <f t="shared" si="26"/>
        <v>3725</v>
      </c>
      <c r="AD84" s="2">
        <f t="shared" si="27"/>
        <v>3070</v>
      </c>
      <c r="AE84" s="2">
        <f t="shared" si="28"/>
        <v>2634</v>
      </c>
      <c r="AF84" s="2">
        <f t="shared" si="29"/>
        <v>2089</v>
      </c>
      <c r="AG84" s="2">
        <f t="shared" si="30"/>
        <v>17115</v>
      </c>
      <c r="AH84" s="2">
        <f t="shared" si="31"/>
        <v>31785</v>
      </c>
      <c r="AI84" s="2">
        <f t="shared" si="32"/>
        <v>34260</v>
      </c>
      <c r="AJ84" s="2">
        <f t="shared" si="33"/>
        <v>6532</v>
      </c>
      <c r="AK84" s="2">
        <f t="shared" si="34"/>
        <v>4495</v>
      </c>
      <c r="AL84" s="2">
        <f t="shared" si="35"/>
        <v>3477</v>
      </c>
      <c r="AM84" s="2">
        <f t="shared" si="36"/>
        <v>2866</v>
      </c>
      <c r="AN84" s="2">
        <f t="shared" si="37"/>
        <v>2459</v>
      </c>
      <c r="AO84" s="2">
        <f t="shared" si="38"/>
        <v>1949</v>
      </c>
      <c r="AP84" s="2">
        <f t="shared" si="39"/>
        <v>19560</v>
      </c>
      <c r="AQ84" s="2">
        <f t="shared" si="40"/>
        <v>29340</v>
      </c>
      <c r="AR84" s="2">
        <f t="shared" si="41"/>
        <v>31815</v>
      </c>
      <c r="AS84" s="2">
        <f t="shared" si="42"/>
        <v>6066</v>
      </c>
      <c r="AT84" s="2">
        <f t="shared" si="43"/>
        <v>4174</v>
      </c>
      <c r="AU84" s="2">
        <f t="shared" si="44"/>
        <v>3229</v>
      </c>
      <c r="AV84" s="2">
        <f t="shared" si="45"/>
        <v>2661</v>
      </c>
      <c r="AW84" s="2">
        <f t="shared" si="46"/>
        <v>2283</v>
      </c>
      <c r="AX84" s="2">
        <f t="shared" si="47"/>
        <v>1810</v>
      </c>
    </row>
    <row r="85" ht="14.25" customHeight="1">
      <c r="A85" s="2" t="str">
        <f t="array" ref="A85">IFERROR(INDEX('Product Price'!A:A,SMALL('Product Price'!$D:$D,83)),"")</f>
        <v>SAMSUNG Galaxy Z Flip7 FE 8/128 GB</v>
      </c>
      <c r="B85" s="2">
        <f t="array" ref="B85">IFERROR(INDEX('Product Price'!B:B,SMALL('Product Price'!$D:$D,83)),"")</f>
        <v>32900</v>
      </c>
      <c r="C85" s="2">
        <f t="array" ref="C85">IFERROR(INDEX('Product Price'!C:C,SMALL('Product Price'!$D:$D,83)),"")</f>
        <v>73</v>
      </c>
      <c r="D85" s="2">
        <f t="shared" si="1"/>
        <v>1900</v>
      </c>
      <c r="E85" s="2">
        <f t="shared" si="2"/>
        <v>34800</v>
      </c>
      <c r="F85" s="2">
        <f t="shared" si="3"/>
        <v>6580</v>
      </c>
      <c r="G85" s="2">
        <f t="shared" si="4"/>
        <v>26320</v>
      </c>
      <c r="H85" s="2">
        <f t="shared" si="5"/>
        <v>28220</v>
      </c>
      <c r="I85" s="2">
        <f t="shared" si="6"/>
        <v>5380</v>
      </c>
      <c r="J85" s="2">
        <f t="shared" si="7"/>
        <v>3703</v>
      </c>
      <c r="K85" s="2">
        <f t="shared" si="8"/>
        <v>2864</v>
      </c>
      <c r="L85" s="2">
        <f t="shared" si="9"/>
        <v>2361</v>
      </c>
      <c r="M85" s="2">
        <f t="shared" si="10"/>
        <v>2025</v>
      </c>
      <c r="N85" s="2">
        <f t="shared" si="11"/>
        <v>1606</v>
      </c>
      <c r="O85" s="2">
        <f t="shared" si="12"/>
        <v>8225</v>
      </c>
      <c r="P85" s="2">
        <f t="shared" si="13"/>
        <v>24675</v>
      </c>
      <c r="Q85" s="2">
        <f t="shared" si="14"/>
        <v>26575</v>
      </c>
      <c r="R85" s="2">
        <f t="shared" si="15"/>
        <v>5067</v>
      </c>
      <c r="S85" s="2">
        <f t="shared" si="16"/>
        <v>3487</v>
      </c>
      <c r="T85" s="2">
        <f t="shared" si="17"/>
        <v>2697</v>
      </c>
      <c r="U85" s="2">
        <f t="shared" si="18"/>
        <v>2223</v>
      </c>
      <c r="V85" s="2">
        <f t="shared" si="19"/>
        <v>1907</v>
      </c>
      <c r="W85" s="2">
        <f t="shared" si="20"/>
        <v>1512</v>
      </c>
      <c r="X85" s="2">
        <f t="shared" si="21"/>
        <v>9870</v>
      </c>
      <c r="Y85" s="2">
        <f t="shared" si="22"/>
        <v>23030</v>
      </c>
      <c r="Z85" s="2">
        <f t="shared" si="23"/>
        <v>24930</v>
      </c>
      <c r="AA85" s="2">
        <f t="shared" si="24"/>
        <v>4753</v>
      </c>
      <c r="AB85" s="2">
        <f t="shared" si="25"/>
        <v>3271</v>
      </c>
      <c r="AC85" s="2">
        <f t="shared" si="26"/>
        <v>2530</v>
      </c>
      <c r="AD85" s="2">
        <f t="shared" si="27"/>
        <v>2086</v>
      </c>
      <c r="AE85" s="2">
        <f t="shared" si="28"/>
        <v>1789</v>
      </c>
      <c r="AF85" s="2">
        <f t="shared" si="29"/>
        <v>1419</v>
      </c>
      <c r="AG85" s="2">
        <f t="shared" si="30"/>
        <v>11515</v>
      </c>
      <c r="AH85" s="2">
        <f t="shared" si="31"/>
        <v>21385</v>
      </c>
      <c r="AI85" s="2">
        <f t="shared" si="32"/>
        <v>23285</v>
      </c>
      <c r="AJ85" s="2">
        <f t="shared" si="33"/>
        <v>4440</v>
      </c>
      <c r="AK85" s="2">
        <f t="shared" si="34"/>
        <v>3055</v>
      </c>
      <c r="AL85" s="2">
        <f t="shared" si="35"/>
        <v>2363</v>
      </c>
      <c r="AM85" s="2">
        <f t="shared" si="36"/>
        <v>1948</v>
      </c>
      <c r="AN85" s="2">
        <f t="shared" si="37"/>
        <v>1671</v>
      </c>
      <c r="AO85" s="2">
        <f t="shared" si="38"/>
        <v>1325</v>
      </c>
      <c r="AP85" s="2">
        <f t="shared" si="39"/>
        <v>13160</v>
      </c>
      <c r="AQ85" s="2">
        <f t="shared" si="40"/>
        <v>19740</v>
      </c>
      <c r="AR85" s="2">
        <f t="shared" si="41"/>
        <v>21640</v>
      </c>
      <c r="AS85" s="2">
        <f t="shared" si="42"/>
        <v>4126</v>
      </c>
      <c r="AT85" s="2">
        <f t="shared" si="43"/>
        <v>2840</v>
      </c>
      <c r="AU85" s="2">
        <f t="shared" si="44"/>
        <v>2196</v>
      </c>
      <c r="AV85" s="2">
        <f t="shared" si="45"/>
        <v>1810</v>
      </c>
      <c r="AW85" s="2">
        <f t="shared" si="46"/>
        <v>1553</v>
      </c>
      <c r="AX85" s="2">
        <f t="shared" si="47"/>
        <v>1232</v>
      </c>
    </row>
    <row r="86" ht="14.25" customHeight="1">
      <c r="A86" s="2" t="str">
        <f t="array" ref="A86">IFERROR(INDEX('Product Price'!A:A,SMALL('Product Price'!$D:$D,84)),"")</f>
        <v>SAMSUNG Galaxy Z Flip7 FE 8/256 GB</v>
      </c>
      <c r="B86" s="2">
        <f t="array" ref="B86">IFERROR(INDEX('Product Price'!B:B,SMALL('Product Price'!$D:$D,84)),"")</f>
        <v>36900</v>
      </c>
      <c r="C86" s="2">
        <f t="array" ref="C86">IFERROR(INDEX('Product Price'!C:C,SMALL('Product Price'!$D:$D,84)),"")</f>
        <v>74</v>
      </c>
      <c r="D86" s="2">
        <f t="shared" si="1"/>
        <v>1900</v>
      </c>
      <c r="E86" s="2">
        <f t="shared" si="2"/>
        <v>38800</v>
      </c>
      <c r="F86" s="2">
        <f t="shared" si="3"/>
        <v>7380</v>
      </c>
      <c r="G86" s="2">
        <f t="shared" si="4"/>
        <v>29520</v>
      </c>
      <c r="H86" s="2">
        <f t="shared" si="5"/>
        <v>31420</v>
      </c>
      <c r="I86" s="2">
        <f t="shared" si="6"/>
        <v>5990</v>
      </c>
      <c r="J86" s="2">
        <f t="shared" si="7"/>
        <v>4123</v>
      </c>
      <c r="K86" s="2">
        <f t="shared" si="8"/>
        <v>3189</v>
      </c>
      <c r="L86" s="2">
        <f t="shared" si="9"/>
        <v>2628</v>
      </c>
      <c r="M86" s="2">
        <f t="shared" si="10"/>
        <v>2255</v>
      </c>
      <c r="N86" s="2">
        <f t="shared" si="11"/>
        <v>1788</v>
      </c>
      <c r="O86" s="2">
        <f t="shared" si="12"/>
        <v>9225</v>
      </c>
      <c r="P86" s="2">
        <f t="shared" si="13"/>
        <v>27675</v>
      </c>
      <c r="Q86" s="2">
        <f t="shared" si="14"/>
        <v>29575</v>
      </c>
      <c r="R86" s="2">
        <f t="shared" si="15"/>
        <v>5639</v>
      </c>
      <c r="S86" s="2">
        <f t="shared" si="16"/>
        <v>3881</v>
      </c>
      <c r="T86" s="2">
        <f t="shared" si="17"/>
        <v>3002</v>
      </c>
      <c r="U86" s="2">
        <f t="shared" si="18"/>
        <v>2474</v>
      </c>
      <c r="V86" s="2">
        <f t="shared" si="19"/>
        <v>2122</v>
      </c>
      <c r="W86" s="2">
        <f t="shared" si="20"/>
        <v>1683</v>
      </c>
      <c r="X86" s="2">
        <f t="shared" si="21"/>
        <v>11070</v>
      </c>
      <c r="Y86" s="2">
        <f t="shared" si="22"/>
        <v>25830</v>
      </c>
      <c r="Z86" s="2">
        <f t="shared" si="23"/>
        <v>27730</v>
      </c>
      <c r="AA86" s="2">
        <f t="shared" si="24"/>
        <v>5287</v>
      </c>
      <c r="AB86" s="2">
        <f t="shared" si="25"/>
        <v>3639</v>
      </c>
      <c r="AC86" s="2">
        <f t="shared" si="26"/>
        <v>2814</v>
      </c>
      <c r="AD86" s="2">
        <f t="shared" si="27"/>
        <v>2320</v>
      </c>
      <c r="AE86" s="2">
        <f t="shared" si="28"/>
        <v>1990</v>
      </c>
      <c r="AF86" s="2">
        <f t="shared" si="29"/>
        <v>1578</v>
      </c>
      <c r="AG86" s="2">
        <f t="shared" si="30"/>
        <v>12915</v>
      </c>
      <c r="AH86" s="2">
        <f t="shared" si="31"/>
        <v>23985</v>
      </c>
      <c r="AI86" s="2">
        <f t="shared" si="32"/>
        <v>25885</v>
      </c>
      <c r="AJ86" s="2">
        <f t="shared" si="33"/>
        <v>4935</v>
      </c>
      <c r="AK86" s="2">
        <f t="shared" si="34"/>
        <v>3396</v>
      </c>
      <c r="AL86" s="2">
        <f t="shared" si="35"/>
        <v>2627</v>
      </c>
      <c r="AM86" s="2">
        <f t="shared" si="36"/>
        <v>2165</v>
      </c>
      <c r="AN86" s="2">
        <f t="shared" si="37"/>
        <v>1858</v>
      </c>
      <c r="AO86" s="2">
        <f t="shared" si="38"/>
        <v>1473</v>
      </c>
      <c r="AP86" s="2">
        <f t="shared" si="39"/>
        <v>14760</v>
      </c>
      <c r="AQ86" s="2">
        <f t="shared" si="40"/>
        <v>22140</v>
      </c>
      <c r="AR86" s="2">
        <f t="shared" si="41"/>
        <v>24040</v>
      </c>
      <c r="AS86" s="2">
        <f t="shared" si="42"/>
        <v>4583</v>
      </c>
      <c r="AT86" s="2">
        <f t="shared" si="43"/>
        <v>3154</v>
      </c>
      <c r="AU86" s="2">
        <f t="shared" si="44"/>
        <v>2440</v>
      </c>
      <c r="AV86" s="2">
        <f t="shared" si="45"/>
        <v>2011</v>
      </c>
      <c r="AW86" s="2">
        <f t="shared" si="46"/>
        <v>1725</v>
      </c>
      <c r="AX86" s="2">
        <f t="shared" si="47"/>
        <v>1368</v>
      </c>
    </row>
    <row r="87" ht="14.25" customHeight="1">
      <c r="A87" s="2" t="str">
        <f t="array" ref="A87">IFERROR(INDEX('Product Price'!A:A,SMALL('Product Price'!$D:$D,85)),"")</f>
        <v>SAMSUNG Galaxy Z Fold6 12/256 GB</v>
      </c>
      <c r="B87" s="2">
        <f t="array" ref="B87">IFERROR(INDEX('Product Price'!B:B,SMALL('Product Price'!$D:$D,85)),"")</f>
        <v>63900</v>
      </c>
      <c r="C87" s="2">
        <f t="array" ref="C87">IFERROR(INDEX('Product Price'!C:C,SMALL('Product Price'!$D:$D,85)),"")</f>
        <v>75</v>
      </c>
      <c r="D87" s="2">
        <f t="shared" si="1"/>
        <v>4025</v>
      </c>
      <c r="E87" s="2">
        <f t="shared" si="2"/>
        <v>67925</v>
      </c>
      <c r="F87" s="2">
        <f t="shared" si="3"/>
        <v>12780</v>
      </c>
      <c r="G87" s="2">
        <f t="shared" si="4"/>
        <v>51120</v>
      </c>
      <c r="H87" s="2">
        <f t="shared" si="5"/>
        <v>55145</v>
      </c>
      <c r="I87" s="2">
        <f t="shared" si="6"/>
        <v>10513</v>
      </c>
      <c r="J87" s="2">
        <f t="shared" si="7"/>
        <v>7235</v>
      </c>
      <c r="K87" s="2">
        <f t="shared" si="8"/>
        <v>5596</v>
      </c>
      <c r="L87" s="2">
        <f t="shared" si="9"/>
        <v>4613</v>
      </c>
      <c r="M87" s="2">
        <f t="shared" si="10"/>
        <v>3957</v>
      </c>
      <c r="N87" s="2">
        <f t="shared" si="11"/>
        <v>3138</v>
      </c>
      <c r="O87" s="2">
        <f t="shared" si="12"/>
        <v>15975</v>
      </c>
      <c r="P87" s="2">
        <f t="shared" si="13"/>
        <v>47925</v>
      </c>
      <c r="Q87" s="2">
        <f t="shared" si="14"/>
        <v>51950</v>
      </c>
      <c r="R87" s="2">
        <f t="shared" si="15"/>
        <v>9904</v>
      </c>
      <c r="S87" s="2">
        <f t="shared" si="16"/>
        <v>6816</v>
      </c>
      <c r="T87" s="2">
        <f t="shared" si="17"/>
        <v>5272</v>
      </c>
      <c r="U87" s="2">
        <f t="shared" si="18"/>
        <v>4346</v>
      </c>
      <c r="V87" s="2">
        <f t="shared" si="19"/>
        <v>3728</v>
      </c>
      <c r="W87" s="2">
        <f t="shared" si="20"/>
        <v>2956</v>
      </c>
      <c r="X87" s="2">
        <f t="shared" si="21"/>
        <v>19170</v>
      </c>
      <c r="Y87" s="2">
        <f t="shared" si="22"/>
        <v>44730</v>
      </c>
      <c r="Z87" s="2">
        <f t="shared" si="23"/>
        <v>48755</v>
      </c>
      <c r="AA87" s="2">
        <f t="shared" si="24"/>
        <v>9295</v>
      </c>
      <c r="AB87" s="2">
        <f t="shared" si="25"/>
        <v>6397</v>
      </c>
      <c r="AC87" s="2">
        <f t="shared" si="26"/>
        <v>4948</v>
      </c>
      <c r="AD87" s="2">
        <f t="shared" si="27"/>
        <v>4078</v>
      </c>
      <c r="AE87" s="2">
        <f t="shared" si="28"/>
        <v>3499</v>
      </c>
      <c r="AF87" s="2">
        <f t="shared" si="29"/>
        <v>2774</v>
      </c>
      <c r="AG87" s="2">
        <f t="shared" si="30"/>
        <v>22365</v>
      </c>
      <c r="AH87" s="2">
        <f t="shared" si="31"/>
        <v>41535</v>
      </c>
      <c r="AI87" s="2">
        <f t="shared" si="32"/>
        <v>45560</v>
      </c>
      <c r="AJ87" s="2">
        <f t="shared" si="33"/>
        <v>8686</v>
      </c>
      <c r="AK87" s="2">
        <f t="shared" si="34"/>
        <v>5978</v>
      </c>
      <c r="AL87" s="2">
        <f t="shared" si="35"/>
        <v>4624</v>
      </c>
      <c r="AM87" s="2">
        <f t="shared" si="36"/>
        <v>3811</v>
      </c>
      <c r="AN87" s="2">
        <f t="shared" si="37"/>
        <v>3269</v>
      </c>
      <c r="AO87" s="2">
        <f t="shared" si="38"/>
        <v>2592</v>
      </c>
      <c r="AP87" s="2">
        <f t="shared" si="39"/>
        <v>25560</v>
      </c>
      <c r="AQ87" s="2">
        <f t="shared" si="40"/>
        <v>38340</v>
      </c>
      <c r="AR87" s="2">
        <f t="shared" si="41"/>
        <v>42365</v>
      </c>
      <c r="AS87" s="2">
        <f t="shared" si="42"/>
        <v>8077</v>
      </c>
      <c r="AT87" s="2">
        <f t="shared" si="43"/>
        <v>5559</v>
      </c>
      <c r="AU87" s="2">
        <f t="shared" si="44"/>
        <v>4299</v>
      </c>
      <c r="AV87" s="2">
        <f t="shared" si="45"/>
        <v>3544</v>
      </c>
      <c r="AW87" s="2">
        <f t="shared" si="46"/>
        <v>3040</v>
      </c>
      <c r="AX87" s="2">
        <f t="shared" si="47"/>
        <v>2411</v>
      </c>
    </row>
    <row r="88" ht="14.25" customHeight="1">
      <c r="A88" s="2" t="str">
        <f t="array" ref="A88">IFERROR(INDEX('Product Price'!A:A,SMALL('Product Price'!$D:$D,86)),"")</f>
        <v>SAMSUNG Galaxy Z Fold6 12/512 GB</v>
      </c>
      <c r="B88" s="2">
        <f t="array" ref="B88">IFERROR(INDEX('Product Price'!B:B,SMALL('Product Price'!$D:$D,86)),"")</f>
        <v>68900</v>
      </c>
      <c r="C88" s="2">
        <f t="array" ref="C88">IFERROR(INDEX('Product Price'!C:C,SMALL('Product Price'!$D:$D,86)),"")</f>
        <v>76</v>
      </c>
      <c r="D88" s="2">
        <f t="shared" si="1"/>
        <v>4025</v>
      </c>
      <c r="E88" s="2">
        <f t="shared" si="2"/>
        <v>72925</v>
      </c>
      <c r="F88" s="2">
        <f t="shared" si="3"/>
        <v>13780</v>
      </c>
      <c r="G88" s="2">
        <f t="shared" si="4"/>
        <v>55120</v>
      </c>
      <c r="H88" s="2">
        <f t="shared" si="5"/>
        <v>59145</v>
      </c>
      <c r="I88" s="2">
        <f t="shared" si="6"/>
        <v>11276</v>
      </c>
      <c r="J88" s="2">
        <f t="shared" si="7"/>
        <v>7760</v>
      </c>
      <c r="K88" s="2">
        <f t="shared" si="8"/>
        <v>6002</v>
      </c>
      <c r="L88" s="2">
        <f t="shared" si="9"/>
        <v>4947</v>
      </c>
      <c r="M88" s="2">
        <f t="shared" si="10"/>
        <v>4244</v>
      </c>
      <c r="N88" s="2">
        <f t="shared" si="11"/>
        <v>3365</v>
      </c>
      <c r="O88" s="2">
        <f t="shared" si="12"/>
        <v>17225</v>
      </c>
      <c r="P88" s="2">
        <f t="shared" si="13"/>
        <v>51675</v>
      </c>
      <c r="Q88" s="2">
        <f t="shared" si="14"/>
        <v>55700</v>
      </c>
      <c r="R88" s="2">
        <f t="shared" si="15"/>
        <v>10619</v>
      </c>
      <c r="S88" s="2">
        <f t="shared" si="16"/>
        <v>7308</v>
      </c>
      <c r="T88" s="2">
        <f t="shared" si="17"/>
        <v>5652</v>
      </c>
      <c r="U88" s="2">
        <f t="shared" si="18"/>
        <v>4659</v>
      </c>
      <c r="V88" s="2">
        <f t="shared" si="19"/>
        <v>3997</v>
      </c>
      <c r="W88" s="2">
        <f t="shared" si="20"/>
        <v>3169</v>
      </c>
      <c r="X88" s="2">
        <f t="shared" si="21"/>
        <v>20670</v>
      </c>
      <c r="Y88" s="2">
        <f t="shared" si="22"/>
        <v>48230</v>
      </c>
      <c r="Z88" s="2">
        <f t="shared" si="23"/>
        <v>52255</v>
      </c>
      <c r="AA88" s="2">
        <f t="shared" si="24"/>
        <v>9962</v>
      </c>
      <c r="AB88" s="2">
        <f t="shared" si="25"/>
        <v>6856</v>
      </c>
      <c r="AC88" s="2">
        <f t="shared" si="26"/>
        <v>5303</v>
      </c>
      <c r="AD88" s="2">
        <f t="shared" si="27"/>
        <v>4371</v>
      </c>
      <c r="AE88" s="2">
        <f t="shared" si="28"/>
        <v>3750</v>
      </c>
      <c r="AF88" s="2">
        <f t="shared" si="29"/>
        <v>2973</v>
      </c>
      <c r="AG88" s="2">
        <f t="shared" si="30"/>
        <v>24115</v>
      </c>
      <c r="AH88" s="2">
        <f t="shared" si="31"/>
        <v>44785</v>
      </c>
      <c r="AI88" s="2">
        <f t="shared" si="32"/>
        <v>48810</v>
      </c>
      <c r="AJ88" s="2">
        <f t="shared" si="33"/>
        <v>9306</v>
      </c>
      <c r="AK88" s="2">
        <f t="shared" si="34"/>
        <v>6404</v>
      </c>
      <c r="AL88" s="2">
        <f t="shared" si="35"/>
        <v>4953</v>
      </c>
      <c r="AM88" s="2">
        <f t="shared" si="36"/>
        <v>4083</v>
      </c>
      <c r="AN88" s="2">
        <f t="shared" si="37"/>
        <v>3503</v>
      </c>
      <c r="AO88" s="2">
        <f t="shared" si="38"/>
        <v>2777</v>
      </c>
      <c r="AP88" s="2">
        <f t="shared" si="39"/>
        <v>27560</v>
      </c>
      <c r="AQ88" s="2">
        <f t="shared" si="40"/>
        <v>41340</v>
      </c>
      <c r="AR88" s="2">
        <f t="shared" si="41"/>
        <v>45365</v>
      </c>
      <c r="AS88" s="2">
        <f t="shared" si="42"/>
        <v>8649</v>
      </c>
      <c r="AT88" s="2">
        <f t="shared" si="43"/>
        <v>5952</v>
      </c>
      <c r="AU88" s="2">
        <f t="shared" si="44"/>
        <v>4604</v>
      </c>
      <c r="AV88" s="2">
        <f t="shared" si="45"/>
        <v>3795</v>
      </c>
      <c r="AW88" s="2">
        <f t="shared" si="46"/>
        <v>3255</v>
      </c>
      <c r="AX88" s="2">
        <f t="shared" si="47"/>
        <v>2581</v>
      </c>
    </row>
    <row r="89" ht="14.25" customHeight="1">
      <c r="A89" s="2" t="str">
        <f t="array" ref="A89">IFERROR(INDEX('Product Price'!A:A,SMALL('Product Price'!$D:$D,87)),"")</f>
        <v>SAMSUNG Galaxy Z Fold6 12/1TB GB</v>
      </c>
      <c r="B89" s="2">
        <f t="array" ref="B89">IFERROR(INDEX('Product Price'!B:B,SMALL('Product Price'!$D:$D,87)),"")</f>
        <v>78900</v>
      </c>
      <c r="C89" s="2">
        <f t="array" ref="C89">IFERROR(INDEX('Product Price'!C:C,SMALL('Product Price'!$D:$D,87)),"")</f>
        <v>77</v>
      </c>
      <c r="D89" s="2">
        <f t="shared" si="1"/>
        <v>4025</v>
      </c>
      <c r="E89" s="2">
        <f t="shared" si="2"/>
        <v>82925</v>
      </c>
      <c r="F89" s="2">
        <f t="shared" si="3"/>
        <v>15780</v>
      </c>
      <c r="G89" s="2">
        <f t="shared" si="4"/>
        <v>63120</v>
      </c>
      <c r="H89" s="2">
        <f t="shared" si="5"/>
        <v>67145</v>
      </c>
      <c r="I89" s="2">
        <f t="shared" si="6"/>
        <v>12801</v>
      </c>
      <c r="J89" s="2">
        <f t="shared" si="7"/>
        <v>8810</v>
      </c>
      <c r="K89" s="2">
        <f t="shared" si="8"/>
        <v>6814</v>
      </c>
      <c r="L89" s="2">
        <f t="shared" si="9"/>
        <v>5616</v>
      </c>
      <c r="M89" s="2">
        <f t="shared" si="10"/>
        <v>4818</v>
      </c>
      <c r="N89" s="2">
        <f t="shared" si="11"/>
        <v>3820</v>
      </c>
      <c r="O89" s="2">
        <f t="shared" si="12"/>
        <v>19725</v>
      </c>
      <c r="P89" s="2">
        <f t="shared" si="13"/>
        <v>59175</v>
      </c>
      <c r="Q89" s="2">
        <f t="shared" si="14"/>
        <v>63200</v>
      </c>
      <c r="R89" s="2">
        <f t="shared" si="15"/>
        <v>12049</v>
      </c>
      <c r="S89" s="2">
        <f t="shared" si="16"/>
        <v>8292</v>
      </c>
      <c r="T89" s="2">
        <f t="shared" si="17"/>
        <v>6414</v>
      </c>
      <c r="U89" s="2">
        <f t="shared" si="18"/>
        <v>5286</v>
      </c>
      <c r="V89" s="2">
        <f t="shared" si="19"/>
        <v>4535</v>
      </c>
      <c r="W89" s="2">
        <f t="shared" si="20"/>
        <v>3596</v>
      </c>
      <c r="X89" s="2">
        <f t="shared" si="21"/>
        <v>23670</v>
      </c>
      <c r="Y89" s="2">
        <f t="shared" si="22"/>
        <v>55230</v>
      </c>
      <c r="Z89" s="2">
        <f t="shared" si="23"/>
        <v>59255</v>
      </c>
      <c r="AA89" s="2">
        <f t="shared" si="24"/>
        <v>11297</v>
      </c>
      <c r="AB89" s="2">
        <f t="shared" si="25"/>
        <v>7774</v>
      </c>
      <c r="AC89" s="2">
        <f t="shared" si="26"/>
        <v>6013</v>
      </c>
      <c r="AD89" s="2">
        <f t="shared" si="27"/>
        <v>4956</v>
      </c>
      <c r="AE89" s="2">
        <f t="shared" si="28"/>
        <v>4252</v>
      </c>
      <c r="AF89" s="2">
        <f t="shared" si="29"/>
        <v>3371</v>
      </c>
      <c r="AG89" s="2">
        <f t="shared" si="30"/>
        <v>27615</v>
      </c>
      <c r="AH89" s="2">
        <f t="shared" si="31"/>
        <v>51285</v>
      </c>
      <c r="AI89" s="2">
        <f t="shared" si="32"/>
        <v>55310</v>
      </c>
      <c r="AJ89" s="2">
        <f t="shared" si="33"/>
        <v>10545</v>
      </c>
      <c r="AK89" s="2">
        <f t="shared" si="34"/>
        <v>7257</v>
      </c>
      <c r="AL89" s="2">
        <f t="shared" si="35"/>
        <v>5613</v>
      </c>
      <c r="AM89" s="2">
        <f t="shared" si="36"/>
        <v>4627</v>
      </c>
      <c r="AN89" s="2">
        <f t="shared" si="37"/>
        <v>3969</v>
      </c>
      <c r="AO89" s="2">
        <f t="shared" si="38"/>
        <v>3147</v>
      </c>
      <c r="AP89" s="2">
        <f t="shared" si="39"/>
        <v>31560</v>
      </c>
      <c r="AQ89" s="2">
        <f t="shared" si="40"/>
        <v>47340</v>
      </c>
      <c r="AR89" s="2">
        <f t="shared" si="41"/>
        <v>51365</v>
      </c>
      <c r="AS89" s="2">
        <f t="shared" si="42"/>
        <v>9793</v>
      </c>
      <c r="AT89" s="2">
        <f t="shared" si="43"/>
        <v>6739</v>
      </c>
      <c r="AU89" s="2">
        <f t="shared" si="44"/>
        <v>5213</v>
      </c>
      <c r="AV89" s="2">
        <f t="shared" si="45"/>
        <v>4297</v>
      </c>
      <c r="AW89" s="2">
        <f t="shared" si="46"/>
        <v>3686</v>
      </c>
      <c r="AX89" s="2">
        <f t="shared" si="47"/>
        <v>2923</v>
      </c>
    </row>
    <row r="90" ht="14.25" customHeight="1">
      <c r="A90" s="2" t="str">
        <f t="array" ref="A90">IFERROR(INDEX('Product Price'!A:A,SMALL('Product Price'!$D:$D,88)),"")</f>
        <v>SAMSUNG Galaxy Z Fold7 12/256 GB</v>
      </c>
      <c r="B90" s="2">
        <f t="array" ref="B90">IFERROR(INDEX('Product Price'!B:B,SMALL('Product Price'!$D:$D,88)),"")</f>
        <v>67900</v>
      </c>
      <c r="C90" s="2">
        <f t="array" ref="C90">IFERROR(INDEX('Product Price'!C:C,SMALL('Product Price'!$D:$D,88)),"")</f>
        <v>78</v>
      </c>
      <c r="D90" s="2">
        <f t="shared" si="1"/>
        <v>4025</v>
      </c>
      <c r="E90" s="2">
        <f t="shared" si="2"/>
        <v>71925</v>
      </c>
      <c r="F90" s="2">
        <f t="shared" si="3"/>
        <v>13580</v>
      </c>
      <c r="G90" s="2">
        <f t="shared" si="4"/>
        <v>54320</v>
      </c>
      <c r="H90" s="2">
        <f t="shared" si="5"/>
        <v>58345</v>
      </c>
      <c r="I90" s="2">
        <f t="shared" si="6"/>
        <v>11123</v>
      </c>
      <c r="J90" s="2">
        <f t="shared" si="7"/>
        <v>7655</v>
      </c>
      <c r="K90" s="2">
        <f t="shared" si="8"/>
        <v>5921</v>
      </c>
      <c r="L90" s="2">
        <f t="shared" si="9"/>
        <v>4880</v>
      </c>
      <c r="M90" s="2">
        <f t="shared" si="10"/>
        <v>4187</v>
      </c>
      <c r="N90" s="2">
        <f t="shared" si="11"/>
        <v>3320</v>
      </c>
      <c r="O90" s="2">
        <f t="shared" si="12"/>
        <v>16975</v>
      </c>
      <c r="P90" s="2">
        <f t="shared" si="13"/>
        <v>50925</v>
      </c>
      <c r="Q90" s="2">
        <f t="shared" si="14"/>
        <v>54950</v>
      </c>
      <c r="R90" s="2">
        <f t="shared" si="15"/>
        <v>10476</v>
      </c>
      <c r="S90" s="2">
        <f t="shared" si="16"/>
        <v>7210</v>
      </c>
      <c r="T90" s="2">
        <f t="shared" si="17"/>
        <v>5576</v>
      </c>
      <c r="U90" s="2">
        <f t="shared" si="18"/>
        <v>4596</v>
      </c>
      <c r="V90" s="2">
        <f t="shared" si="19"/>
        <v>3943</v>
      </c>
      <c r="W90" s="2">
        <f t="shared" si="20"/>
        <v>3127</v>
      </c>
      <c r="X90" s="2">
        <f t="shared" si="21"/>
        <v>20370</v>
      </c>
      <c r="Y90" s="2">
        <f t="shared" si="22"/>
        <v>47530</v>
      </c>
      <c r="Z90" s="2">
        <f t="shared" si="23"/>
        <v>51555</v>
      </c>
      <c r="AA90" s="2">
        <f t="shared" si="24"/>
        <v>9829</v>
      </c>
      <c r="AB90" s="2">
        <f t="shared" si="25"/>
        <v>6764</v>
      </c>
      <c r="AC90" s="2">
        <f t="shared" si="26"/>
        <v>5232</v>
      </c>
      <c r="AD90" s="2">
        <f t="shared" si="27"/>
        <v>4312</v>
      </c>
      <c r="AE90" s="2">
        <f t="shared" si="28"/>
        <v>3700</v>
      </c>
      <c r="AF90" s="2">
        <f t="shared" si="29"/>
        <v>2933</v>
      </c>
      <c r="AG90" s="2">
        <f t="shared" si="30"/>
        <v>23765</v>
      </c>
      <c r="AH90" s="2">
        <f t="shared" si="31"/>
        <v>44135</v>
      </c>
      <c r="AI90" s="2">
        <f t="shared" si="32"/>
        <v>48160</v>
      </c>
      <c r="AJ90" s="2">
        <f t="shared" si="33"/>
        <v>9182</v>
      </c>
      <c r="AK90" s="2">
        <f t="shared" si="34"/>
        <v>6319</v>
      </c>
      <c r="AL90" s="2">
        <f t="shared" si="35"/>
        <v>4887</v>
      </c>
      <c r="AM90" s="2">
        <f t="shared" si="36"/>
        <v>4029</v>
      </c>
      <c r="AN90" s="2">
        <f t="shared" si="37"/>
        <v>3456</v>
      </c>
      <c r="AO90" s="2">
        <f t="shared" si="38"/>
        <v>2740</v>
      </c>
      <c r="AP90" s="2">
        <f t="shared" si="39"/>
        <v>27160</v>
      </c>
      <c r="AQ90" s="2">
        <f t="shared" si="40"/>
        <v>40740</v>
      </c>
      <c r="AR90" s="2">
        <f t="shared" si="41"/>
        <v>44765</v>
      </c>
      <c r="AS90" s="2">
        <f t="shared" si="42"/>
        <v>8534</v>
      </c>
      <c r="AT90" s="2">
        <f t="shared" si="43"/>
        <v>5873</v>
      </c>
      <c r="AU90" s="2">
        <f t="shared" si="44"/>
        <v>4543</v>
      </c>
      <c r="AV90" s="2">
        <f t="shared" si="45"/>
        <v>3745</v>
      </c>
      <c r="AW90" s="2">
        <f t="shared" si="46"/>
        <v>3212</v>
      </c>
      <c r="AX90" s="2">
        <f t="shared" si="47"/>
        <v>2547</v>
      </c>
    </row>
    <row r="91" ht="14.25" customHeight="1">
      <c r="A91" s="2" t="str">
        <f t="array" ref="A91">IFERROR(INDEX('Product Price'!A:A,SMALL('Product Price'!$D:$D,89)),"")</f>
        <v>SAMSUNG Galaxy Z Fold7 12/512 GB</v>
      </c>
      <c r="B91" s="2">
        <f t="array" ref="B91">IFERROR(INDEX('Product Price'!B:B,SMALL('Product Price'!$D:$D,89)),"")</f>
        <v>75900</v>
      </c>
      <c r="C91" s="2">
        <f t="array" ref="C91">IFERROR(INDEX('Product Price'!C:C,SMALL('Product Price'!$D:$D,89)),"")</f>
        <v>79</v>
      </c>
      <c r="D91" s="2">
        <f t="shared" si="1"/>
        <v>4025</v>
      </c>
      <c r="E91" s="2">
        <f t="shared" si="2"/>
        <v>79925</v>
      </c>
      <c r="F91" s="2">
        <f t="shared" si="3"/>
        <v>15180</v>
      </c>
      <c r="G91" s="2">
        <f t="shared" si="4"/>
        <v>60720</v>
      </c>
      <c r="H91" s="2">
        <f t="shared" si="5"/>
        <v>64745</v>
      </c>
      <c r="I91" s="2">
        <f t="shared" si="6"/>
        <v>12343</v>
      </c>
      <c r="J91" s="2">
        <f t="shared" si="7"/>
        <v>8495</v>
      </c>
      <c r="K91" s="2">
        <f t="shared" si="8"/>
        <v>6570</v>
      </c>
      <c r="L91" s="2">
        <f t="shared" si="9"/>
        <v>5416</v>
      </c>
      <c r="M91" s="2">
        <f t="shared" si="10"/>
        <v>4646</v>
      </c>
      <c r="N91" s="2">
        <f t="shared" si="11"/>
        <v>3684</v>
      </c>
      <c r="O91" s="2">
        <f t="shared" si="12"/>
        <v>18975</v>
      </c>
      <c r="P91" s="2">
        <f t="shared" si="13"/>
        <v>56925</v>
      </c>
      <c r="Q91" s="2">
        <f t="shared" si="14"/>
        <v>60950</v>
      </c>
      <c r="R91" s="2">
        <f t="shared" si="15"/>
        <v>11620</v>
      </c>
      <c r="S91" s="2">
        <f t="shared" si="16"/>
        <v>7997</v>
      </c>
      <c r="T91" s="2">
        <f t="shared" si="17"/>
        <v>6185</v>
      </c>
      <c r="U91" s="2">
        <f t="shared" si="18"/>
        <v>5098</v>
      </c>
      <c r="V91" s="2">
        <f t="shared" si="19"/>
        <v>4374</v>
      </c>
      <c r="W91" s="2">
        <f t="shared" si="20"/>
        <v>3468</v>
      </c>
      <c r="X91" s="2">
        <f t="shared" si="21"/>
        <v>22770</v>
      </c>
      <c r="Y91" s="2">
        <f t="shared" si="22"/>
        <v>53130</v>
      </c>
      <c r="Z91" s="2">
        <f t="shared" si="23"/>
        <v>57155</v>
      </c>
      <c r="AA91" s="2">
        <f t="shared" si="24"/>
        <v>10896</v>
      </c>
      <c r="AB91" s="2">
        <f t="shared" si="25"/>
        <v>7499</v>
      </c>
      <c r="AC91" s="2">
        <f t="shared" si="26"/>
        <v>5800</v>
      </c>
      <c r="AD91" s="2">
        <f t="shared" si="27"/>
        <v>4781</v>
      </c>
      <c r="AE91" s="2">
        <f t="shared" si="28"/>
        <v>4101</v>
      </c>
      <c r="AF91" s="2">
        <f t="shared" si="29"/>
        <v>3252</v>
      </c>
      <c r="AG91" s="2">
        <f t="shared" si="30"/>
        <v>26565</v>
      </c>
      <c r="AH91" s="2">
        <f t="shared" si="31"/>
        <v>49335</v>
      </c>
      <c r="AI91" s="2">
        <f t="shared" si="32"/>
        <v>53360</v>
      </c>
      <c r="AJ91" s="2">
        <f t="shared" si="33"/>
        <v>10173</v>
      </c>
      <c r="AK91" s="2">
        <f t="shared" si="34"/>
        <v>7001</v>
      </c>
      <c r="AL91" s="2">
        <f t="shared" si="35"/>
        <v>5415</v>
      </c>
      <c r="AM91" s="2">
        <f t="shared" si="36"/>
        <v>4463</v>
      </c>
      <c r="AN91" s="2">
        <f t="shared" si="37"/>
        <v>3829</v>
      </c>
      <c r="AO91" s="2">
        <f t="shared" si="38"/>
        <v>3036</v>
      </c>
      <c r="AP91" s="2">
        <f t="shared" si="39"/>
        <v>30360</v>
      </c>
      <c r="AQ91" s="2">
        <f t="shared" si="40"/>
        <v>45540</v>
      </c>
      <c r="AR91" s="2">
        <f t="shared" si="41"/>
        <v>49565</v>
      </c>
      <c r="AS91" s="2">
        <f t="shared" si="42"/>
        <v>9449</v>
      </c>
      <c r="AT91" s="2">
        <f t="shared" si="43"/>
        <v>6503</v>
      </c>
      <c r="AU91" s="2">
        <f t="shared" si="44"/>
        <v>5030</v>
      </c>
      <c r="AV91" s="2">
        <f t="shared" si="45"/>
        <v>4146</v>
      </c>
      <c r="AW91" s="2">
        <f t="shared" si="46"/>
        <v>3557</v>
      </c>
      <c r="AX91" s="2">
        <f t="shared" si="47"/>
        <v>2820</v>
      </c>
    </row>
    <row r="92" ht="14.25" customHeight="1">
      <c r="A92" s="2" t="str">
        <f t="array" ref="A92">IFERROR(INDEX('Product Price'!A:A,SMALL('Product Price'!$D:$D,90)),"")</f>
        <v>SAMSUNG Galaxy Z Fold7 16/1TB</v>
      </c>
      <c r="B92" s="2">
        <f t="array" ref="B92">IFERROR(INDEX('Product Price'!B:B,SMALL('Product Price'!$D:$D,90)),"")</f>
        <v>87900</v>
      </c>
      <c r="C92" s="2">
        <f t="array" ref="C92">IFERROR(INDEX('Product Price'!C:C,SMALL('Product Price'!$D:$D,90)),"")</f>
        <v>80</v>
      </c>
      <c r="D92" s="2">
        <f t="shared" si="1"/>
        <v>5175</v>
      </c>
      <c r="E92" s="2">
        <f t="shared" si="2"/>
        <v>93075</v>
      </c>
      <c r="F92" s="2">
        <f t="shared" si="3"/>
        <v>17580</v>
      </c>
      <c r="G92" s="2">
        <f t="shared" si="4"/>
        <v>70320</v>
      </c>
      <c r="H92" s="2">
        <f t="shared" si="5"/>
        <v>75495</v>
      </c>
      <c r="I92" s="2">
        <f t="shared" si="6"/>
        <v>14393</v>
      </c>
      <c r="J92" s="2">
        <f t="shared" si="7"/>
        <v>9905</v>
      </c>
      <c r="K92" s="2">
        <f t="shared" si="8"/>
        <v>7661</v>
      </c>
      <c r="L92" s="2">
        <f t="shared" si="9"/>
        <v>6315</v>
      </c>
      <c r="M92" s="2">
        <f t="shared" si="10"/>
        <v>5417</v>
      </c>
      <c r="N92" s="2">
        <f t="shared" si="11"/>
        <v>4295</v>
      </c>
      <c r="O92" s="2">
        <f t="shared" si="12"/>
        <v>21975</v>
      </c>
      <c r="P92" s="2">
        <f t="shared" si="13"/>
        <v>65925</v>
      </c>
      <c r="Q92" s="2">
        <f t="shared" si="14"/>
        <v>71100</v>
      </c>
      <c r="R92" s="2">
        <f t="shared" si="15"/>
        <v>13555</v>
      </c>
      <c r="S92" s="2">
        <f t="shared" si="16"/>
        <v>9328</v>
      </c>
      <c r="T92" s="2">
        <f t="shared" si="17"/>
        <v>7215</v>
      </c>
      <c r="U92" s="2">
        <f t="shared" si="18"/>
        <v>5947</v>
      </c>
      <c r="V92" s="2">
        <f t="shared" si="19"/>
        <v>5102</v>
      </c>
      <c r="W92" s="2">
        <f t="shared" si="20"/>
        <v>4045</v>
      </c>
      <c r="X92" s="2">
        <f t="shared" si="21"/>
        <v>26370</v>
      </c>
      <c r="Y92" s="2">
        <f t="shared" si="22"/>
        <v>61530</v>
      </c>
      <c r="Z92" s="2">
        <f t="shared" si="23"/>
        <v>66705</v>
      </c>
      <c r="AA92" s="2">
        <f t="shared" si="24"/>
        <v>12717</v>
      </c>
      <c r="AB92" s="2">
        <f t="shared" si="25"/>
        <v>8752</v>
      </c>
      <c r="AC92" s="2">
        <f t="shared" si="26"/>
        <v>6769</v>
      </c>
      <c r="AD92" s="2">
        <f t="shared" si="27"/>
        <v>5580</v>
      </c>
      <c r="AE92" s="2">
        <f t="shared" si="28"/>
        <v>4787</v>
      </c>
      <c r="AF92" s="2">
        <f t="shared" si="29"/>
        <v>3795</v>
      </c>
      <c r="AG92" s="2">
        <f t="shared" si="30"/>
        <v>30765</v>
      </c>
      <c r="AH92" s="2">
        <f t="shared" si="31"/>
        <v>57135</v>
      </c>
      <c r="AI92" s="2">
        <f t="shared" si="32"/>
        <v>62310</v>
      </c>
      <c r="AJ92" s="2">
        <f t="shared" si="33"/>
        <v>11879</v>
      </c>
      <c r="AK92" s="2">
        <f t="shared" si="34"/>
        <v>8175</v>
      </c>
      <c r="AL92" s="2">
        <f t="shared" si="35"/>
        <v>6323</v>
      </c>
      <c r="AM92" s="2">
        <f t="shared" si="36"/>
        <v>5212</v>
      </c>
      <c r="AN92" s="2">
        <f t="shared" si="37"/>
        <v>4471</v>
      </c>
      <c r="AO92" s="2">
        <f t="shared" si="38"/>
        <v>3545</v>
      </c>
      <c r="AP92" s="2">
        <f t="shared" si="39"/>
        <v>35160</v>
      </c>
      <c r="AQ92" s="2">
        <f t="shared" si="40"/>
        <v>52740</v>
      </c>
      <c r="AR92" s="2">
        <f t="shared" si="41"/>
        <v>57915</v>
      </c>
      <c r="AS92" s="2">
        <f t="shared" si="42"/>
        <v>11041</v>
      </c>
      <c r="AT92" s="2">
        <f t="shared" si="43"/>
        <v>7599</v>
      </c>
      <c r="AU92" s="2">
        <f t="shared" si="44"/>
        <v>5877</v>
      </c>
      <c r="AV92" s="2">
        <f t="shared" si="45"/>
        <v>4844</v>
      </c>
      <c r="AW92" s="2">
        <f t="shared" si="46"/>
        <v>4156</v>
      </c>
      <c r="AX92" s="2">
        <f t="shared" si="47"/>
        <v>3295</v>
      </c>
    </row>
    <row r="93" ht="14.25" customHeight="1">
      <c r="A93" s="2" t="str">
        <f t="array" ref="A93">IFERROR(INDEX('Product Price'!A:A,SMALL('Product Price'!$D:$D,91)),"")</f>
        <v>SAMSUNG Galaxy S24 8/256 GB</v>
      </c>
      <c r="B93" s="2">
        <f t="array" ref="B93">IFERROR(INDEX('Product Price'!B:B,SMALL('Product Price'!$D:$D,91)),"")</f>
        <v>27900</v>
      </c>
      <c r="C93" s="2">
        <f t="array" ref="C93">IFERROR(INDEX('Product Price'!C:C,SMALL('Product Price'!$D:$D,91)),"")</f>
        <v>81</v>
      </c>
      <c r="D93" s="2">
        <f t="shared" si="1"/>
        <v>1900</v>
      </c>
      <c r="E93" s="2">
        <f t="shared" si="2"/>
        <v>29800</v>
      </c>
      <c r="F93" s="2">
        <f t="shared" si="3"/>
        <v>5580</v>
      </c>
      <c r="G93" s="2">
        <f t="shared" si="4"/>
        <v>22320</v>
      </c>
      <c r="H93" s="2">
        <f t="shared" si="5"/>
        <v>24220</v>
      </c>
      <c r="I93" s="2">
        <f t="shared" si="6"/>
        <v>4618</v>
      </c>
      <c r="J93" s="2">
        <f t="shared" si="7"/>
        <v>3178</v>
      </c>
      <c r="K93" s="2">
        <f t="shared" si="8"/>
        <v>2458</v>
      </c>
      <c r="L93" s="2">
        <f t="shared" si="9"/>
        <v>2026</v>
      </c>
      <c r="M93" s="2">
        <f t="shared" si="10"/>
        <v>1738</v>
      </c>
      <c r="N93" s="2">
        <f t="shared" si="11"/>
        <v>1378</v>
      </c>
      <c r="O93" s="2">
        <f t="shared" si="12"/>
        <v>6975</v>
      </c>
      <c r="P93" s="2">
        <f t="shared" si="13"/>
        <v>20925</v>
      </c>
      <c r="Q93" s="2">
        <f t="shared" si="14"/>
        <v>22825</v>
      </c>
      <c r="R93" s="2">
        <f t="shared" si="15"/>
        <v>4352</v>
      </c>
      <c r="S93" s="2">
        <f t="shared" si="16"/>
        <v>2995</v>
      </c>
      <c r="T93" s="2">
        <f t="shared" si="17"/>
        <v>2317</v>
      </c>
      <c r="U93" s="2">
        <f t="shared" si="18"/>
        <v>1910</v>
      </c>
      <c r="V93" s="2">
        <f t="shared" si="19"/>
        <v>1638</v>
      </c>
      <c r="W93" s="2">
        <f t="shared" si="20"/>
        <v>1299</v>
      </c>
      <c r="X93" s="2">
        <f t="shared" si="21"/>
        <v>8370</v>
      </c>
      <c r="Y93" s="2">
        <f t="shared" si="22"/>
        <v>19530</v>
      </c>
      <c r="Z93" s="2">
        <f t="shared" si="23"/>
        <v>21430</v>
      </c>
      <c r="AA93" s="2">
        <f t="shared" si="24"/>
        <v>4086</v>
      </c>
      <c r="AB93" s="2">
        <f t="shared" si="25"/>
        <v>2812</v>
      </c>
      <c r="AC93" s="2">
        <f t="shared" si="26"/>
        <v>2175</v>
      </c>
      <c r="AD93" s="2">
        <f t="shared" si="27"/>
        <v>1793</v>
      </c>
      <c r="AE93" s="2">
        <f t="shared" si="28"/>
        <v>1538</v>
      </c>
      <c r="AF93" s="2">
        <f t="shared" si="29"/>
        <v>1220</v>
      </c>
      <c r="AG93" s="2">
        <f t="shared" si="30"/>
        <v>9765</v>
      </c>
      <c r="AH93" s="2">
        <f t="shared" si="31"/>
        <v>18135</v>
      </c>
      <c r="AI93" s="2">
        <f t="shared" si="32"/>
        <v>20035</v>
      </c>
      <c r="AJ93" s="2">
        <f t="shared" si="33"/>
        <v>3820</v>
      </c>
      <c r="AK93" s="2">
        <f t="shared" si="34"/>
        <v>2629</v>
      </c>
      <c r="AL93" s="2">
        <f t="shared" si="35"/>
        <v>2033</v>
      </c>
      <c r="AM93" s="2">
        <f t="shared" si="36"/>
        <v>1676</v>
      </c>
      <c r="AN93" s="2">
        <f t="shared" si="37"/>
        <v>1438</v>
      </c>
      <c r="AO93" s="2">
        <f t="shared" si="38"/>
        <v>1140</v>
      </c>
      <c r="AP93" s="2">
        <f t="shared" si="39"/>
        <v>11160</v>
      </c>
      <c r="AQ93" s="2">
        <f t="shared" si="40"/>
        <v>16740</v>
      </c>
      <c r="AR93" s="2">
        <f t="shared" si="41"/>
        <v>18640</v>
      </c>
      <c r="AS93" s="2">
        <f t="shared" si="42"/>
        <v>3554</v>
      </c>
      <c r="AT93" s="2">
        <f t="shared" si="43"/>
        <v>2446</v>
      </c>
      <c r="AU93" s="2">
        <f t="shared" si="44"/>
        <v>1892</v>
      </c>
      <c r="AV93" s="2">
        <f t="shared" si="45"/>
        <v>1560</v>
      </c>
      <c r="AW93" s="2">
        <f t="shared" si="46"/>
        <v>1338</v>
      </c>
      <c r="AX93" s="2">
        <f t="shared" si="47"/>
        <v>1061</v>
      </c>
    </row>
    <row r="94" ht="14.25" customHeight="1">
      <c r="A94" s="2" t="str">
        <f t="array" ref="A94">IFERROR(INDEX('Product Price'!A:A,SMALL('Product Price'!$D:$D,92)),"")</f>
        <v>SAMSUNG Galaxy S24 8/512 GB</v>
      </c>
      <c r="B94" s="2">
        <f t="array" ref="B94">IFERROR(INDEX('Product Price'!B:B,SMALL('Product Price'!$D:$D,92)),"")</f>
        <v>32900</v>
      </c>
      <c r="C94" s="2">
        <f t="array" ref="C94">IFERROR(INDEX('Product Price'!C:C,SMALL('Product Price'!$D:$D,92)),"")</f>
        <v>82</v>
      </c>
      <c r="D94" s="2">
        <f t="shared" si="1"/>
        <v>1900</v>
      </c>
      <c r="E94" s="2">
        <f t="shared" si="2"/>
        <v>34800</v>
      </c>
      <c r="F94" s="2">
        <f t="shared" si="3"/>
        <v>6580</v>
      </c>
      <c r="G94" s="2">
        <f t="shared" si="4"/>
        <v>26320</v>
      </c>
      <c r="H94" s="2">
        <f t="shared" si="5"/>
        <v>28220</v>
      </c>
      <c r="I94" s="2">
        <f t="shared" si="6"/>
        <v>5380</v>
      </c>
      <c r="J94" s="2">
        <f t="shared" si="7"/>
        <v>3703</v>
      </c>
      <c r="K94" s="2">
        <f t="shared" si="8"/>
        <v>2864</v>
      </c>
      <c r="L94" s="2">
        <f t="shared" si="9"/>
        <v>2361</v>
      </c>
      <c r="M94" s="2">
        <f t="shared" si="10"/>
        <v>2025</v>
      </c>
      <c r="N94" s="2">
        <f t="shared" si="11"/>
        <v>1606</v>
      </c>
      <c r="O94" s="2">
        <f t="shared" si="12"/>
        <v>8225</v>
      </c>
      <c r="P94" s="2">
        <f t="shared" si="13"/>
        <v>24675</v>
      </c>
      <c r="Q94" s="2">
        <f t="shared" si="14"/>
        <v>26575</v>
      </c>
      <c r="R94" s="2">
        <f t="shared" si="15"/>
        <v>5067</v>
      </c>
      <c r="S94" s="2">
        <f t="shared" si="16"/>
        <v>3487</v>
      </c>
      <c r="T94" s="2">
        <f t="shared" si="17"/>
        <v>2697</v>
      </c>
      <c r="U94" s="2">
        <f t="shared" si="18"/>
        <v>2223</v>
      </c>
      <c r="V94" s="2">
        <f t="shared" si="19"/>
        <v>1907</v>
      </c>
      <c r="W94" s="2">
        <f t="shared" si="20"/>
        <v>1512</v>
      </c>
      <c r="X94" s="2">
        <f t="shared" si="21"/>
        <v>9870</v>
      </c>
      <c r="Y94" s="2">
        <f t="shared" si="22"/>
        <v>23030</v>
      </c>
      <c r="Z94" s="2">
        <f t="shared" si="23"/>
        <v>24930</v>
      </c>
      <c r="AA94" s="2">
        <f t="shared" si="24"/>
        <v>4753</v>
      </c>
      <c r="AB94" s="2">
        <f t="shared" si="25"/>
        <v>3271</v>
      </c>
      <c r="AC94" s="2">
        <f t="shared" si="26"/>
        <v>2530</v>
      </c>
      <c r="AD94" s="2">
        <f t="shared" si="27"/>
        <v>2086</v>
      </c>
      <c r="AE94" s="2">
        <f t="shared" si="28"/>
        <v>1789</v>
      </c>
      <c r="AF94" s="2">
        <f t="shared" si="29"/>
        <v>1419</v>
      </c>
      <c r="AG94" s="2">
        <f t="shared" si="30"/>
        <v>11515</v>
      </c>
      <c r="AH94" s="2">
        <f t="shared" si="31"/>
        <v>21385</v>
      </c>
      <c r="AI94" s="2">
        <f t="shared" si="32"/>
        <v>23285</v>
      </c>
      <c r="AJ94" s="2">
        <f t="shared" si="33"/>
        <v>4440</v>
      </c>
      <c r="AK94" s="2">
        <f t="shared" si="34"/>
        <v>3055</v>
      </c>
      <c r="AL94" s="2">
        <f t="shared" si="35"/>
        <v>2363</v>
      </c>
      <c r="AM94" s="2">
        <f t="shared" si="36"/>
        <v>1948</v>
      </c>
      <c r="AN94" s="2">
        <f t="shared" si="37"/>
        <v>1671</v>
      </c>
      <c r="AO94" s="2">
        <f t="shared" si="38"/>
        <v>1325</v>
      </c>
      <c r="AP94" s="2">
        <f t="shared" si="39"/>
        <v>13160</v>
      </c>
      <c r="AQ94" s="2">
        <f t="shared" si="40"/>
        <v>19740</v>
      </c>
      <c r="AR94" s="2">
        <f t="shared" si="41"/>
        <v>21640</v>
      </c>
      <c r="AS94" s="2">
        <f t="shared" si="42"/>
        <v>4126</v>
      </c>
      <c r="AT94" s="2">
        <f t="shared" si="43"/>
        <v>2840</v>
      </c>
      <c r="AU94" s="2">
        <f t="shared" si="44"/>
        <v>2196</v>
      </c>
      <c r="AV94" s="2">
        <f t="shared" si="45"/>
        <v>1810</v>
      </c>
      <c r="AW94" s="2">
        <f t="shared" si="46"/>
        <v>1553</v>
      </c>
      <c r="AX94" s="2">
        <f t="shared" si="47"/>
        <v>1232</v>
      </c>
    </row>
    <row r="95" ht="14.25" customHeight="1">
      <c r="A95" s="2" t="str">
        <f t="array" ref="A95">IFERROR(INDEX('Product Price'!A:A,SMALL('Product Price'!$D:$D,93)),"")</f>
        <v>SAMSUNG Galaxy S24+ 12/256 GB</v>
      </c>
      <c r="B95" s="2">
        <f t="array" ref="B95">IFERROR(INDEX('Product Price'!B:B,SMALL('Product Price'!$D:$D,93)),"")</f>
        <v>33900</v>
      </c>
      <c r="C95" s="2">
        <f t="array" ref="C95">IFERROR(INDEX('Product Price'!C:C,SMALL('Product Price'!$D:$D,93)),"")</f>
        <v>83</v>
      </c>
      <c r="D95" s="2">
        <f t="shared" si="1"/>
        <v>1900</v>
      </c>
      <c r="E95" s="2">
        <f t="shared" si="2"/>
        <v>35800</v>
      </c>
      <c r="F95" s="2">
        <f t="shared" si="3"/>
        <v>6780</v>
      </c>
      <c r="G95" s="2">
        <f t="shared" si="4"/>
        <v>27120</v>
      </c>
      <c r="H95" s="2">
        <f t="shared" si="5"/>
        <v>29020</v>
      </c>
      <c r="I95" s="2">
        <f t="shared" si="6"/>
        <v>5533</v>
      </c>
      <c r="J95" s="2">
        <f t="shared" si="7"/>
        <v>3808</v>
      </c>
      <c r="K95" s="2">
        <f t="shared" si="8"/>
        <v>2945</v>
      </c>
      <c r="L95" s="2">
        <f t="shared" si="9"/>
        <v>2428</v>
      </c>
      <c r="M95" s="2">
        <f t="shared" si="10"/>
        <v>2083</v>
      </c>
      <c r="N95" s="2">
        <f t="shared" si="11"/>
        <v>1651</v>
      </c>
      <c r="O95" s="2">
        <f t="shared" si="12"/>
        <v>8475</v>
      </c>
      <c r="P95" s="2">
        <f t="shared" si="13"/>
        <v>25425</v>
      </c>
      <c r="Q95" s="2">
        <f t="shared" si="14"/>
        <v>27325</v>
      </c>
      <c r="R95" s="2">
        <f t="shared" si="15"/>
        <v>5210</v>
      </c>
      <c r="S95" s="2">
        <f t="shared" si="16"/>
        <v>3585</v>
      </c>
      <c r="T95" s="2">
        <f t="shared" si="17"/>
        <v>2773</v>
      </c>
      <c r="U95" s="2">
        <f t="shared" si="18"/>
        <v>2286</v>
      </c>
      <c r="V95" s="2">
        <f t="shared" si="19"/>
        <v>1961</v>
      </c>
      <c r="W95" s="2">
        <f t="shared" si="20"/>
        <v>1555</v>
      </c>
      <c r="X95" s="2">
        <f t="shared" si="21"/>
        <v>10170</v>
      </c>
      <c r="Y95" s="2">
        <f t="shared" si="22"/>
        <v>23730</v>
      </c>
      <c r="Z95" s="2">
        <f t="shared" si="23"/>
        <v>25630</v>
      </c>
      <c r="AA95" s="2">
        <f t="shared" si="24"/>
        <v>4887</v>
      </c>
      <c r="AB95" s="2">
        <f t="shared" si="25"/>
        <v>3363</v>
      </c>
      <c r="AC95" s="2">
        <f t="shared" si="26"/>
        <v>2601</v>
      </c>
      <c r="AD95" s="2">
        <f t="shared" si="27"/>
        <v>2144</v>
      </c>
      <c r="AE95" s="2">
        <f t="shared" si="28"/>
        <v>1839</v>
      </c>
      <c r="AF95" s="2">
        <f t="shared" si="29"/>
        <v>1459</v>
      </c>
      <c r="AG95" s="2">
        <f t="shared" si="30"/>
        <v>11865</v>
      </c>
      <c r="AH95" s="2">
        <f t="shared" si="31"/>
        <v>22035</v>
      </c>
      <c r="AI95" s="2">
        <f t="shared" si="32"/>
        <v>23935</v>
      </c>
      <c r="AJ95" s="2">
        <f t="shared" si="33"/>
        <v>4563</v>
      </c>
      <c r="AK95" s="2">
        <f t="shared" si="34"/>
        <v>3141</v>
      </c>
      <c r="AL95" s="2">
        <f t="shared" si="35"/>
        <v>2429</v>
      </c>
      <c r="AM95" s="2">
        <f t="shared" si="36"/>
        <v>2002</v>
      </c>
      <c r="AN95" s="2">
        <f t="shared" si="37"/>
        <v>1718</v>
      </c>
      <c r="AO95" s="2">
        <f t="shared" si="38"/>
        <v>1362</v>
      </c>
      <c r="AP95" s="2">
        <f t="shared" si="39"/>
        <v>13560</v>
      </c>
      <c r="AQ95" s="2">
        <f t="shared" si="40"/>
        <v>20340</v>
      </c>
      <c r="AR95" s="2">
        <f t="shared" si="41"/>
        <v>22240</v>
      </c>
      <c r="AS95" s="2">
        <f t="shared" si="42"/>
        <v>4240</v>
      </c>
      <c r="AT95" s="2">
        <f t="shared" si="43"/>
        <v>2918</v>
      </c>
      <c r="AU95" s="2">
        <f t="shared" si="44"/>
        <v>2257</v>
      </c>
      <c r="AV95" s="2">
        <f t="shared" si="45"/>
        <v>1861</v>
      </c>
      <c r="AW95" s="2">
        <f t="shared" si="46"/>
        <v>1596</v>
      </c>
      <c r="AX95" s="2">
        <f t="shared" si="47"/>
        <v>1266</v>
      </c>
    </row>
    <row r="96" ht="14.25" customHeight="1">
      <c r="A96" s="2" t="str">
        <f t="array" ref="A96">IFERROR(INDEX('Product Price'!A:A,SMALL('Product Price'!$D:$D,94)),"")</f>
        <v>SAMSUNG Galaxy S24+ 12/512 GB</v>
      </c>
      <c r="B96" s="2">
        <f t="array" ref="B96">IFERROR(INDEX('Product Price'!B:B,SMALL('Product Price'!$D:$D,94)),"")</f>
        <v>38900</v>
      </c>
      <c r="C96" s="2">
        <f t="array" ref="C96">IFERROR(INDEX('Product Price'!C:C,SMALL('Product Price'!$D:$D,94)),"")</f>
        <v>84</v>
      </c>
      <c r="D96" s="2">
        <f t="shared" si="1"/>
        <v>1900</v>
      </c>
      <c r="E96" s="2">
        <f t="shared" si="2"/>
        <v>40800</v>
      </c>
      <c r="F96" s="2">
        <f t="shared" si="3"/>
        <v>7780</v>
      </c>
      <c r="G96" s="2">
        <f t="shared" si="4"/>
        <v>31120</v>
      </c>
      <c r="H96" s="2">
        <f t="shared" si="5"/>
        <v>33020</v>
      </c>
      <c r="I96" s="2">
        <f t="shared" si="6"/>
        <v>6295</v>
      </c>
      <c r="J96" s="2">
        <f t="shared" si="7"/>
        <v>4333</v>
      </c>
      <c r="K96" s="2">
        <f t="shared" si="8"/>
        <v>3351</v>
      </c>
      <c r="L96" s="2">
        <f t="shared" si="9"/>
        <v>2762</v>
      </c>
      <c r="M96" s="2">
        <f t="shared" si="10"/>
        <v>2370</v>
      </c>
      <c r="N96" s="2">
        <f t="shared" si="11"/>
        <v>1879</v>
      </c>
      <c r="O96" s="2">
        <f t="shared" si="12"/>
        <v>9725</v>
      </c>
      <c r="P96" s="2">
        <f t="shared" si="13"/>
        <v>29175</v>
      </c>
      <c r="Q96" s="2">
        <f t="shared" si="14"/>
        <v>31075</v>
      </c>
      <c r="R96" s="2">
        <f t="shared" si="15"/>
        <v>5925</v>
      </c>
      <c r="S96" s="2">
        <f t="shared" si="16"/>
        <v>4077</v>
      </c>
      <c r="T96" s="2">
        <f t="shared" si="17"/>
        <v>3154</v>
      </c>
      <c r="U96" s="2">
        <f t="shared" si="18"/>
        <v>2600</v>
      </c>
      <c r="V96" s="2">
        <f t="shared" si="19"/>
        <v>2230</v>
      </c>
      <c r="W96" s="2">
        <f t="shared" si="20"/>
        <v>1768</v>
      </c>
      <c r="X96" s="2">
        <f t="shared" si="21"/>
        <v>11670</v>
      </c>
      <c r="Y96" s="2">
        <f t="shared" si="22"/>
        <v>27230</v>
      </c>
      <c r="Z96" s="2">
        <f t="shared" si="23"/>
        <v>29130</v>
      </c>
      <c r="AA96" s="2">
        <f t="shared" si="24"/>
        <v>5554</v>
      </c>
      <c r="AB96" s="2">
        <f t="shared" si="25"/>
        <v>3822</v>
      </c>
      <c r="AC96" s="2">
        <f t="shared" si="26"/>
        <v>2956</v>
      </c>
      <c r="AD96" s="2">
        <f t="shared" si="27"/>
        <v>2437</v>
      </c>
      <c r="AE96" s="2">
        <f t="shared" si="28"/>
        <v>2091</v>
      </c>
      <c r="AF96" s="2">
        <f t="shared" si="29"/>
        <v>1658</v>
      </c>
      <c r="AG96" s="2">
        <f t="shared" si="30"/>
        <v>13615</v>
      </c>
      <c r="AH96" s="2">
        <f t="shared" si="31"/>
        <v>25285</v>
      </c>
      <c r="AI96" s="2">
        <f t="shared" si="32"/>
        <v>27185</v>
      </c>
      <c r="AJ96" s="2">
        <f t="shared" si="33"/>
        <v>5183</v>
      </c>
      <c r="AK96" s="2">
        <f t="shared" si="34"/>
        <v>3567</v>
      </c>
      <c r="AL96" s="2">
        <f t="shared" si="35"/>
        <v>2759</v>
      </c>
      <c r="AM96" s="2">
        <f t="shared" si="36"/>
        <v>2274</v>
      </c>
      <c r="AN96" s="2">
        <f t="shared" si="37"/>
        <v>1951</v>
      </c>
      <c r="AO96" s="2">
        <f t="shared" si="38"/>
        <v>1547</v>
      </c>
      <c r="AP96" s="2">
        <f t="shared" si="39"/>
        <v>15560</v>
      </c>
      <c r="AQ96" s="2">
        <f t="shared" si="40"/>
        <v>23340</v>
      </c>
      <c r="AR96" s="2">
        <f t="shared" si="41"/>
        <v>25240</v>
      </c>
      <c r="AS96" s="2">
        <f t="shared" si="42"/>
        <v>4812</v>
      </c>
      <c r="AT96" s="2">
        <f t="shared" si="43"/>
        <v>3312</v>
      </c>
      <c r="AU96" s="2">
        <f t="shared" si="44"/>
        <v>2562</v>
      </c>
      <c r="AV96" s="2">
        <f t="shared" si="45"/>
        <v>2112</v>
      </c>
      <c r="AW96" s="2">
        <f t="shared" si="46"/>
        <v>1811</v>
      </c>
      <c r="AX96" s="2">
        <f t="shared" si="47"/>
        <v>1436</v>
      </c>
    </row>
    <row r="97" ht="14.25" customHeight="1">
      <c r="A97" s="2" t="str">
        <f t="array" ref="A97">IFERROR(INDEX('Product Price'!A:A,SMALL('Product Price'!$D:$D,95)),"")</f>
        <v>SAMSUNG Galaxy S24 Ultra 12/512 GB</v>
      </c>
      <c r="B97" s="2">
        <f t="array" ref="B97">IFERROR(INDEX('Product Price'!B:B,SMALL('Product Price'!$D:$D,95)),"")</f>
        <v>48900</v>
      </c>
      <c r="C97" s="2">
        <f t="array" ref="C97">IFERROR(INDEX('Product Price'!C:C,SMALL('Product Price'!$D:$D,95)),"")</f>
        <v>85</v>
      </c>
      <c r="D97" s="2">
        <f t="shared" si="1"/>
        <v>2475</v>
      </c>
      <c r="E97" s="2">
        <f t="shared" si="2"/>
        <v>51375</v>
      </c>
      <c r="F97" s="2">
        <f t="shared" si="3"/>
        <v>9780</v>
      </c>
      <c r="G97" s="2">
        <f t="shared" si="4"/>
        <v>39120</v>
      </c>
      <c r="H97" s="2">
        <f t="shared" si="5"/>
        <v>41595</v>
      </c>
      <c r="I97" s="2">
        <f t="shared" si="6"/>
        <v>7930</v>
      </c>
      <c r="J97" s="2">
        <f t="shared" si="7"/>
        <v>5458</v>
      </c>
      <c r="K97" s="2">
        <f t="shared" si="8"/>
        <v>4221</v>
      </c>
      <c r="L97" s="2">
        <f t="shared" si="9"/>
        <v>3479</v>
      </c>
      <c r="M97" s="2">
        <f t="shared" si="10"/>
        <v>2985</v>
      </c>
      <c r="N97" s="2">
        <f t="shared" si="11"/>
        <v>2367</v>
      </c>
      <c r="O97" s="2">
        <f t="shared" si="12"/>
        <v>12225</v>
      </c>
      <c r="P97" s="2">
        <f t="shared" si="13"/>
        <v>36675</v>
      </c>
      <c r="Q97" s="2">
        <f t="shared" si="14"/>
        <v>39150</v>
      </c>
      <c r="R97" s="2">
        <f t="shared" si="15"/>
        <v>7464</v>
      </c>
      <c r="S97" s="2">
        <f t="shared" si="16"/>
        <v>5137</v>
      </c>
      <c r="T97" s="2">
        <f t="shared" si="17"/>
        <v>3973</v>
      </c>
      <c r="U97" s="2">
        <f t="shared" si="18"/>
        <v>3275</v>
      </c>
      <c r="V97" s="2">
        <f t="shared" si="19"/>
        <v>2809</v>
      </c>
      <c r="W97" s="2">
        <f t="shared" si="20"/>
        <v>2228</v>
      </c>
      <c r="X97" s="2">
        <f t="shared" si="21"/>
        <v>14670</v>
      </c>
      <c r="Y97" s="2">
        <f t="shared" si="22"/>
        <v>34230</v>
      </c>
      <c r="Z97" s="2">
        <f t="shared" si="23"/>
        <v>36705</v>
      </c>
      <c r="AA97" s="2">
        <f t="shared" si="24"/>
        <v>6998</v>
      </c>
      <c r="AB97" s="2">
        <f t="shared" si="25"/>
        <v>4816</v>
      </c>
      <c r="AC97" s="2">
        <f t="shared" si="26"/>
        <v>3725</v>
      </c>
      <c r="AD97" s="2">
        <f t="shared" si="27"/>
        <v>3070</v>
      </c>
      <c r="AE97" s="2">
        <f t="shared" si="28"/>
        <v>2634</v>
      </c>
      <c r="AF97" s="2">
        <f t="shared" si="29"/>
        <v>2089</v>
      </c>
      <c r="AG97" s="2">
        <f t="shared" si="30"/>
        <v>17115</v>
      </c>
      <c r="AH97" s="2">
        <f t="shared" si="31"/>
        <v>31785</v>
      </c>
      <c r="AI97" s="2">
        <f t="shared" si="32"/>
        <v>34260</v>
      </c>
      <c r="AJ97" s="2">
        <f t="shared" si="33"/>
        <v>6532</v>
      </c>
      <c r="AK97" s="2">
        <f t="shared" si="34"/>
        <v>4495</v>
      </c>
      <c r="AL97" s="2">
        <f t="shared" si="35"/>
        <v>3477</v>
      </c>
      <c r="AM97" s="2">
        <f t="shared" si="36"/>
        <v>2866</v>
      </c>
      <c r="AN97" s="2">
        <f t="shared" si="37"/>
        <v>2459</v>
      </c>
      <c r="AO97" s="2">
        <f t="shared" si="38"/>
        <v>1949</v>
      </c>
      <c r="AP97" s="2">
        <f t="shared" si="39"/>
        <v>19560</v>
      </c>
      <c r="AQ97" s="2">
        <f t="shared" si="40"/>
        <v>29340</v>
      </c>
      <c r="AR97" s="2">
        <f t="shared" si="41"/>
        <v>31815</v>
      </c>
      <c r="AS97" s="2">
        <f t="shared" si="42"/>
        <v>6066</v>
      </c>
      <c r="AT97" s="2">
        <f t="shared" si="43"/>
        <v>4174</v>
      </c>
      <c r="AU97" s="2">
        <f t="shared" si="44"/>
        <v>3229</v>
      </c>
      <c r="AV97" s="2">
        <f t="shared" si="45"/>
        <v>2661</v>
      </c>
      <c r="AW97" s="2">
        <f t="shared" si="46"/>
        <v>2283</v>
      </c>
      <c r="AX97" s="2">
        <f t="shared" si="47"/>
        <v>1810</v>
      </c>
    </row>
    <row r="98" ht="14.25" customHeight="1">
      <c r="A98" s="2" t="str">
        <f t="array" ref="A98">IFERROR(INDEX('Product Price'!A:A,SMALL('Product Price'!$D:$D,96)),"")</f>
        <v>SAMSUNG Galaxy S24 Ultra 12/1TB</v>
      </c>
      <c r="B98" s="2">
        <f t="array" ref="B98">IFERROR(INDEX('Product Price'!B:B,SMALL('Product Price'!$D:$D,96)),"")</f>
        <v>58900</v>
      </c>
      <c r="C98" s="2">
        <f t="array" ref="C98">IFERROR(INDEX('Product Price'!C:C,SMALL('Product Price'!$D:$D,96)),"")</f>
        <v>86</v>
      </c>
      <c r="D98" s="2">
        <f t="shared" si="1"/>
        <v>2475</v>
      </c>
      <c r="E98" s="2">
        <f t="shared" si="2"/>
        <v>61375</v>
      </c>
      <c r="F98" s="2">
        <f t="shared" si="3"/>
        <v>11780</v>
      </c>
      <c r="G98" s="2">
        <f t="shared" si="4"/>
        <v>47120</v>
      </c>
      <c r="H98" s="2">
        <f t="shared" si="5"/>
        <v>49595</v>
      </c>
      <c r="I98" s="2">
        <f t="shared" si="6"/>
        <v>9455</v>
      </c>
      <c r="J98" s="2">
        <f t="shared" si="7"/>
        <v>6507</v>
      </c>
      <c r="K98" s="2">
        <f t="shared" si="8"/>
        <v>5033</v>
      </c>
      <c r="L98" s="2">
        <f t="shared" si="9"/>
        <v>4149</v>
      </c>
      <c r="M98" s="2">
        <f t="shared" si="10"/>
        <v>3559</v>
      </c>
      <c r="N98" s="2">
        <f t="shared" si="11"/>
        <v>2822</v>
      </c>
      <c r="O98" s="2">
        <f t="shared" si="12"/>
        <v>14725</v>
      </c>
      <c r="P98" s="2">
        <f t="shared" si="13"/>
        <v>44175</v>
      </c>
      <c r="Q98" s="2">
        <f t="shared" si="14"/>
        <v>46650</v>
      </c>
      <c r="R98" s="2">
        <f t="shared" si="15"/>
        <v>8894</v>
      </c>
      <c r="S98" s="2">
        <f t="shared" si="16"/>
        <v>6121</v>
      </c>
      <c r="T98" s="2">
        <f t="shared" si="17"/>
        <v>4734</v>
      </c>
      <c r="U98" s="2">
        <f t="shared" si="18"/>
        <v>3902</v>
      </c>
      <c r="V98" s="2">
        <f t="shared" si="19"/>
        <v>3348</v>
      </c>
      <c r="W98" s="2">
        <f t="shared" si="20"/>
        <v>2654</v>
      </c>
      <c r="X98" s="2">
        <f t="shared" si="21"/>
        <v>17670</v>
      </c>
      <c r="Y98" s="2">
        <f t="shared" si="22"/>
        <v>41230</v>
      </c>
      <c r="Z98" s="2">
        <f t="shared" si="23"/>
        <v>43705</v>
      </c>
      <c r="AA98" s="2">
        <f t="shared" si="24"/>
        <v>8332</v>
      </c>
      <c r="AB98" s="2">
        <f t="shared" si="25"/>
        <v>5734</v>
      </c>
      <c r="AC98" s="2">
        <f t="shared" si="26"/>
        <v>4435</v>
      </c>
      <c r="AD98" s="2">
        <f t="shared" si="27"/>
        <v>3656</v>
      </c>
      <c r="AE98" s="2">
        <f t="shared" si="28"/>
        <v>3136</v>
      </c>
      <c r="AF98" s="2">
        <f t="shared" si="29"/>
        <v>2487</v>
      </c>
      <c r="AG98" s="2">
        <f t="shared" si="30"/>
        <v>20615</v>
      </c>
      <c r="AH98" s="2">
        <f t="shared" si="31"/>
        <v>38285</v>
      </c>
      <c r="AI98" s="2">
        <f t="shared" si="32"/>
        <v>40760</v>
      </c>
      <c r="AJ98" s="2">
        <f t="shared" si="33"/>
        <v>7771</v>
      </c>
      <c r="AK98" s="2">
        <f t="shared" si="34"/>
        <v>5348</v>
      </c>
      <c r="AL98" s="2">
        <f t="shared" si="35"/>
        <v>4136</v>
      </c>
      <c r="AM98" s="2">
        <f t="shared" si="36"/>
        <v>3410</v>
      </c>
      <c r="AN98" s="2">
        <f t="shared" si="37"/>
        <v>2925</v>
      </c>
      <c r="AO98" s="2">
        <f t="shared" si="38"/>
        <v>2319</v>
      </c>
      <c r="AP98" s="2">
        <f t="shared" si="39"/>
        <v>23560</v>
      </c>
      <c r="AQ98" s="2">
        <f t="shared" si="40"/>
        <v>35340</v>
      </c>
      <c r="AR98" s="2">
        <f t="shared" si="41"/>
        <v>37815</v>
      </c>
      <c r="AS98" s="2">
        <f t="shared" si="42"/>
        <v>7209</v>
      </c>
      <c r="AT98" s="2">
        <f t="shared" si="43"/>
        <v>4962</v>
      </c>
      <c r="AU98" s="2">
        <f t="shared" si="44"/>
        <v>3838</v>
      </c>
      <c r="AV98" s="2">
        <f t="shared" si="45"/>
        <v>3163</v>
      </c>
      <c r="AW98" s="2">
        <f t="shared" si="46"/>
        <v>2714</v>
      </c>
      <c r="AX98" s="2">
        <f t="shared" si="47"/>
        <v>2152</v>
      </c>
    </row>
    <row r="99" ht="14.25" customHeight="1">
      <c r="A99" s="2" t="str">
        <f t="array" ref="A99">IFERROR(INDEX('Product Price'!A:A,SMALL('Product Price'!$D:$D,97)),"")</f>
        <v>SAMSUNG Galaxy S24 FE 8/128 GB</v>
      </c>
      <c r="B99" s="2">
        <f t="array" ref="B99">IFERROR(INDEX('Product Price'!B:B,SMALL('Product Price'!$D:$D,97)),"")</f>
        <v>22900</v>
      </c>
      <c r="C99" s="2">
        <f t="array" ref="C99">IFERROR(INDEX('Product Price'!C:C,SMALL('Product Price'!$D:$D,97)),"")</f>
        <v>87</v>
      </c>
      <c r="D99" s="2">
        <f t="shared" si="1"/>
        <v>1900</v>
      </c>
      <c r="E99" s="2">
        <f t="shared" si="2"/>
        <v>24800</v>
      </c>
      <c r="F99" s="2">
        <f t="shared" si="3"/>
        <v>4580</v>
      </c>
      <c r="G99" s="2">
        <f t="shared" si="4"/>
        <v>18320</v>
      </c>
      <c r="H99" s="2">
        <f t="shared" si="5"/>
        <v>20220</v>
      </c>
      <c r="I99" s="2">
        <f t="shared" si="6"/>
        <v>3855</v>
      </c>
      <c r="J99" s="2">
        <f t="shared" si="7"/>
        <v>2653</v>
      </c>
      <c r="K99" s="2">
        <f t="shared" si="8"/>
        <v>2052</v>
      </c>
      <c r="L99" s="2">
        <f t="shared" si="9"/>
        <v>1692</v>
      </c>
      <c r="M99" s="2">
        <f t="shared" si="10"/>
        <v>1451</v>
      </c>
      <c r="N99" s="2">
        <f t="shared" si="11"/>
        <v>1151</v>
      </c>
      <c r="O99" s="2">
        <f t="shared" si="12"/>
        <v>5725</v>
      </c>
      <c r="P99" s="2">
        <f t="shared" si="13"/>
        <v>17175</v>
      </c>
      <c r="Q99" s="2">
        <f t="shared" si="14"/>
        <v>19075</v>
      </c>
      <c r="R99" s="2">
        <f t="shared" si="15"/>
        <v>3637</v>
      </c>
      <c r="S99" s="2">
        <f t="shared" si="16"/>
        <v>2503</v>
      </c>
      <c r="T99" s="2">
        <f t="shared" si="17"/>
        <v>1936</v>
      </c>
      <c r="U99" s="2">
        <f t="shared" si="18"/>
        <v>1596</v>
      </c>
      <c r="V99" s="2">
        <f t="shared" si="19"/>
        <v>1369</v>
      </c>
      <c r="W99" s="2">
        <f t="shared" si="20"/>
        <v>1086</v>
      </c>
      <c r="X99" s="2">
        <f t="shared" si="21"/>
        <v>6870</v>
      </c>
      <c r="Y99" s="2">
        <f t="shared" si="22"/>
        <v>16030</v>
      </c>
      <c r="Z99" s="2">
        <f t="shared" si="23"/>
        <v>17930</v>
      </c>
      <c r="AA99" s="2">
        <f t="shared" si="24"/>
        <v>3419</v>
      </c>
      <c r="AB99" s="2">
        <f t="shared" si="25"/>
        <v>2353</v>
      </c>
      <c r="AC99" s="2">
        <f t="shared" si="26"/>
        <v>1820</v>
      </c>
      <c r="AD99" s="2">
        <f t="shared" si="27"/>
        <v>1500</v>
      </c>
      <c r="AE99" s="2">
        <f t="shared" si="28"/>
        <v>1287</v>
      </c>
      <c r="AF99" s="2">
        <f t="shared" si="29"/>
        <v>1021</v>
      </c>
      <c r="AG99" s="2">
        <f t="shared" si="30"/>
        <v>8015</v>
      </c>
      <c r="AH99" s="2">
        <f t="shared" si="31"/>
        <v>14885</v>
      </c>
      <c r="AI99" s="2">
        <f t="shared" si="32"/>
        <v>16785</v>
      </c>
      <c r="AJ99" s="2">
        <f t="shared" si="33"/>
        <v>3200</v>
      </c>
      <c r="AK99" s="2">
        <f t="shared" si="34"/>
        <v>2203</v>
      </c>
      <c r="AL99" s="2">
        <f t="shared" si="35"/>
        <v>1704</v>
      </c>
      <c r="AM99" s="2">
        <f t="shared" si="36"/>
        <v>1404</v>
      </c>
      <c r="AN99" s="2">
        <f t="shared" si="37"/>
        <v>1205</v>
      </c>
      <c r="AO99" s="2">
        <f t="shared" si="38"/>
        <v>955</v>
      </c>
      <c r="AP99" s="2">
        <f t="shared" si="39"/>
        <v>9160</v>
      </c>
      <c r="AQ99" s="2">
        <f t="shared" si="40"/>
        <v>13740</v>
      </c>
      <c r="AR99" s="2">
        <f t="shared" si="41"/>
        <v>15640</v>
      </c>
      <c r="AS99" s="2">
        <f t="shared" si="42"/>
        <v>2982</v>
      </c>
      <c r="AT99" s="2">
        <f t="shared" si="43"/>
        <v>2052</v>
      </c>
      <c r="AU99" s="2">
        <f t="shared" si="44"/>
        <v>1588</v>
      </c>
      <c r="AV99" s="2">
        <f t="shared" si="45"/>
        <v>1309</v>
      </c>
      <c r="AW99" s="2">
        <f t="shared" si="46"/>
        <v>1123</v>
      </c>
      <c r="AX99" s="2">
        <f t="shared" si="47"/>
        <v>890</v>
      </c>
    </row>
    <row r="100" ht="14.25" customHeight="1">
      <c r="A100" s="2" t="str">
        <f t="array" ref="A100">IFERROR(INDEX('Product Price'!A:A,SMALL('Product Price'!$D:$D,98)),"")</f>
        <v>SAMSUNG Galaxy S24 FE 8/256 GB</v>
      </c>
      <c r="B100" s="2">
        <f t="array" ref="B100">IFERROR(INDEX('Product Price'!B:B,SMALL('Product Price'!$D:$D,98)),"")</f>
        <v>25900</v>
      </c>
      <c r="C100" s="2">
        <f t="array" ref="C100">IFERROR(INDEX('Product Price'!C:C,SMALL('Product Price'!$D:$D,98)),"")</f>
        <v>88</v>
      </c>
      <c r="D100" s="2">
        <f t="shared" si="1"/>
        <v>1900</v>
      </c>
      <c r="E100" s="2">
        <f t="shared" si="2"/>
        <v>27800</v>
      </c>
      <c r="F100" s="2">
        <f t="shared" si="3"/>
        <v>5180</v>
      </c>
      <c r="G100" s="2">
        <f t="shared" si="4"/>
        <v>20720</v>
      </c>
      <c r="H100" s="2">
        <f t="shared" si="5"/>
        <v>22620</v>
      </c>
      <c r="I100" s="2">
        <f t="shared" si="6"/>
        <v>4313</v>
      </c>
      <c r="J100" s="2">
        <f t="shared" si="7"/>
        <v>2968</v>
      </c>
      <c r="K100" s="2">
        <f t="shared" si="8"/>
        <v>2296</v>
      </c>
      <c r="L100" s="2">
        <f t="shared" si="9"/>
        <v>1892</v>
      </c>
      <c r="M100" s="2">
        <f t="shared" si="10"/>
        <v>1623</v>
      </c>
      <c r="N100" s="2">
        <f t="shared" si="11"/>
        <v>1287</v>
      </c>
      <c r="O100" s="2">
        <f t="shared" si="12"/>
        <v>6475</v>
      </c>
      <c r="P100" s="2">
        <f t="shared" si="13"/>
        <v>19425</v>
      </c>
      <c r="Q100" s="2">
        <f t="shared" si="14"/>
        <v>21325</v>
      </c>
      <c r="R100" s="2">
        <f t="shared" si="15"/>
        <v>4066</v>
      </c>
      <c r="S100" s="2">
        <f t="shared" si="16"/>
        <v>2798</v>
      </c>
      <c r="T100" s="2">
        <f t="shared" si="17"/>
        <v>2164</v>
      </c>
      <c r="U100" s="2">
        <f t="shared" si="18"/>
        <v>1784</v>
      </c>
      <c r="V100" s="2">
        <f t="shared" si="19"/>
        <v>1531</v>
      </c>
      <c r="W100" s="2">
        <f t="shared" si="20"/>
        <v>1214</v>
      </c>
      <c r="X100" s="2">
        <f t="shared" si="21"/>
        <v>7770</v>
      </c>
      <c r="Y100" s="2">
        <f t="shared" si="22"/>
        <v>18130</v>
      </c>
      <c r="Z100" s="2">
        <f t="shared" si="23"/>
        <v>20030</v>
      </c>
      <c r="AA100" s="2">
        <f t="shared" si="24"/>
        <v>3819</v>
      </c>
      <c r="AB100" s="2">
        <f t="shared" si="25"/>
        <v>2628</v>
      </c>
      <c r="AC100" s="2">
        <f t="shared" si="26"/>
        <v>2033</v>
      </c>
      <c r="AD100" s="2">
        <f t="shared" si="27"/>
        <v>1676</v>
      </c>
      <c r="AE100" s="2">
        <f t="shared" si="28"/>
        <v>1438</v>
      </c>
      <c r="AF100" s="2">
        <f t="shared" si="29"/>
        <v>1140</v>
      </c>
      <c r="AG100" s="2">
        <f t="shared" si="30"/>
        <v>9065</v>
      </c>
      <c r="AH100" s="2">
        <f t="shared" si="31"/>
        <v>16835</v>
      </c>
      <c r="AI100" s="2">
        <f t="shared" si="32"/>
        <v>18735</v>
      </c>
      <c r="AJ100" s="2">
        <f t="shared" si="33"/>
        <v>3572</v>
      </c>
      <c r="AK100" s="2">
        <f t="shared" si="34"/>
        <v>2458</v>
      </c>
      <c r="AL100" s="2">
        <f t="shared" si="35"/>
        <v>1902</v>
      </c>
      <c r="AM100" s="2">
        <f t="shared" si="36"/>
        <v>1567</v>
      </c>
      <c r="AN100" s="2">
        <f t="shared" si="37"/>
        <v>1345</v>
      </c>
      <c r="AO100" s="2">
        <f t="shared" si="38"/>
        <v>1066</v>
      </c>
      <c r="AP100" s="2">
        <f t="shared" si="39"/>
        <v>10360</v>
      </c>
      <c r="AQ100" s="2">
        <f t="shared" si="40"/>
        <v>15540</v>
      </c>
      <c r="AR100" s="2">
        <f t="shared" si="41"/>
        <v>17440</v>
      </c>
      <c r="AS100" s="2">
        <f t="shared" si="42"/>
        <v>3325</v>
      </c>
      <c r="AT100" s="2">
        <f t="shared" si="43"/>
        <v>2289</v>
      </c>
      <c r="AU100" s="2">
        <f t="shared" si="44"/>
        <v>1770</v>
      </c>
      <c r="AV100" s="2">
        <f t="shared" si="45"/>
        <v>1459</v>
      </c>
      <c r="AW100" s="2">
        <f t="shared" si="46"/>
        <v>1252</v>
      </c>
      <c r="AX100" s="2">
        <f t="shared" si="47"/>
        <v>993</v>
      </c>
    </row>
    <row r="101" ht="14.25" customHeight="1">
      <c r="A101" s="2" t="str">
        <f t="array" ref="A101">IFERROR(INDEX('Product Price'!A:A,SMALL('Product Price'!$D:$D,99)),"")</f>
        <v>SAMSUNG Galaxy S25 12/256 GB</v>
      </c>
      <c r="B101" s="2">
        <f t="array" ref="B101">IFERROR(INDEX('Product Price'!B:B,SMALL('Product Price'!$D:$D,99)),"")</f>
        <v>29900</v>
      </c>
      <c r="C101" s="2">
        <f t="array" ref="C101">IFERROR(INDEX('Product Price'!C:C,SMALL('Product Price'!$D:$D,99)),"")</f>
        <v>89</v>
      </c>
      <c r="D101" s="2">
        <f t="shared" si="1"/>
        <v>1900</v>
      </c>
      <c r="E101" s="2">
        <f t="shared" si="2"/>
        <v>31800</v>
      </c>
      <c r="F101" s="2">
        <f t="shared" si="3"/>
        <v>5980</v>
      </c>
      <c r="G101" s="2">
        <f t="shared" si="4"/>
        <v>23920</v>
      </c>
      <c r="H101" s="2">
        <f t="shared" si="5"/>
        <v>25820</v>
      </c>
      <c r="I101" s="2">
        <f t="shared" si="6"/>
        <v>4923</v>
      </c>
      <c r="J101" s="2">
        <f t="shared" si="7"/>
        <v>3388</v>
      </c>
      <c r="K101" s="2">
        <f t="shared" si="8"/>
        <v>2620</v>
      </c>
      <c r="L101" s="2">
        <f t="shared" si="9"/>
        <v>2160</v>
      </c>
      <c r="M101" s="2">
        <f t="shared" si="10"/>
        <v>1853</v>
      </c>
      <c r="N101" s="2">
        <f t="shared" si="11"/>
        <v>1469</v>
      </c>
      <c r="O101" s="2">
        <f t="shared" si="12"/>
        <v>7475</v>
      </c>
      <c r="P101" s="2">
        <f t="shared" si="13"/>
        <v>22425</v>
      </c>
      <c r="Q101" s="2">
        <f t="shared" si="14"/>
        <v>24325</v>
      </c>
      <c r="R101" s="2">
        <f t="shared" si="15"/>
        <v>4638</v>
      </c>
      <c r="S101" s="2">
        <f t="shared" si="16"/>
        <v>3192</v>
      </c>
      <c r="T101" s="2">
        <f t="shared" si="17"/>
        <v>2469</v>
      </c>
      <c r="U101" s="2">
        <f t="shared" si="18"/>
        <v>2035</v>
      </c>
      <c r="V101" s="2">
        <f t="shared" si="19"/>
        <v>1746</v>
      </c>
      <c r="W101" s="2">
        <f t="shared" si="20"/>
        <v>1384</v>
      </c>
      <c r="X101" s="2">
        <f t="shared" si="21"/>
        <v>8970</v>
      </c>
      <c r="Y101" s="2">
        <f t="shared" si="22"/>
        <v>20930</v>
      </c>
      <c r="Z101" s="2">
        <f t="shared" si="23"/>
        <v>22830</v>
      </c>
      <c r="AA101" s="2">
        <f t="shared" si="24"/>
        <v>4353</v>
      </c>
      <c r="AB101" s="2">
        <f t="shared" si="25"/>
        <v>2996</v>
      </c>
      <c r="AC101" s="2">
        <f t="shared" si="26"/>
        <v>2317</v>
      </c>
      <c r="AD101" s="2">
        <f t="shared" si="27"/>
        <v>1910</v>
      </c>
      <c r="AE101" s="2">
        <f t="shared" si="28"/>
        <v>1639</v>
      </c>
      <c r="AF101" s="2">
        <f t="shared" si="29"/>
        <v>1299</v>
      </c>
      <c r="AG101" s="2">
        <f t="shared" si="30"/>
        <v>10465</v>
      </c>
      <c r="AH101" s="2">
        <f t="shared" si="31"/>
        <v>19435</v>
      </c>
      <c r="AI101" s="2">
        <f t="shared" si="32"/>
        <v>21335</v>
      </c>
      <c r="AJ101" s="2">
        <f t="shared" si="33"/>
        <v>4068</v>
      </c>
      <c r="AK101" s="2">
        <f t="shared" si="34"/>
        <v>2800</v>
      </c>
      <c r="AL101" s="2">
        <f t="shared" si="35"/>
        <v>2165</v>
      </c>
      <c r="AM101" s="2">
        <f t="shared" si="36"/>
        <v>1785</v>
      </c>
      <c r="AN101" s="2">
        <f t="shared" si="37"/>
        <v>1531</v>
      </c>
      <c r="AO101" s="2">
        <f t="shared" si="38"/>
        <v>1214</v>
      </c>
      <c r="AP101" s="2">
        <f t="shared" si="39"/>
        <v>11960</v>
      </c>
      <c r="AQ101" s="2">
        <f t="shared" si="40"/>
        <v>17940</v>
      </c>
      <c r="AR101" s="2">
        <f t="shared" si="41"/>
        <v>19840</v>
      </c>
      <c r="AS101" s="2">
        <f t="shared" si="42"/>
        <v>3783</v>
      </c>
      <c r="AT101" s="2">
        <f t="shared" si="43"/>
        <v>2603</v>
      </c>
      <c r="AU101" s="2">
        <f t="shared" si="44"/>
        <v>2014</v>
      </c>
      <c r="AV101" s="2">
        <f t="shared" si="45"/>
        <v>1660</v>
      </c>
      <c r="AW101" s="2">
        <f t="shared" si="46"/>
        <v>1424</v>
      </c>
      <c r="AX101" s="2">
        <f t="shared" si="47"/>
        <v>1129</v>
      </c>
    </row>
    <row r="102" ht="14.25" customHeight="1">
      <c r="A102" s="2" t="str">
        <f t="array" ref="A102">IFERROR(INDEX('Product Price'!A:A,SMALL('Product Price'!$D:$D,100)),"")</f>
        <v>SAMSUNG Galaxy S25 12/512 GB</v>
      </c>
      <c r="B102" s="2">
        <f t="array" ref="B102">IFERROR(INDEX('Product Price'!B:B,SMALL('Product Price'!$D:$D,100)),"")</f>
        <v>34900</v>
      </c>
      <c r="C102" s="2">
        <f t="array" ref="C102">IFERROR(INDEX('Product Price'!C:C,SMALL('Product Price'!$D:$D,100)),"")</f>
        <v>90</v>
      </c>
      <c r="D102" s="2">
        <f t="shared" si="1"/>
        <v>1900</v>
      </c>
      <c r="E102" s="2">
        <f t="shared" si="2"/>
        <v>36800</v>
      </c>
      <c r="F102" s="2">
        <f t="shared" si="3"/>
        <v>6980</v>
      </c>
      <c r="G102" s="2">
        <f t="shared" si="4"/>
        <v>27920</v>
      </c>
      <c r="H102" s="2">
        <f t="shared" si="5"/>
        <v>29820</v>
      </c>
      <c r="I102" s="2">
        <f t="shared" si="6"/>
        <v>5685</v>
      </c>
      <c r="J102" s="2">
        <f t="shared" si="7"/>
        <v>3913</v>
      </c>
      <c r="K102" s="2">
        <f t="shared" si="8"/>
        <v>3026</v>
      </c>
      <c r="L102" s="2">
        <f t="shared" si="9"/>
        <v>2495</v>
      </c>
      <c r="M102" s="2">
        <f t="shared" si="10"/>
        <v>2140</v>
      </c>
      <c r="N102" s="2">
        <f t="shared" si="11"/>
        <v>1697</v>
      </c>
      <c r="O102" s="2">
        <f t="shared" si="12"/>
        <v>8725</v>
      </c>
      <c r="P102" s="2">
        <f t="shared" si="13"/>
        <v>26175</v>
      </c>
      <c r="Q102" s="2">
        <f t="shared" si="14"/>
        <v>28075</v>
      </c>
      <c r="R102" s="2">
        <f t="shared" si="15"/>
        <v>5353</v>
      </c>
      <c r="S102" s="2">
        <f t="shared" si="16"/>
        <v>3684</v>
      </c>
      <c r="T102" s="2">
        <f t="shared" si="17"/>
        <v>2849</v>
      </c>
      <c r="U102" s="2">
        <f t="shared" si="18"/>
        <v>2349</v>
      </c>
      <c r="V102" s="2">
        <f t="shared" si="19"/>
        <v>2015</v>
      </c>
      <c r="W102" s="2">
        <f t="shared" si="20"/>
        <v>1598</v>
      </c>
      <c r="X102" s="2">
        <f t="shared" si="21"/>
        <v>10470</v>
      </c>
      <c r="Y102" s="2">
        <f t="shared" si="22"/>
        <v>24430</v>
      </c>
      <c r="Z102" s="2">
        <f t="shared" si="23"/>
        <v>26330</v>
      </c>
      <c r="AA102" s="2">
        <f t="shared" si="24"/>
        <v>5020</v>
      </c>
      <c r="AB102" s="2">
        <f t="shared" si="25"/>
        <v>3455</v>
      </c>
      <c r="AC102" s="2">
        <f t="shared" si="26"/>
        <v>2672</v>
      </c>
      <c r="AD102" s="2">
        <f t="shared" si="27"/>
        <v>2203</v>
      </c>
      <c r="AE102" s="2">
        <f t="shared" si="28"/>
        <v>1890</v>
      </c>
      <c r="AF102" s="2">
        <f t="shared" si="29"/>
        <v>1498</v>
      </c>
      <c r="AG102" s="2">
        <f t="shared" si="30"/>
        <v>12215</v>
      </c>
      <c r="AH102" s="2">
        <f t="shared" si="31"/>
        <v>22685</v>
      </c>
      <c r="AI102" s="2">
        <f t="shared" si="32"/>
        <v>24585</v>
      </c>
      <c r="AJ102" s="2">
        <f t="shared" si="33"/>
        <v>4687</v>
      </c>
      <c r="AK102" s="2">
        <f t="shared" si="34"/>
        <v>3226</v>
      </c>
      <c r="AL102" s="2">
        <f t="shared" si="35"/>
        <v>2495</v>
      </c>
      <c r="AM102" s="2">
        <f t="shared" si="36"/>
        <v>2057</v>
      </c>
      <c r="AN102" s="2">
        <f t="shared" si="37"/>
        <v>1764</v>
      </c>
      <c r="AO102" s="2">
        <f t="shared" si="38"/>
        <v>1399</v>
      </c>
      <c r="AP102" s="2">
        <f t="shared" si="39"/>
        <v>13960</v>
      </c>
      <c r="AQ102" s="2">
        <f t="shared" si="40"/>
        <v>20940</v>
      </c>
      <c r="AR102" s="2">
        <f t="shared" si="41"/>
        <v>22840</v>
      </c>
      <c r="AS102" s="2">
        <f t="shared" si="42"/>
        <v>4355</v>
      </c>
      <c r="AT102" s="2">
        <f t="shared" si="43"/>
        <v>2997</v>
      </c>
      <c r="AU102" s="2">
        <f t="shared" si="44"/>
        <v>2318</v>
      </c>
      <c r="AV102" s="2">
        <f t="shared" si="45"/>
        <v>1911</v>
      </c>
      <c r="AW102" s="2">
        <f t="shared" si="46"/>
        <v>1639</v>
      </c>
      <c r="AX102" s="2">
        <f t="shared" si="47"/>
        <v>1300</v>
      </c>
    </row>
    <row r="103" ht="14.25" customHeight="1">
      <c r="A103" s="2" t="str">
        <f t="array" ref="A103">IFERROR(INDEX('Product Price'!A:A,SMALL('Product Price'!$D:$D,101)),"")</f>
        <v>SAMSUNG Galaxy S25+ 12/256 GB</v>
      </c>
      <c r="B103" s="2">
        <f t="array" ref="B103">IFERROR(INDEX('Product Price'!B:B,SMALL('Product Price'!$D:$D,101)),"")</f>
        <v>36900</v>
      </c>
      <c r="C103" s="2">
        <f t="array" ref="C103">IFERROR(INDEX('Product Price'!C:C,SMALL('Product Price'!$D:$D,101)),"")</f>
        <v>91</v>
      </c>
      <c r="D103" s="2">
        <f t="shared" si="1"/>
        <v>1900</v>
      </c>
      <c r="E103" s="2">
        <f t="shared" si="2"/>
        <v>38800</v>
      </c>
      <c r="F103" s="2">
        <f t="shared" si="3"/>
        <v>7380</v>
      </c>
      <c r="G103" s="2">
        <f t="shared" si="4"/>
        <v>29520</v>
      </c>
      <c r="H103" s="2">
        <f t="shared" si="5"/>
        <v>31420</v>
      </c>
      <c r="I103" s="2">
        <f t="shared" si="6"/>
        <v>5990</v>
      </c>
      <c r="J103" s="2">
        <f t="shared" si="7"/>
        <v>4123</v>
      </c>
      <c r="K103" s="2">
        <f t="shared" si="8"/>
        <v>3189</v>
      </c>
      <c r="L103" s="2">
        <f t="shared" si="9"/>
        <v>2628</v>
      </c>
      <c r="M103" s="2">
        <f t="shared" si="10"/>
        <v>2255</v>
      </c>
      <c r="N103" s="2">
        <f t="shared" si="11"/>
        <v>1788</v>
      </c>
      <c r="O103" s="2">
        <f t="shared" si="12"/>
        <v>9225</v>
      </c>
      <c r="P103" s="2">
        <f t="shared" si="13"/>
        <v>27675</v>
      </c>
      <c r="Q103" s="2">
        <f t="shared" si="14"/>
        <v>29575</v>
      </c>
      <c r="R103" s="2">
        <f t="shared" si="15"/>
        <v>5639</v>
      </c>
      <c r="S103" s="2">
        <f t="shared" si="16"/>
        <v>3881</v>
      </c>
      <c r="T103" s="2">
        <f t="shared" si="17"/>
        <v>3002</v>
      </c>
      <c r="U103" s="2">
        <f t="shared" si="18"/>
        <v>2474</v>
      </c>
      <c r="V103" s="2">
        <f t="shared" si="19"/>
        <v>2122</v>
      </c>
      <c r="W103" s="2">
        <f t="shared" si="20"/>
        <v>1683</v>
      </c>
      <c r="X103" s="2">
        <f t="shared" si="21"/>
        <v>11070</v>
      </c>
      <c r="Y103" s="2">
        <f t="shared" si="22"/>
        <v>25830</v>
      </c>
      <c r="Z103" s="2">
        <f t="shared" si="23"/>
        <v>27730</v>
      </c>
      <c r="AA103" s="2">
        <f t="shared" si="24"/>
        <v>5287</v>
      </c>
      <c r="AB103" s="2">
        <f t="shared" si="25"/>
        <v>3639</v>
      </c>
      <c r="AC103" s="2">
        <f t="shared" si="26"/>
        <v>2814</v>
      </c>
      <c r="AD103" s="2">
        <f t="shared" si="27"/>
        <v>2320</v>
      </c>
      <c r="AE103" s="2">
        <f t="shared" si="28"/>
        <v>1990</v>
      </c>
      <c r="AF103" s="2">
        <f t="shared" si="29"/>
        <v>1578</v>
      </c>
      <c r="AG103" s="2">
        <f t="shared" si="30"/>
        <v>12915</v>
      </c>
      <c r="AH103" s="2">
        <f t="shared" si="31"/>
        <v>23985</v>
      </c>
      <c r="AI103" s="2">
        <f t="shared" si="32"/>
        <v>25885</v>
      </c>
      <c r="AJ103" s="2">
        <f t="shared" si="33"/>
        <v>4935</v>
      </c>
      <c r="AK103" s="2">
        <f t="shared" si="34"/>
        <v>3396</v>
      </c>
      <c r="AL103" s="2">
        <f t="shared" si="35"/>
        <v>2627</v>
      </c>
      <c r="AM103" s="2">
        <f t="shared" si="36"/>
        <v>2165</v>
      </c>
      <c r="AN103" s="2">
        <f t="shared" si="37"/>
        <v>1858</v>
      </c>
      <c r="AO103" s="2">
        <f t="shared" si="38"/>
        <v>1473</v>
      </c>
      <c r="AP103" s="2">
        <f t="shared" si="39"/>
        <v>14760</v>
      </c>
      <c r="AQ103" s="2">
        <f t="shared" si="40"/>
        <v>22140</v>
      </c>
      <c r="AR103" s="2">
        <f t="shared" si="41"/>
        <v>24040</v>
      </c>
      <c r="AS103" s="2">
        <f t="shared" si="42"/>
        <v>4583</v>
      </c>
      <c r="AT103" s="2">
        <f t="shared" si="43"/>
        <v>3154</v>
      </c>
      <c r="AU103" s="2">
        <f t="shared" si="44"/>
        <v>2440</v>
      </c>
      <c r="AV103" s="2">
        <f t="shared" si="45"/>
        <v>2011</v>
      </c>
      <c r="AW103" s="2">
        <f t="shared" si="46"/>
        <v>1725</v>
      </c>
      <c r="AX103" s="2">
        <f t="shared" si="47"/>
        <v>1368</v>
      </c>
    </row>
    <row r="104" ht="14.25" customHeight="1">
      <c r="A104" s="2" t="str">
        <f t="array" ref="A104">IFERROR(INDEX('Product Price'!A:A,SMALL('Product Price'!$D:$D,102)),"")</f>
        <v>SAMSUNG Galaxy S25+ 12/512 GB</v>
      </c>
      <c r="B104" s="2">
        <f t="array" ref="B104">IFERROR(INDEX('Product Price'!B:B,SMALL('Product Price'!$D:$D,102)),"")</f>
        <v>41900</v>
      </c>
      <c r="C104" s="2">
        <f t="array" ref="C104">IFERROR(INDEX('Product Price'!C:C,SMALL('Product Price'!$D:$D,102)),"")</f>
        <v>92</v>
      </c>
      <c r="D104" s="2">
        <f t="shared" si="1"/>
        <v>2475</v>
      </c>
      <c r="E104" s="2">
        <f t="shared" si="2"/>
        <v>44375</v>
      </c>
      <c r="F104" s="2">
        <f t="shared" si="3"/>
        <v>8380</v>
      </c>
      <c r="G104" s="2">
        <f t="shared" si="4"/>
        <v>33520</v>
      </c>
      <c r="H104" s="2">
        <f t="shared" si="5"/>
        <v>35995</v>
      </c>
      <c r="I104" s="2">
        <f t="shared" si="6"/>
        <v>6863</v>
      </c>
      <c r="J104" s="2">
        <f t="shared" si="7"/>
        <v>4723</v>
      </c>
      <c r="K104" s="2">
        <f t="shared" si="8"/>
        <v>3653</v>
      </c>
      <c r="L104" s="2">
        <f t="shared" si="9"/>
        <v>3011</v>
      </c>
      <c r="M104" s="2">
        <f t="shared" si="10"/>
        <v>2583</v>
      </c>
      <c r="N104" s="2">
        <f t="shared" si="11"/>
        <v>2048</v>
      </c>
      <c r="O104" s="2">
        <f t="shared" si="12"/>
        <v>10475</v>
      </c>
      <c r="P104" s="2">
        <f t="shared" si="13"/>
        <v>31425</v>
      </c>
      <c r="Q104" s="2">
        <f t="shared" si="14"/>
        <v>33900</v>
      </c>
      <c r="R104" s="2">
        <f t="shared" si="15"/>
        <v>6463</v>
      </c>
      <c r="S104" s="2">
        <f t="shared" si="16"/>
        <v>4448</v>
      </c>
      <c r="T104" s="2">
        <f t="shared" si="17"/>
        <v>3440</v>
      </c>
      <c r="U104" s="2">
        <f t="shared" si="18"/>
        <v>2836</v>
      </c>
      <c r="V104" s="2">
        <f t="shared" si="19"/>
        <v>2433</v>
      </c>
      <c r="W104" s="2">
        <f t="shared" si="20"/>
        <v>1929</v>
      </c>
      <c r="X104" s="2">
        <f t="shared" si="21"/>
        <v>12570</v>
      </c>
      <c r="Y104" s="2">
        <f t="shared" si="22"/>
        <v>29330</v>
      </c>
      <c r="Z104" s="2">
        <f t="shared" si="23"/>
        <v>31805</v>
      </c>
      <c r="AA104" s="2">
        <f t="shared" si="24"/>
        <v>6064</v>
      </c>
      <c r="AB104" s="2">
        <f t="shared" si="25"/>
        <v>4173</v>
      </c>
      <c r="AC104" s="2">
        <f t="shared" si="26"/>
        <v>3228</v>
      </c>
      <c r="AD104" s="2">
        <f t="shared" si="27"/>
        <v>2661</v>
      </c>
      <c r="AE104" s="2">
        <f t="shared" si="28"/>
        <v>2282</v>
      </c>
      <c r="AF104" s="2">
        <f t="shared" si="29"/>
        <v>1810</v>
      </c>
      <c r="AG104" s="2">
        <f t="shared" si="30"/>
        <v>14665</v>
      </c>
      <c r="AH104" s="2">
        <f t="shared" si="31"/>
        <v>27235</v>
      </c>
      <c r="AI104" s="2">
        <f t="shared" si="32"/>
        <v>29710</v>
      </c>
      <c r="AJ104" s="2">
        <f t="shared" si="33"/>
        <v>5664</v>
      </c>
      <c r="AK104" s="2">
        <f t="shared" si="34"/>
        <v>3898</v>
      </c>
      <c r="AL104" s="2">
        <f t="shared" si="35"/>
        <v>3015</v>
      </c>
      <c r="AM104" s="2">
        <f t="shared" si="36"/>
        <v>2485</v>
      </c>
      <c r="AN104" s="2">
        <f t="shared" si="37"/>
        <v>2132</v>
      </c>
      <c r="AO104" s="2">
        <f t="shared" si="38"/>
        <v>1691</v>
      </c>
      <c r="AP104" s="2">
        <f t="shared" si="39"/>
        <v>16760</v>
      </c>
      <c r="AQ104" s="2">
        <f t="shared" si="40"/>
        <v>25140</v>
      </c>
      <c r="AR104" s="2">
        <f t="shared" si="41"/>
        <v>27615</v>
      </c>
      <c r="AS104" s="2">
        <f t="shared" si="42"/>
        <v>5265</v>
      </c>
      <c r="AT104" s="2">
        <f t="shared" si="43"/>
        <v>3623</v>
      </c>
      <c r="AU104" s="2">
        <f t="shared" si="44"/>
        <v>2803</v>
      </c>
      <c r="AV104" s="2">
        <f t="shared" si="45"/>
        <v>2310</v>
      </c>
      <c r="AW104" s="2">
        <f t="shared" si="46"/>
        <v>1982</v>
      </c>
      <c r="AX104" s="2">
        <f t="shared" si="47"/>
        <v>1571</v>
      </c>
    </row>
    <row r="105" ht="14.25" customHeight="1">
      <c r="A105" s="2" t="str">
        <f t="array" ref="A105">IFERROR(INDEX('Product Price'!A:A,SMALL('Product Price'!$D:$D,103)),"")</f>
        <v>SAMSUNG Galaxy S25 Ultra 12/256 GB</v>
      </c>
      <c r="B105" s="2">
        <f t="array" ref="B105">IFERROR(INDEX('Product Price'!B:B,SMALL('Product Price'!$D:$D,103)),"")</f>
        <v>42900</v>
      </c>
      <c r="C105" s="2">
        <f t="array" ref="C105">IFERROR(INDEX('Product Price'!C:C,SMALL('Product Price'!$D:$D,103)),"")</f>
        <v>93</v>
      </c>
      <c r="D105" s="2">
        <f t="shared" si="1"/>
        <v>2475</v>
      </c>
      <c r="E105" s="2">
        <f t="shared" si="2"/>
        <v>45375</v>
      </c>
      <c r="F105" s="2">
        <f t="shared" si="3"/>
        <v>8580</v>
      </c>
      <c r="G105" s="2">
        <f t="shared" si="4"/>
        <v>34320</v>
      </c>
      <c r="H105" s="2">
        <f t="shared" si="5"/>
        <v>36795</v>
      </c>
      <c r="I105" s="2">
        <f t="shared" si="6"/>
        <v>7015</v>
      </c>
      <c r="J105" s="2">
        <f t="shared" si="7"/>
        <v>4828</v>
      </c>
      <c r="K105" s="2">
        <f t="shared" si="8"/>
        <v>3734</v>
      </c>
      <c r="L105" s="2">
        <f t="shared" si="9"/>
        <v>3078</v>
      </c>
      <c r="M105" s="2">
        <f t="shared" si="10"/>
        <v>2641</v>
      </c>
      <c r="N105" s="2">
        <f t="shared" si="11"/>
        <v>2094</v>
      </c>
      <c r="O105" s="2">
        <f t="shared" si="12"/>
        <v>10725</v>
      </c>
      <c r="P105" s="2">
        <f t="shared" si="13"/>
        <v>32175</v>
      </c>
      <c r="Q105" s="2">
        <f t="shared" si="14"/>
        <v>34650</v>
      </c>
      <c r="R105" s="2">
        <f t="shared" si="15"/>
        <v>6606</v>
      </c>
      <c r="S105" s="2">
        <f t="shared" si="16"/>
        <v>4546</v>
      </c>
      <c r="T105" s="2">
        <f t="shared" si="17"/>
        <v>3516</v>
      </c>
      <c r="U105" s="2">
        <f t="shared" si="18"/>
        <v>2899</v>
      </c>
      <c r="V105" s="2">
        <f t="shared" si="19"/>
        <v>2487</v>
      </c>
      <c r="W105" s="2">
        <f t="shared" si="20"/>
        <v>1972</v>
      </c>
      <c r="X105" s="2">
        <f t="shared" si="21"/>
        <v>12870</v>
      </c>
      <c r="Y105" s="2">
        <f t="shared" si="22"/>
        <v>30030</v>
      </c>
      <c r="Z105" s="2">
        <f t="shared" si="23"/>
        <v>32505</v>
      </c>
      <c r="AA105" s="2">
        <f t="shared" si="24"/>
        <v>6197</v>
      </c>
      <c r="AB105" s="2">
        <f t="shared" si="25"/>
        <v>4265</v>
      </c>
      <c r="AC105" s="2">
        <f t="shared" si="26"/>
        <v>3299</v>
      </c>
      <c r="AD105" s="2">
        <f t="shared" si="27"/>
        <v>2719</v>
      </c>
      <c r="AE105" s="2">
        <f t="shared" si="28"/>
        <v>2333</v>
      </c>
      <c r="AF105" s="2">
        <f t="shared" si="29"/>
        <v>1850</v>
      </c>
      <c r="AG105" s="2">
        <f t="shared" si="30"/>
        <v>15015</v>
      </c>
      <c r="AH105" s="2">
        <f t="shared" si="31"/>
        <v>27885</v>
      </c>
      <c r="AI105" s="2">
        <f t="shared" si="32"/>
        <v>30360</v>
      </c>
      <c r="AJ105" s="2">
        <f t="shared" si="33"/>
        <v>5788</v>
      </c>
      <c r="AK105" s="2">
        <f t="shared" si="34"/>
        <v>3984</v>
      </c>
      <c r="AL105" s="2">
        <f t="shared" si="35"/>
        <v>3081</v>
      </c>
      <c r="AM105" s="2">
        <f t="shared" si="36"/>
        <v>2540</v>
      </c>
      <c r="AN105" s="2">
        <f t="shared" si="37"/>
        <v>2179</v>
      </c>
      <c r="AO105" s="2">
        <f t="shared" si="38"/>
        <v>1728</v>
      </c>
      <c r="AP105" s="2">
        <f t="shared" si="39"/>
        <v>17160</v>
      </c>
      <c r="AQ105" s="2">
        <f t="shared" si="40"/>
        <v>25740</v>
      </c>
      <c r="AR105" s="2">
        <f t="shared" si="41"/>
        <v>28215</v>
      </c>
      <c r="AS105" s="2">
        <f t="shared" si="42"/>
        <v>5379</v>
      </c>
      <c r="AT105" s="2">
        <f t="shared" si="43"/>
        <v>3702</v>
      </c>
      <c r="AU105" s="2">
        <f t="shared" si="44"/>
        <v>2864</v>
      </c>
      <c r="AV105" s="2">
        <f t="shared" si="45"/>
        <v>2360</v>
      </c>
      <c r="AW105" s="2">
        <f t="shared" si="46"/>
        <v>2025</v>
      </c>
      <c r="AX105" s="2">
        <f t="shared" si="47"/>
        <v>1606</v>
      </c>
    </row>
    <row r="106" ht="14.25" customHeight="1">
      <c r="A106" s="2" t="str">
        <f t="array" ref="A106">IFERROR(INDEX('Product Price'!A:A,SMALL('Product Price'!$D:$D,104)),"")</f>
        <v>SAMSUNG Galaxy S26 12/256 GB</v>
      </c>
      <c r="B106" s="2">
        <f t="array" ref="B106">IFERROR(INDEX('Product Price'!B:B,SMALL('Product Price'!$D:$D,104)),"")</f>
        <v>33900</v>
      </c>
      <c r="C106" s="2">
        <f t="array" ref="C106">IFERROR(INDEX('Product Price'!C:C,SMALL('Product Price'!$D:$D,104)),"")</f>
        <v>94</v>
      </c>
      <c r="D106" s="2">
        <f t="shared" si="1"/>
        <v>1900</v>
      </c>
      <c r="E106" s="2">
        <f t="shared" si="2"/>
        <v>35800</v>
      </c>
      <c r="F106" s="2">
        <f t="shared" si="3"/>
        <v>6780</v>
      </c>
      <c r="G106" s="2">
        <f t="shared" si="4"/>
        <v>27120</v>
      </c>
      <c r="H106" s="2">
        <f t="shared" si="5"/>
        <v>29020</v>
      </c>
      <c r="I106" s="2">
        <f t="shared" si="6"/>
        <v>5533</v>
      </c>
      <c r="J106" s="2">
        <f t="shared" si="7"/>
        <v>3808</v>
      </c>
      <c r="K106" s="2">
        <f t="shared" si="8"/>
        <v>2945</v>
      </c>
      <c r="L106" s="2">
        <f t="shared" si="9"/>
        <v>2428</v>
      </c>
      <c r="M106" s="2">
        <f t="shared" si="10"/>
        <v>2083</v>
      </c>
      <c r="N106" s="2">
        <f t="shared" si="11"/>
        <v>1651</v>
      </c>
      <c r="O106" s="2">
        <f t="shared" si="12"/>
        <v>8475</v>
      </c>
      <c r="P106" s="2">
        <f t="shared" si="13"/>
        <v>25425</v>
      </c>
      <c r="Q106" s="2">
        <f t="shared" si="14"/>
        <v>27325</v>
      </c>
      <c r="R106" s="2">
        <f t="shared" si="15"/>
        <v>5210</v>
      </c>
      <c r="S106" s="2">
        <f t="shared" si="16"/>
        <v>3585</v>
      </c>
      <c r="T106" s="2">
        <f t="shared" si="17"/>
        <v>2773</v>
      </c>
      <c r="U106" s="2">
        <f t="shared" si="18"/>
        <v>2286</v>
      </c>
      <c r="V106" s="2">
        <f t="shared" si="19"/>
        <v>1961</v>
      </c>
      <c r="W106" s="2">
        <f t="shared" si="20"/>
        <v>1555</v>
      </c>
      <c r="X106" s="2">
        <f t="shared" si="21"/>
        <v>10170</v>
      </c>
      <c r="Y106" s="2">
        <f t="shared" si="22"/>
        <v>23730</v>
      </c>
      <c r="Z106" s="2">
        <f t="shared" si="23"/>
        <v>25630</v>
      </c>
      <c r="AA106" s="2">
        <f t="shared" si="24"/>
        <v>4887</v>
      </c>
      <c r="AB106" s="2">
        <f t="shared" si="25"/>
        <v>3363</v>
      </c>
      <c r="AC106" s="2">
        <f t="shared" si="26"/>
        <v>2601</v>
      </c>
      <c r="AD106" s="2">
        <f t="shared" si="27"/>
        <v>2144</v>
      </c>
      <c r="AE106" s="2">
        <f t="shared" si="28"/>
        <v>1839</v>
      </c>
      <c r="AF106" s="2">
        <f t="shared" si="29"/>
        <v>1459</v>
      </c>
      <c r="AG106" s="2">
        <f t="shared" si="30"/>
        <v>11865</v>
      </c>
      <c r="AH106" s="2">
        <f t="shared" si="31"/>
        <v>22035</v>
      </c>
      <c r="AI106" s="2">
        <f t="shared" si="32"/>
        <v>23935</v>
      </c>
      <c r="AJ106" s="2">
        <f t="shared" si="33"/>
        <v>4563</v>
      </c>
      <c r="AK106" s="2">
        <f t="shared" si="34"/>
        <v>3141</v>
      </c>
      <c r="AL106" s="2">
        <f t="shared" si="35"/>
        <v>2429</v>
      </c>
      <c r="AM106" s="2">
        <f t="shared" si="36"/>
        <v>2002</v>
      </c>
      <c r="AN106" s="2">
        <f t="shared" si="37"/>
        <v>1718</v>
      </c>
      <c r="AO106" s="2">
        <f t="shared" si="38"/>
        <v>1362</v>
      </c>
      <c r="AP106" s="2">
        <f t="shared" si="39"/>
        <v>13560</v>
      </c>
      <c r="AQ106" s="2">
        <f t="shared" si="40"/>
        <v>20340</v>
      </c>
      <c r="AR106" s="2">
        <f t="shared" si="41"/>
        <v>22240</v>
      </c>
      <c r="AS106" s="2">
        <f t="shared" si="42"/>
        <v>4240</v>
      </c>
      <c r="AT106" s="2">
        <f t="shared" si="43"/>
        <v>2918</v>
      </c>
      <c r="AU106" s="2">
        <f t="shared" si="44"/>
        <v>2257</v>
      </c>
      <c r="AV106" s="2">
        <f t="shared" si="45"/>
        <v>1861</v>
      </c>
      <c r="AW106" s="2">
        <f t="shared" si="46"/>
        <v>1596</v>
      </c>
      <c r="AX106" s="2">
        <f t="shared" si="47"/>
        <v>1266</v>
      </c>
    </row>
    <row r="107" ht="14.25" customHeight="1">
      <c r="A107" s="2" t="str">
        <f t="array" ref="A107">IFERROR(INDEX('Product Price'!A:A,SMALL('Product Price'!$D:$D,105)),"")</f>
        <v>SAMSUNG Galaxy S26 12/512 GB</v>
      </c>
      <c r="B107" s="2">
        <f t="array" ref="B107">IFERROR(INDEX('Product Price'!B:B,SMALL('Product Price'!$D:$D,105)),"")</f>
        <v>41900</v>
      </c>
      <c r="C107" s="2">
        <f t="array" ref="C107">IFERROR(INDEX('Product Price'!C:C,SMALL('Product Price'!$D:$D,105)),"")</f>
        <v>95</v>
      </c>
      <c r="D107" s="2">
        <f t="shared" si="1"/>
        <v>2475</v>
      </c>
      <c r="E107" s="2">
        <f t="shared" si="2"/>
        <v>44375</v>
      </c>
      <c r="F107" s="2">
        <f t="shared" si="3"/>
        <v>8380</v>
      </c>
      <c r="G107" s="2">
        <f t="shared" si="4"/>
        <v>33520</v>
      </c>
      <c r="H107" s="2">
        <f t="shared" si="5"/>
        <v>35995</v>
      </c>
      <c r="I107" s="2">
        <f t="shared" si="6"/>
        <v>6863</v>
      </c>
      <c r="J107" s="2">
        <f t="shared" si="7"/>
        <v>4723</v>
      </c>
      <c r="K107" s="2">
        <f t="shared" si="8"/>
        <v>3653</v>
      </c>
      <c r="L107" s="2">
        <f t="shared" si="9"/>
        <v>3011</v>
      </c>
      <c r="M107" s="2">
        <f t="shared" si="10"/>
        <v>2583</v>
      </c>
      <c r="N107" s="2">
        <f t="shared" si="11"/>
        <v>2048</v>
      </c>
      <c r="O107" s="2">
        <f t="shared" si="12"/>
        <v>10475</v>
      </c>
      <c r="P107" s="2">
        <f t="shared" si="13"/>
        <v>31425</v>
      </c>
      <c r="Q107" s="2">
        <f t="shared" si="14"/>
        <v>33900</v>
      </c>
      <c r="R107" s="2">
        <f t="shared" si="15"/>
        <v>6463</v>
      </c>
      <c r="S107" s="2">
        <f t="shared" si="16"/>
        <v>4448</v>
      </c>
      <c r="T107" s="2">
        <f t="shared" si="17"/>
        <v>3440</v>
      </c>
      <c r="U107" s="2">
        <f t="shared" si="18"/>
        <v>2836</v>
      </c>
      <c r="V107" s="2">
        <f t="shared" si="19"/>
        <v>2433</v>
      </c>
      <c r="W107" s="2">
        <f t="shared" si="20"/>
        <v>1929</v>
      </c>
      <c r="X107" s="2">
        <f t="shared" si="21"/>
        <v>12570</v>
      </c>
      <c r="Y107" s="2">
        <f t="shared" si="22"/>
        <v>29330</v>
      </c>
      <c r="Z107" s="2">
        <f t="shared" si="23"/>
        <v>31805</v>
      </c>
      <c r="AA107" s="2">
        <f t="shared" si="24"/>
        <v>6064</v>
      </c>
      <c r="AB107" s="2">
        <f t="shared" si="25"/>
        <v>4173</v>
      </c>
      <c r="AC107" s="2">
        <f t="shared" si="26"/>
        <v>3228</v>
      </c>
      <c r="AD107" s="2">
        <f t="shared" si="27"/>
        <v>2661</v>
      </c>
      <c r="AE107" s="2">
        <f t="shared" si="28"/>
        <v>2282</v>
      </c>
      <c r="AF107" s="2">
        <f t="shared" si="29"/>
        <v>1810</v>
      </c>
      <c r="AG107" s="2">
        <f t="shared" si="30"/>
        <v>14665</v>
      </c>
      <c r="AH107" s="2">
        <f t="shared" si="31"/>
        <v>27235</v>
      </c>
      <c r="AI107" s="2">
        <f t="shared" si="32"/>
        <v>29710</v>
      </c>
      <c r="AJ107" s="2">
        <f t="shared" si="33"/>
        <v>5664</v>
      </c>
      <c r="AK107" s="2">
        <f t="shared" si="34"/>
        <v>3898</v>
      </c>
      <c r="AL107" s="2">
        <f t="shared" si="35"/>
        <v>3015</v>
      </c>
      <c r="AM107" s="2">
        <f t="shared" si="36"/>
        <v>2485</v>
      </c>
      <c r="AN107" s="2">
        <f t="shared" si="37"/>
        <v>2132</v>
      </c>
      <c r="AO107" s="2">
        <f t="shared" si="38"/>
        <v>1691</v>
      </c>
      <c r="AP107" s="2">
        <f t="shared" si="39"/>
        <v>16760</v>
      </c>
      <c r="AQ107" s="2">
        <f t="shared" si="40"/>
        <v>25140</v>
      </c>
      <c r="AR107" s="2">
        <f t="shared" si="41"/>
        <v>27615</v>
      </c>
      <c r="AS107" s="2">
        <f t="shared" si="42"/>
        <v>5265</v>
      </c>
      <c r="AT107" s="2">
        <f t="shared" si="43"/>
        <v>3623</v>
      </c>
      <c r="AU107" s="2">
        <f t="shared" si="44"/>
        <v>2803</v>
      </c>
      <c r="AV107" s="2">
        <f t="shared" si="45"/>
        <v>2310</v>
      </c>
      <c r="AW107" s="2">
        <f t="shared" si="46"/>
        <v>1982</v>
      </c>
      <c r="AX107" s="2">
        <f t="shared" si="47"/>
        <v>1571</v>
      </c>
    </row>
    <row r="108" ht="14.25" customHeight="1">
      <c r="A108" s="2" t="str">
        <f t="array" ref="A108">IFERROR(INDEX('Product Price'!A:A,SMALL('Product Price'!$D:$D,106)),"")</f>
        <v>SAMSUNG Galaxy S26+ 12/256 GB</v>
      </c>
      <c r="B108" s="2">
        <f t="array" ref="B108">IFERROR(INDEX('Product Price'!B:B,SMALL('Product Price'!$D:$D,106)),"")</f>
        <v>40900</v>
      </c>
      <c r="C108" s="2">
        <f t="array" ref="C108">IFERROR(INDEX('Product Price'!C:C,SMALL('Product Price'!$D:$D,106)),"")</f>
        <v>96</v>
      </c>
      <c r="D108" s="2">
        <f t="shared" si="1"/>
        <v>2475</v>
      </c>
      <c r="E108" s="2">
        <f t="shared" si="2"/>
        <v>43375</v>
      </c>
      <c r="F108" s="2">
        <f t="shared" si="3"/>
        <v>8180</v>
      </c>
      <c r="G108" s="2">
        <f t="shared" si="4"/>
        <v>32720</v>
      </c>
      <c r="H108" s="2">
        <f t="shared" si="5"/>
        <v>35195</v>
      </c>
      <c r="I108" s="2">
        <f t="shared" si="6"/>
        <v>6710</v>
      </c>
      <c r="J108" s="2">
        <f t="shared" si="7"/>
        <v>4618</v>
      </c>
      <c r="K108" s="2">
        <f t="shared" si="8"/>
        <v>3572</v>
      </c>
      <c r="L108" s="2">
        <f t="shared" si="9"/>
        <v>2944</v>
      </c>
      <c r="M108" s="2">
        <f t="shared" si="10"/>
        <v>2526</v>
      </c>
      <c r="N108" s="2">
        <f t="shared" si="11"/>
        <v>2003</v>
      </c>
      <c r="O108" s="2">
        <f t="shared" si="12"/>
        <v>10225</v>
      </c>
      <c r="P108" s="2">
        <f t="shared" si="13"/>
        <v>30675</v>
      </c>
      <c r="Q108" s="2">
        <f t="shared" si="14"/>
        <v>33150</v>
      </c>
      <c r="R108" s="2">
        <f t="shared" si="15"/>
        <v>6320</v>
      </c>
      <c r="S108" s="2">
        <f t="shared" si="16"/>
        <v>4350</v>
      </c>
      <c r="T108" s="2">
        <f t="shared" si="17"/>
        <v>3364</v>
      </c>
      <c r="U108" s="2">
        <f t="shared" si="18"/>
        <v>2773</v>
      </c>
      <c r="V108" s="2">
        <f t="shared" si="19"/>
        <v>2379</v>
      </c>
      <c r="W108" s="2">
        <f t="shared" si="20"/>
        <v>1886</v>
      </c>
      <c r="X108" s="2">
        <f t="shared" si="21"/>
        <v>12270</v>
      </c>
      <c r="Y108" s="2">
        <f t="shared" si="22"/>
        <v>28630</v>
      </c>
      <c r="Z108" s="2">
        <f t="shared" si="23"/>
        <v>31105</v>
      </c>
      <c r="AA108" s="2">
        <f t="shared" si="24"/>
        <v>5930</v>
      </c>
      <c r="AB108" s="2">
        <f t="shared" si="25"/>
        <v>4081</v>
      </c>
      <c r="AC108" s="2">
        <f t="shared" si="26"/>
        <v>3157</v>
      </c>
      <c r="AD108" s="2">
        <f t="shared" si="27"/>
        <v>2602</v>
      </c>
      <c r="AE108" s="2">
        <f t="shared" si="28"/>
        <v>2232</v>
      </c>
      <c r="AF108" s="2">
        <f t="shared" si="29"/>
        <v>1770</v>
      </c>
      <c r="AG108" s="2">
        <f t="shared" si="30"/>
        <v>14315</v>
      </c>
      <c r="AH108" s="2">
        <f t="shared" si="31"/>
        <v>26585</v>
      </c>
      <c r="AI108" s="2">
        <f t="shared" si="32"/>
        <v>29060</v>
      </c>
      <c r="AJ108" s="2">
        <f t="shared" si="33"/>
        <v>5540</v>
      </c>
      <c r="AK108" s="2">
        <f t="shared" si="34"/>
        <v>3813</v>
      </c>
      <c r="AL108" s="2">
        <f t="shared" si="35"/>
        <v>2949</v>
      </c>
      <c r="AM108" s="2">
        <f t="shared" si="36"/>
        <v>2431</v>
      </c>
      <c r="AN108" s="2">
        <f t="shared" si="37"/>
        <v>2086</v>
      </c>
      <c r="AO108" s="2">
        <f t="shared" si="38"/>
        <v>1654</v>
      </c>
      <c r="AP108" s="2">
        <f t="shared" si="39"/>
        <v>16360</v>
      </c>
      <c r="AQ108" s="2">
        <f t="shared" si="40"/>
        <v>24540</v>
      </c>
      <c r="AR108" s="2">
        <f t="shared" si="41"/>
        <v>27015</v>
      </c>
      <c r="AS108" s="2">
        <f t="shared" si="42"/>
        <v>5151</v>
      </c>
      <c r="AT108" s="2">
        <f t="shared" si="43"/>
        <v>3545</v>
      </c>
      <c r="AU108" s="2">
        <f t="shared" si="44"/>
        <v>2742</v>
      </c>
      <c r="AV108" s="2">
        <f t="shared" si="45"/>
        <v>2260</v>
      </c>
      <c r="AW108" s="2">
        <f t="shared" si="46"/>
        <v>1939</v>
      </c>
      <c r="AX108" s="2">
        <f t="shared" si="47"/>
        <v>1537</v>
      </c>
    </row>
    <row r="109" ht="14.25" customHeight="1">
      <c r="A109" s="2" t="str">
        <f t="array" ref="A109">IFERROR(INDEX('Product Price'!A:A,SMALL('Product Price'!$D:$D,107)),"")</f>
        <v>SAMSUNG Galaxy S26+ 12/512 GB</v>
      </c>
      <c r="B109" s="2">
        <f t="array" ref="B109">IFERROR(INDEX('Product Price'!B:B,SMALL('Product Price'!$D:$D,107)),"")</f>
        <v>48900</v>
      </c>
      <c r="C109" s="2">
        <f t="array" ref="C109">IFERROR(INDEX('Product Price'!C:C,SMALL('Product Price'!$D:$D,107)),"")</f>
        <v>97</v>
      </c>
      <c r="D109" s="2">
        <f t="shared" si="1"/>
        <v>2475</v>
      </c>
      <c r="E109" s="2">
        <f t="shared" si="2"/>
        <v>51375</v>
      </c>
      <c r="F109" s="2">
        <f t="shared" si="3"/>
        <v>9780</v>
      </c>
      <c r="G109" s="2">
        <f t="shared" si="4"/>
        <v>39120</v>
      </c>
      <c r="H109" s="2">
        <f t="shared" si="5"/>
        <v>41595</v>
      </c>
      <c r="I109" s="2">
        <f t="shared" si="6"/>
        <v>7930</v>
      </c>
      <c r="J109" s="2">
        <f t="shared" si="7"/>
        <v>5458</v>
      </c>
      <c r="K109" s="2">
        <f t="shared" si="8"/>
        <v>4221</v>
      </c>
      <c r="L109" s="2">
        <f t="shared" si="9"/>
        <v>3479</v>
      </c>
      <c r="M109" s="2">
        <f t="shared" si="10"/>
        <v>2985</v>
      </c>
      <c r="N109" s="2">
        <f t="shared" si="11"/>
        <v>2367</v>
      </c>
      <c r="O109" s="2">
        <f t="shared" si="12"/>
        <v>12225</v>
      </c>
      <c r="P109" s="2">
        <f t="shared" si="13"/>
        <v>36675</v>
      </c>
      <c r="Q109" s="2">
        <f t="shared" si="14"/>
        <v>39150</v>
      </c>
      <c r="R109" s="2">
        <f t="shared" si="15"/>
        <v>7464</v>
      </c>
      <c r="S109" s="2">
        <f t="shared" si="16"/>
        <v>5137</v>
      </c>
      <c r="T109" s="2">
        <f t="shared" si="17"/>
        <v>3973</v>
      </c>
      <c r="U109" s="2">
        <f t="shared" si="18"/>
        <v>3275</v>
      </c>
      <c r="V109" s="2">
        <f t="shared" si="19"/>
        <v>2809</v>
      </c>
      <c r="W109" s="2">
        <f t="shared" si="20"/>
        <v>2228</v>
      </c>
      <c r="X109" s="2">
        <f t="shared" si="21"/>
        <v>14670</v>
      </c>
      <c r="Y109" s="2">
        <f t="shared" si="22"/>
        <v>34230</v>
      </c>
      <c r="Z109" s="2">
        <f t="shared" si="23"/>
        <v>36705</v>
      </c>
      <c r="AA109" s="2">
        <f t="shared" si="24"/>
        <v>6998</v>
      </c>
      <c r="AB109" s="2">
        <f t="shared" si="25"/>
        <v>4816</v>
      </c>
      <c r="AC109" s="2">
        <f t="shared" si="26"/>
        <v>3725</v>
      </c>
      <c r="AD109" s="2">
        <f t="shared" si="27"/>
        <v>3070</v>
      </c>
      <c r="AE109" s="2">
        <f t="shared" si="28"/>
        <v>2634</v>
      </c>
      <c r="AF109" s="2">
        <f t="shared" si="29"/>
        <v>2089</v>
      </c>
      <c r="AG109" s="2">
        <f t="shared" si="30"/>
        <v>17115</v>
      </c>
      <c r="AH109" s="2">
        <f t="shared" si="31"/>
        <v>31785</v>
      </c>
      <c r="AI109" s="2">
        <f t="shared" si="32"/>
        <v>34260</v>
      </c>
      <c r="AJ109" s="2">
        <f t="shared" si="33"/>
        <v>6532</v>
      </c>
      <c r="AK109" s="2">
        <f t="shared" si="34"/>
        <v>4495</v>
      </c>
      <c r="AL109" s="2">
        <f t="shared" si="35"/>
        <v>3477</v>
      </c>
      <c r="AM109" s="2">
        <f t="shared" si="36"/>
        <v>2866</v>
      </c>
      <c r="AN109" s="2">
        <f t="shared" si="37"/>
        <v>2459</v>
      </c>
      <c r="AO109" s="2">
        <f t="shared" si="38"/>
        <v>1949</v>
      </c>
      <c r="AP109" s="2">
        <f t="shared" si="39"/>
        <v>19560</v>
      </c>
      <c r="AQ109" s="2">
        <f t="shared" si="40"/>
        <v>29340</v>
      </c>
      <c r="AR109" s="2">
        <f t="shared" si="41"/>
        <v>31815</v>
      </c>
      <c r="AS109" s="2">
        <f t="shared" si="42"/>
        <v>6066</v>
      </c>
      <c r="AT109" s="2">
        <f t="shared" si="43"/>
        <v>4174</v>
      </c>
      <c r="AU109" s="2">
        <f t="shared" si="44"/>
        <v>3229</v>
      </c>
      <c r="AV109" s="2">
        <f t="shared" si="45"/>
        <v>2661</v>
      </c>
      <c r="AW109" s="2">
        <f t="shared" si="46"/>
        <v>2283</v>
      </c>
      <c r="AX109" s="2">
        <f t="shared" si="47"/>
        <v>1810</v>
      </c>
    </row>
    <row r="110" ht="14.25" customHeight="1">
      <c r="A110" s="2" t="str">
        <f t="array" ref="A110">IFERROR(INDEX('Product Price'!A:A,SMALL('Product Price'!$D:$D,108)),"")</f>
        <v>SAMSUNG Galaxy S26 Ultra 12/256 GB</v>
      </c>
      <c r="B110" s="2">
        <f t="array" ref="B110">IFERROR(INDEX('Product Price'!B:B,SMALL('Product Price'!$D:$D,108)),"")</f>
        <v>46900</v>
      </c>
      <c r="C110" s="2">
        <f t="array" ref="C110">IFERROR(INDEX('Product Price'!C:C,SMALL('Product Price'!$D:$D,108)),"")</f>
        <v>98</v>
      </c>
      <c r="D110" s="2">
        <f t="shared" si="1"/>
        <v>2475</v>
      </c>
      <c r="E110" s="2">
        <f t="shared" si="2"/>
        <v>49375</v>
      </c>
      <c r="F110" s="2">
        <f t="shared" si="3"/>
        <v>9380</v>
      </c>
      <c r="G110" s="2">
        <f t="shared" si="4"/>
        <v>37520</v>
      </c>
      <c r="H110" s="2">
        <f t="shared" si="5"/>
        <v>39995</v>
      </c>
      <c r="I110" s="2">
        <f t="shared" si="6"/>
        <v>7625</v>
      </c>
      <c r="J110" s="2">
        <f t="shared" si="7"/>
        <v>5248</v>
      </c>
      <c r="K110" s="2">
        <f t="shared" si="8"/>
        <v>4059</v>
      </c>
      <c r="L110" s="2">
        <f t="shared" si="9"/>
        <v>3346</v>
      </c>
      <c r="M110" s="2">
        <f t="shared" si="10"/>
        <v>2870</v>
      </c>
      <c r="N110" s="2">
        <f t="shared" si="11"/>
        <v>2276</v>
      </c>
      <c r="O110" s="2">
        <f t="shared" si="12"/>
        <v>11725</v>
      </c>
      <c r="P110" s="2">
        <f t="shared" si="13"/>
        <v>35175</v>
      </c>
      <c r="Q110" s="2">
        <f t="shared" si="14"/>
        <v>37650</v>
      </c>
      <c r="R110" s="2">
        <f t="shared" si="15"/>
        <v>7178</v>
      </c>
      <c r="S110" s="2">
        <f t="shared" si="16"/>
        <v>4940</v>
      </c>
      <c r="T110" s="2">
        <f t="shared" si="17"/>
        <v>3821</v>
      </c>
      <c r="U110" s="2">
        <f t="shared" si="18"/>
        <v>3149</v>
      </c>
      <c r="V110" s="2">
        <f t="shared" si="19"/>
        <v>2702</v>
      </c>
      <c r="W110" s="2">
        <f t="shared" si="20"/>
        <v>2142</v>
      </c>
      <c r="X110" s="2">
        <f t="shared" si="21"/>
        <v>14070</v>
      </c>
      <c r="Y110" s="2">
        <f t="shared" si="22"/>
        <v>32830</v>
      </c>
      <c r="Z110" s="2">
        <f t="shared" si="23"/>
        <v>35305</v>
      </c>
      <c r="AA110" s="2">
        <f t="shared" si="24"/>
        <v>6731</v>
      </c>
      <c r="AB110" s="2">
        <f t="shared" si="25"/>
        <v>4632</v>
      </c>
      <c r="AC110" s="2">
        <f t="shared" si="26"/>
        <v>3583</v>
      </c>
      <c r="AD110" s="2">
        <f t="shared" si="27"/>
        <v>2953</v>
      </c>
      <c r="AE110" s="2">
        <f t="shared" si="28"/>
        <v>2534</v>
      </c>
      <c r="AF110" s="2">
        <f t="shared" si="29"/>
        <v>2009</v>
      </c>
      <c r="AG110" s="2">
        <f t="shared" si="30"/>
        <v>16415</v>
      </c>
      <c r="AH110" s="2">
        <f t="shared" si="31"/>
        <v>30485</v>
      </c>
      <c r="AI110" s="2">
        <f t="shared" si="32"/>
        <v>32960</v>
      </c>
      <c r="AJ110" s="2">
        <f t="shared" si="33"/>
        <v>6284</v>
      </c>
      <c r="AK110" s="2">
        <f t="shared" si="34"/>
        <v>4325</v>
      </c>
      <c r="AL110" s="2">
        <f t="shared" si="35"/>
        <v>3345</v>
      </c>
      <c r="AM110" s="2">
        <f t="shared" si="36"/>
        <v>2757</v>
      </c>
      <c r="AN110" s="2">
        <f t="shared" si="37"/>
        <v>2365</v>
      </c>
      <c r="AO110" s="2">
        <f t="shared" si="38"/>
        <v>1876</v>
      </c>
      <c r="AP110" s="2">
        <f t="shared" si="39"/>
        <v>18760</v>
      </c>
      <c r="AQ110" s="2">
        <f t="shared" si="40"/>
        <v>28140</v>
      </c>
      <c r="AR110" s="2">
        <f t="shared" si="41"/>
        <v>30615</v>
      </c>
      <c r="AS110" s="2">
        <f t="shared" si="42"/>
        <v>5837</v>
      </c>
      <c r="AT110" s="2">
        <f t="shared" si="43"/>
        <v>4017</v>
      </c>
      <c r="AU110" s="2">
        <f t="shared" si="44"/>
        <v>3107</v>
      </c>
      <c r="AV110" s="2">
        <f t="shared" si="45"/>
        <v>2561</v>
      </c>
      <c r="AW110" s="2">
        <f t="shared" si="46"/>
        <v>2197</v>
      </c>
      <c r="AX110" s="2">
        <f t="shared" si="47"/>
        <v>1742</v>
      </c>
    </row>
    <row r="111" ht="14.25" customHeight="1">
      <c r="A111" s="2" t="str">
        <f t="array" ref="A111">IFERROR(INDEX('Product Price'!A:A,SMALL('Product Price'!$D:$D,109)),"")</f>
        <v>SAMSUNG Galaxy S26 Ultra 12/512 GB</v>
      </c>
      <c r="B111" s="2">
        <f t="array" ref="B111">IFERROR(INDEX('Product Price'!B:B,SMALL('Product Price'!$D:$D,109)),"")</f>
        <v>54900</v>
      </c>
      <c r="C111" s="2">
        <f t="array" ref="C111">IFERROR(INDEX('Product Price'!C:C,SMALL('Product Price'!$D:$D,109)),"")</f>
        <v>99</v>
      </c>
      <c r="D111" s="2">
        <f t="shared" si="1"/>
        <v>2475</v>
      </c>
      <c r="E111" s="2">
        <f t="shared" si="2"/>
        <v>57375</v>
      </c>
      <c r="F111" s="2">
        <f t="shared" si="3"/>
        <v>10980</v>
      </c>
      <c r="G111" s="2">
        <f t="shared" si="4"/>
        <v>43920</v>
      </c>
      <c r="H111" s="2">
        <f t="shared" si="5"/>
        <v>46395</v>
      </c>
      <c r="I111" s="2">
        <f t="shared" si="6"/>
        <v>8845</v>
      </c>
      <c r="J111" s="2">
        <f t="shared" si="7"/>
        <v>6087</v>
      </c>
      <c r="K111" s="2">
        <f t="shared" si="8"/>
        <v>4708</v>
      </c>
      <c r="L111" s="2">
        <f t="shared" si="9"/>
        <v>3881</v>
      </c>
      <c r="M111" s="2">
        <f t="shared" si="10"/>
        <v>3329</v>
      </c>
      <c r="N111" s="2">
        <f t="shared" si="11"/>
        <v>2640</v>
      </c>
      <c r="O111" s="2">
        <f t="shared" si="12"/>
        <v>13725</v>
      </c>
      <c r="P111" s="2">
        <f t="shared" si="13"/>
        <v>41175</v>
      </c>
      <c r="Q111" s="2">
        <f t="shared" si="14"/>
        <v>43650</v>
      </c>
      <c r="R111" s="2">
        <f t="shared" si="15"/>
        <v>8322</v>
      </c>
      <c r="S111" s="2">
        <f t="shared" si="16"/>
        <v>5727</v>
      </c>
      <c r="T111" s="2">
        <f t="shared" si="17"/>
        <v>4430</v>
      </c>
      <c r="U111" s="2">
        <f t="shared" si="18"/>
        <v>3651</v>
      </c>
      <c r="V111" s="2">
        <f t="shared" si="19"/>
        <v>3132</v>
      </c>
      <c r="W111" s="2">
        <f t="shared" si="20"/>
        <v>2484</v>
      </c>
      <c r="X111" s="2">
        <f t="shared" si="21"/>
        <v>16470</v>
      </c>
      <c r="Y111" s="2">
        <f t="shared" si="22"/>
        <v>38430</v>
      </c>
      <c r="Z111" s="2">
        <f t="shared" si="23"/>
        <v>40905</v>
      </c>
      <c r="AA111" s="2">
        <f t="shared" si="24"/>
        <v>7799</v>
      </c>
      <c r="AB111" s="2">
        <f t="shared" si="25"/>
        <v>5367</v>
      </c>
      <c r="AC111" s="2">
        <f t="shared" si="26"/>
        <v>4151</v>
      </c>
      <c r="AD111" s="2">
        <f t="shared" si="27"/>
        <v>3422</v>
      </c>
      <c r="AE111" s="2">
        <f t="shared" si="28"/>
        <v>2935</v>
      </c>
      <c r="AF111" s="2">
        <f t="shared" si="29"/>
        <v>2328</v>
      </c>
      <c r="AG111" s="2">
        <f t="shared" si="30"/>
        <v>19215</v>
      </c>
      <c r="AH111" s="2">
        <f t="shared" si="31"/>
        <v>35685</v>
      </c>
      <c r="AI111" s="2">
        <f t="shared" si="32"/>
        <v>38160</v>
      </c>
      <c r="AJ111" s="2">
        <f t="shared" si="33"/>
        <v>7275</v>
      </c>
      <c r="AK111" s="2">
        <f t="shared" si="34"/>
        <v>5007</v>
      </c>
      <c r="AL111" s="2">
        <f t="shared" si="35"/>
        <v>3873</v>
      </c>
      <c r="AM111" s="2">
        <f t="shared" si="36"/>
        <v>3192</v>
      </c>
      <c r="AN111" s="2">
        <f t="shared" si="37"/>
        <v>2738</v>
      </c>
      <c r="AO111" s="2">
        <f t="shared" si="38"/>
        <v>2171</v>
      </c>
      <c r="AP111" s="2">
        <f t="shared" si="39"/>
        <v>21960</v>
      </c>
      <c r="AQ111" s="2">
        <f t="shared" si="40"/>
        <v>32940</v>
      </c>
      <c r="AR111" s="2">
        <f t="shared" si="41"/>
        <v>35415</v>
      </c>
      <c r="AS111" s="2">
        <f t="shared" si="42"/>
        <v>6752</v>
      </c>
      <c r="AT111" s="2">
        <f t="shared" si="43"/>
        <v>4647</v>
      </c>
      <c r="AU111" s="2">
        <f t="shared" si="44"/>
        <v>3594</v>
      </c>
      <c r="AV111" s="2">
        <f t="shared" si="45"/>
        <v>2963</v>
      </c>
      <c r="AW111" s="2">
        <f t="shared" si="46"/>
        <v>2542</v>
      </c>
      <c r="AX111" s="2">
        <f t="shared" si="47"/>
        <v>2015</v>
      </c>
    </row>
    <row r="112" ht="14.25" customHeight="1">
      <c r="A112" s="2" t="str">
        <f t="array" ref="A112">IFERROR(INDEX('Product Price'!A:A,SMALL('Product Price'!$D:$D,110)),"")</f>
        <v>SAMSUNG Galaxy S26 Ultra 16/1TB</v>
      </c>
      <c r="B112" s="2">
        <f t="array" ref="B112">IFERROR(INDEX('Product Price'!B:B,SMALL('Product Price'!$D:$D,110)),"")</f>
        <v>66900</v>
      </c>
      <c r="C112" s="2">
        <f t="array" ref="C112">IFERROR(INDEX('Product Price'!C:C,SMALL('Product Price'!$D:$D,110)),"")</f>
        <v>100</v>
      </c>
      <c r="D112" s="2">
        <f t="shared" si="1"/>
        <v>4025</v>
      </c>
      <c r="E112" s="2">
        <f t="shared" si="2"/>
        <v>70925</v>
      </c>
      <c r="F112" s="2">
        <f t="shared" si="3"/>
        <v>13380</v>
      </c>
      <c r="G112" s="2">
        <f t="shared" si="4"/>
        <v>53520</v>
      </c>
      <c r="H112" s="2">
        <f t="shared" si="5"/>
        <v>57545</v>
      </c>
      <c r="I112" s="2">
        <f t="shared" si="6"/>
        <v>10971</v>
      </c>
      <c r="J112" s="2">
        <f t="shared" si="7"/>
        <v>7550</v>
      </c>
      <c r="K112" s="2">
        <f t="shared" si="8"/>
        <v>5840</v>
      </c>
      <c r="L112" s="2">
        <f t="shared" si="9"/>
        <v>4813</v>
      </c>
      <c r="M112" s="2">
        <f t="shared" si="10"/>
        <v>4129</v>
      </c>
      <c r="N112" s="2">
        <f t="shared" si="11"/>
        <v>3274</v>
      </c>
      <c r="O112" s="2">
        <f t="shared" si="12"/>
        <v>16725</v>
      </c>
      <c r="P112" s="2">
        <f t="shared" si="13"/>
        <v>50175</v>
      </c>
      <c r="Q112" s="2">
        <f t="shared" si="14"/>
        <v>54200</v>
      </c>
      <c r="R112" s="2">
        <f t="shared" si="15"/>
        <v>10333</v>
      </c>
      <c r="S112" s="2">
        <f t="shared" si="16"/>
        <v>7111</v>
      </c>
      <c r="T112" s="2">
        <f t="shared" si="17"/>
        <v>5500</v>
      </c>
      <c r="U112" s="2">
        <f t="shared" si="18"/>
        <v>4534</v>
      </c>
      <c r="V112" s="2">
        <f t="shared" si="19"/>
        <v>3889</v>
      </c>
      <c r="W112" s="2">
        <f t="shared" si="20"/>
        <v>3084</v>
      </c>
      <c r="X112" s="2">
        <f t="shared" si="21"/>
        <v>20070</v>
      </c>
      <c r="Y112" s="2">
        <f t="shared" si="22"/>
        <v>46830</v>
      </c>
      <c r="Z112" s="2">
        <f t="shared" si="23"/>
        <v>50855</v>
      </c>
      <c r="AA112" s="2">
        <f t="shared" si="24"/>
        <v>9695</v>
      </c>
      <c r="AB112" s="2">
        <f t="shared" si="25"/>
        <v>6672</v>
      </c>
      <c r="AC112" s="2">
        <f t="shared" si="26"/>
        <v>5161</v>
      </c>
      <c r="AD112" s="2">
        <f t="shared" si="27"/>
        <v>4254</v>
      </c>
      <c r="AE112" s="2">
        <f t="shared" si="28"/>
        <v>3649</v>
      </c>
      <c r="AF112" s="2">
        <f t="shared" si="29"/>
        <v>2894</v>
      </c>
      <c r="AG112" s="2">
        <f t="shared" si="30"/>
        <v>23415</v>
      </c>
      <c r="AH112" s="2">
        <f t="shared" si="31"/>
        <v>43485</v>
      </c>
      <c r="AI112" s="2">
        <f t="shared" si="32"/>
        <v>47510</v>
      </c>
      <c r="AJ112" s="2">
        <f t="shared" si="33"/>
        <v>9058</v>
      </c>
      <c r="AK112" s="2">
        <f t="shared" si="34"/>
        <v>6234</v>
      </c>
      <c r="AL112" s="2">
        <f t="shared" si="35"/>
        <v>4821</v>
      </c>
      <c r="AM112" s="2">
        <f t="shared" si="36"/>
        <v>3974</v>
      </c>
      <c r="AN112" s="2">
        <f t="shared" si="37"/>
        <v>3409</v>
      </c>
      <c r="AO112" s="2">
        <f t="shared" si="38"/>
        <v>2703</v>
      </c>
      <c r="AP112" s="2">
        <f t="shared" si="39"/>
        <v>26760</v>
      </c>
      <c r="AQ112" s="2">
        <f t="shared" si="40"/>
        <v>40140</v>
      </c>
      <c r="AR112" s="2">
        <f t="shared" si="41"/>
        <v>44165</v>
      </c>
      <c r="AS112" s="2">
        <f t="shared" si="42"/>
        <v>8420</v>
      </c>
      <c r="AT112" s="2">
        <f t="shared" si="43"/>
        <v>5795</v>
      </c>
      <c r="AU112" s="2">
        <f t="shared" si="44"/>
        <v>4482</v>
      </c>
      <c r="AV112" s="2">
        <f t="shared" si="45"/>
        <v>3694</v>
      </c>
      <c r="AW112" s="2">
        <f t="shared" si="46"/>
        <v>3169</v>
      </c>
      <c r="AX112" s="2">
        <f t="shared" si="47"/>
        <v>2513</v>
      </c>
    </row>
    <row r="113" ht="14.25" customHeight="1">
      <c r="A113" s="2" t="str">
        <f t="array" ref="A113">IFERROR(INDEX('Product Price'!A:A,SMALL('Product Price'!$D:$D,111)),"")</f>
        <v>SAMSUNG Galaxy S25 FE 8/128 GB</v>
      </c>
      <c r="B113" s="2">
        <f t="array" ref="B113">IFERROR(INDEX('Product Price'!B:B,SMALL('Product Price'!$D:$D,111)),"")</f>
        <v>22900</v>
      </c>
      <c r="C113" s="2">
        <f t="array" ref="C113">IFERROR(INDEX('Product Price'!C:C,SMALL('Product Price'!$D:$D,111)),"")</f>
        <v>101</v>
      </c>
      <c r="D113" s="2">
        <f t="shared" si="1"/>
        <v>1900</v>
      </c>
      <c r="E113" s="2">
        <f t="shared" si="2"/>
        <v>24800</v>
      </c>
      <c r="F113" s="2">
        <f t="shared" si="3"/>
        <v>4580</v>
      </c>
      <c r="G113" s="2">
        <f t="shared" si="4"/>
        <v>18320</v>
      </c>
      <c r="H113" s="2">
        <f t="shared" si="5"/>
        <v>20220</v>
      </c>
      <c r="I113" s="2">
        <f t="shared" si="6"/>
        <v>3855</v>
      </c>
      <c r="J113" s="2">
        <f t="shared" si="7"/>
        <v>2653</v>
      </c>
      <c r="K113" s="2">
        <f t="shared" si="8"/>
        <v>2052</v>
      </c>
      <c r="L113" s="2">
        <f t="shared" si="9"/>
        <v>1692</v>
      </c>
      <c r="M113" s="2">
        <f t="shared" si="10"/>
        <v>1451</v>
      </c>
      <c r="N113" s="2">
        <f t="shared" si="11"/>
        <v>1151</v>
      </c>
      <c r="O113" s="2">
        <f t="shared" si="12"/>
        <v>5725</v>
      </c>
      <c r="P113" s="2">
        <f t="shared" si="13"/>
        <v>17175</v>
      </c>
      <c r="Q113" s="2">
        <f t="shared" si="14"/>
        <v>19075</v>
      </c>
      <c r="R113" s="2">
        <f t="shared" si="15"/>
        <v>3637</v>
      </c>
      <c r="S113" s="2">
        <f t="shared" si="16"/>
        <v>2503</v>
      </c>
      <c r="T113" s="2">
        <f t="shared" si="17"/>
        <v>1936</v>
      </c>
      <c r="U113" s="2">
        <f t="shared" si="18"/>
        <v>1596</v>
      </c>
      <c r="V113" s="2">
        <f t="shared" si="19"/>
        <v>1369</v>
      </c>
      <c r="W113" s="2">
        <f t="shared" si="20"/>
        <v>1086</v>
      </c>
      <c r="X113" s="2">
        <f t="shared" si="21"/>
        <v>6870</v>
      </c>
      <c r="Y113" s="2">
        <f t="shared" si="22"/>
        <v>16030</v>
      </c>
      <c r="Z113" s="2">
        <f t="shared" si="23"/>
        <v>17930</v>
      </c>
      <c r="AA113" s="2">
        <f t="shared" si="24"/>
        <v>3419</v>
      </c>
      <c r="AB113" s="2">
        <f t="shared" si="25"/>
        <v>2353</v>
      </c>
      <c r="AC113" s="2">
        <f t="shared" si="26"/>
        <v>1820</v>
      </c>
      <c r="AD113" s="2">
        <f t="shared" si="27"/>
        <v>1500</v>
      </c>
      <c r="AE113" s="2">
        <f t="shared" si="28"/>
        <v>1287</v>
      </c>
      <c r="AF113" s="2">
        <f t="shared" si="29"/>
        <v>1021</v>
      </c>
      <c r="AG113" s="2">
        <f t="shared" si="30"/>
        <v>8015</v>
      </c>
      <c r="AH113" s="2">
        <f t="shared" si="31"/>
        <v>14885</v>
      </c>
      <c r="AI113" s="2">
        <f t="shared" si="32"/>
        <v>16785</v>
      </c>
      <c r="AJ113" s="2">
        <f t="shared" si="33"/>
        <v>3200</v>
      </c>
      <c r="AK113" s="2">
        <f t="shared" si="34"/>
        <v>2203</v>
      </c>
      <c r="AL113" s="2">
        <f t="shared" si="35"/>
        <v>1704</v>
      </c>
      <c r="AM113" s="2">
        <f t="shared" si="36"/>
        <v>1404</v>
      </c>
      <c r="AN113" s="2">
        <f t="shared" si="37"/>
        <v>1205</v>
      </c>
      <c r="AO113" s="2">
        <f t="shared" si="38"/>
        <v>955</v>
      </c>
      <c r="AP113" s="2">
        <f t="shared" si="39"/>
        <v>9160</v>
      </c>
      <c r="AQ113" s="2">
        <f t="shared" si="40"/>
        <v>13740</v>
      </c>
      <c r="AR113" s="2">
        <f t="shared" si="41"/>
        <v>15640</v>
      </c>
      <c r="AS113" s="2">
        <f t="shared" si="42"/>
        <v>2982</v>
      </c>
      <c r="AT113" s="2">
        <f t="shared" si="43"/>
        <v>2052</v>
      </c>
      <c r="AU113" s="2">
        <f t="shared" si="44"/>
        <v>1588</v>
      </c>
      <c r="AV113" s="2">
        <f t="shared" si="45"/>
        <v>1309</v>
      </c>
      <c r="AW113" s="2">
        <f t="shared" si="46"/>
        <v>1123</v>
      </c>
      <c r="AX113" s="2">
        <f t="shared" si="47"/>
        <v>890</v>
      </c>
    </row>
    <row r="114" ht="14.25" customHeight="1">
      <c r="A114" s="2" t="str">
        <f t="array" ref="A114">IFERROR(INDEX('Product Price'!A:A,SMALL('Product Price'!$D:$D,112)),"")</f>
        <v>SAMSUNG Galaxy S25 FE 8/256 GB</v>
      </c>
      <c r="B114" s="2">
        <f t="array" ref="B114">IFERROR(INDEX('Product Price'!B:B,SMALL('Product Price'!$D:$D,112)),"")</f>
        <v>26900</v>
      </c>
      <c r="C114" s="2">
        <f t="array" ref="C114">IFERROR(INDEX('Product Price'!C:C,SMALL('Product Price'!$D:$D,112)),"")</f>
        <v>102</v>
      </c>
      <c r="D114" s="2">
        <f t="shared" si="1"/>
        <v>1900</v>
      </c>
      <c r="E114" s="2">
        <f t="shared" si="2"/>
        <v>28800</v>
      </c>
      <c r="F114" s="2">
        <f t="shared" si="3"/>
        <v>5380</v>
      </c>
      <c r="G114" s="2">
        <f t="shared" si="4"/>
        <v>21520</v>
      </c>
      <c r="H114" s="2">
        <f t="shared" si="5"/>
        <v>23420</v>
      </c>
      <c r="I114" s="2">
        <f t="shared" si="6"/>
        <v>4465</v>
      </c>
      <c r="J114" s="2">
        <f t="shared" si="7"/>
        <v>3073</v>
      </c>
      <c r="K114" s="2">
        <f t="shared" si="8"/>
        <v>2377</v>
      </c>
      <c r="L114" s="2">
        <f t="shared" si="9"/>
        <v>1959</v>
      </c>
      <c r="M114" s="2">
        <f t="shared" si="10"/>
        <v>1681</v>
      </c>
      <c r="N114" s="2">
        <f t="shared" si="11"/>
        <v>1333</v>
      </c>
      <c r="O114" s="2">
        <f t="shared" si="12"/>
        <v>6725</v>
      </c>
      <c r="P114" s="2">
        <f t="shared" si="13"/>
        <v>20175</v>
      </c>
      <c r="Q114" s="2">
        <f t="shared" si="14"/>
        <v>22075</v>
      </c>
      <c r="R114" s="2">
        <f t="shared" si="15"/>
        <v>4209</v>
      </c>
      <c r="S114" s="2">
        <f t="shared" si="16"/>
        <v>2897</v>
      </c>
      <c r="T114" s="2">
        <f t="shared" si="17"/>
        <v>2240</v>
      </c>
      <c r="U114" s="2">
        <f t="shared" si="18"/>
        <v>1847</v>
      </c>
      <c r="V114" s="2">
        <f t="shared" si="19"/>
        <v>1584</v>
      </c>
      <c r="W114" s="2">
        <f t="shared" si="20"/>
        <v>1256</v>
      </c>
      <c r="X114" s="2">
        <f t="shared" si="21"/>
        <v>8070</v>
      </c>
      <c r="Y114" s="2">
        <f t="shared" si="22"/>
        <v>18830</v>
      </c>
      <c r="Z114" s="2">
        <f t="shared" si="23"/>
        <v>20730</v>
      </c>
      <c r="AA114" s="2">
        <f t="shared" si="24"/>
        <v>3952</v>
      </c>
      <c r="AB114" s="2">
        <f t="shared" si="25"/>
        <v>2720</v>
      </c>
      <c r="AC114" s="2">
        <f t="shared" si="26"/>
        <v>2104</v>
      </c>
      <c r="AD114" s="2">
        <f t="shared" si="27"/>
        <v>1734</v>
      </c>
      <c r="AE114" s="2">
        <f t="shared" si="28"/>
        <v>1488</v>
      </c>
      <c r="AF114" s="2">
        <f t="shared" si="29"/>
        <v>1180</v>
      </c>
      <c r="AG114" s="2">
        <f t="shared" si="30"/>
        <v>9415</v>
      </c>
      <c r="AH114" s="2">
        <f t="shared" si="31"/>
        <v>17485</v>
      </c>
      <c r="AI114" s="2">
        <f t="shared" si="32"/>
        <v>19385</v>
      </c>
      <c r="AJ114" s="2">
        <f t="shared" si="33"/>
        <v>3696</v>
      </c>
      <c r="AK114" s="2">
        <f t="shared" si="34"/>
        <v>2544</v>
      </c>
      <c r="AL114" s="2">
        <f t="shared" si="35"/>
        <v>1968</v>
      </c>
      <c r="AM114" s="2">
        <f t="shared" si="36"/>
        <v>1622</v>
      </c>
      <c r="AN114" s="2">
        <f t="shared" si="37"/>
        <v>1391</v>
      </c>
      <c r="AO114" s="2">
        <f t="shared" si="38"/>
        <v>1103</v>
      </c>
      <c r="AP114" s="2">
        <f t="shared" si="39"/>
        <v>10760</v>
      </c>
      <c r="AQ114" s="2">
        <f t="shared" si="40"/>
        <v>16140</v>
      </c>
      <c r="AR114" s="2">
        <f t="shared" si="41"/>
        <v>18040</v>
      </c>
      <c r="AS114" s="2">
        <f t="shared" si="42"/>
        <v>3440</v>
      </c>
      <c r="AT114" s="2">
        <f t="shared" si="43"/>
        <v>2367</v>
      </c>
      <c r="AU114" s="2">
        <f t="shared" si="44"/>
        <v>1831</v>
      </c>
      <c r="AV114" s="2">
        <f t="shared" si="45"/>
        <v>1509</v>
      </c>
      <c r="AW114" s="2">
        <f t="shared" si="46"/>
        <v>1295</v>
      </c>
      <c r="AX114" s="2">
        <f t="shared" si="47"/>
        <v>1027</v>
      </c>
    </row>
    <row r="115" ht="14.25" customHeight="1">
      <c r="A115" s="2" t="str">
        <f t="array" ref="A115">IFERROR(INDEX('Product Price'!A:A,SMALL('Product Price'!$D:$D,113)),"")</f>
        <v>SAMSUNG Galaxy Tab A11 LTE 8/128 GB</v>
      </c>
      <c r="B115" s="2">
        <f t="array" ref="B115">IFERROR(INDEX('Product Price'!B:B,SMALL('Product Price'!$D:$D,113)),"")</f>
        <v>6990</v>
      </c>
      <c r="C115" s="2">
        <f t="array" ref="C115">IFERROR(INDEX('Product Price'!C:C,SMALL('Product Price'!$D:$D,113)),"")</f>
        <v>103</v>
      </c>
      <c r="D115" s="2">
        <f t="shared" si="1"/>
        <v>795</v>
      </c>
      <c r="E115" s="2">
        <f t="shared" si="2"/>
        <v>7785</v>
      </c>
      <c r="F115" s="2">
        <f t="shared" si="3"/>
        <v>1398</v>
      </c>
      <c r="G115" s="2">
        <f t="shared" si="4"/>
        <v>5592</v>
      </c>
      <c r="H115" s="2">
        <f t="shared" si="5"/>
        <v>6387</v>
      </c>
      <c r="I115" s="2">
        <f t="shared" si="6"/>
        <v>1218</v>
      </c>
      <c r="J115" s="2">
        <f t="shared" si="7"/>
        <v>838</v>
      </c>
      <c r="K115" s="2">
        <f t="shared" si="8"/>
        <v>649</v>
      </c>
      <c r="L115" s="2">
        <f t="shared" si="9"/>
        <v>535</v>
      </c>
      <c r="M115" s="2">
        <f t="shared" si="10"/>
        <v>459</v>
      </c>
      <c r="N115" s="2" t="str">
        <f t="shared" si="11"/>
        <v>-</v>
      </c>
      <c r="O115" s="2">
        <f t="shared" si="12"/>
        <v>1748</v>
      </c>
      <c r="P115" s="2">
        <f t="shared" si="13"/>
        <v>5242</v>
      </c>
      <c r="Q115" s="2">
        <f t="shared" si="14"/>
        <v>6037</v>
      </c>
      <c r="R115" s="2">
        <f t="shared" si="15"/>
        <v>1151</v>
      </c>
      <c r="S115" s="2">
        <f t="shared" si="16"/>
        <v>793</v>
      </c>
      <c r="T115" s="2">
        <f t="shared" si="17"/>
        <v>613</v>
      </c>
      <c r="U115" s="2">
        <f t="shared" si="18"/>
        <v>505</v>
      </c>
      <c r="V115" s="2">
        <f t="shared" si="19"/>
        <v>434</v>
      </c>
      <c r="W115" s="2" t="str">
        <f t="shared" si="20"/>
        <v>-</v>
      </c>
      <c r="X115" s="2">
        <f t="shared" si="21"/>
        <v>2097</v>
      </c>
      <c r="Y115" s="2">
        <f t="shared" si="22"/>
        <v>4893</v>
      </c>
      <c r="Z115" s="2">
        <f t="shared" si="23"/>
        <v>5688</v>
      </c>
      <c r="AA115" s="2">
        <f t="shared" si="24"/>
        <v>1085</v>
      </c>
      <c r="AB115" s="2">
        <f t="shared" si="25"/>
        <v>747</v>
      </c>
      <c r="AC115" s="2">
        <f t="shared" si="26"/>
        <v>578</v>
      </c>
      <c r="AD115" s="2">
        <f t="shared" si="27"/>
        <v>476</v>
      </c>
      <c r="AE115" s="2">
        <f t="shared" si="28"/>
        <v>409</v>
      </c>
      <c r="AF115" s="2" t="str">
        <f t="shared" si="29"/>
        <v>-</v>
      </c>
      <c r="AG115" s="2">
        <f t="shared" si="30"/>
        <v>2447</v>
      </c>
      <c r="AH115" s="2">
        <f t="shared" si="31"/>
        <v>4543</v>
      </c>
      <c r="AI115" s="2">
        <f t="shared" si="32"/>
        <v>5338</v>
      </c>
      <c r="AJ115" s="2">
        <f t="shared" si="33"/>
        <v>1018</v>
      </c>
      <c r="AK115" s="2">
        <f t="shared" si="34"/>
        <v>701</v>
      </c>
      <c r="AL115" s="2">
        <f t="shared" si="35"/>
        <v>542</v>
      </c>
      <c r="AM115" s="2">
        <f t="shared" si="36"/>
        <v>447</v>
      </c>
      <c r="AN115" s="2" t="str">
        <f t="shared" si="37"/>
        <v>-</v>
      </c>
      <c r="AO115" s="2" t="str">
        <f t="shared" si="38"/>
        <v>-</v>
      </c>
      <c r="AP115" s="2">
        <f t="shared" si="39"/>
        <v>2796</v>
      </c>
      <c r="AQ115" s="2">
        <f t="shared" si="40"/>
        <v>4194</v>
      </c>
      <c r="AR115" s="2">
        <f t="shared" si="41"/>
        <v>4989</v>
      </c>
      <c r="AS115" s="2">
        <f t="shared" si="42"/>
        <v>952</v>
      </c>
      <c r="AT115" s="2">
        <f t="shared" si="43"/>
        <v>655</v>
      </c>
      <c r="AU115" s="2">
        <f t="shared" si="44"/>
        <v>507</v>
      </c>
      <c r="AV115" s="2">
        <f t="shared" si="45"/>
        <v>418</v>
      </c>
      <c r="AW115" s="2" t="str">
        <f t="shared" si="46"/>
        <v>-</v>
      </c>
      <c r="AX115" s="2" t="str">
        <f t="shared" si="47"/>
        <v>-</v>
      </c>
    </row>
    <row r="116" ht="14.25" customHeight="1">
      <c r="A116" s="2" t="str">
        <f t="array" ref="A116">IFERROR(INDEX('Product Price'!A:A,SMALL('Product Price'!$D:$D,114)),"")</f>
        <v>SAMSUNG Galaxy Tab A11+ 5G 6/128 GB</v>
      </c>
      <c r="B116" s="2">
        <f t="array" ref="B116">IFERROR(INDEX('Product Price'!B:B,SMALL('Product Price'!$D:$D,114)),"")</f>
        <v>9990</v>
      </c>
      <c r="C116" s="2">
        <f t="array" ref="C116">IFERROR(INDEX('Product Price'!C:C,SMALL('Product Price'!$D:$D,114)),"")</f>
        <v>104</v>
      </c>
      <c r="D116" s="2">
        <f t="shared" si="1"/>
        <v>795</v>
      </c>
      <c r="E116" s="2">
        <f t="shared" si="2"/>
        <v>10785</v>
      </c>
      <c r="F116" s="2">
        <f t="shared" si="3"/>
        <v>1998</v>
      </c>
      <c r="G116" s="2">
        <f t="shared" si="4"/>
        <v>7992</v>
      </c>
      <c r="H116" s="2">
        <f t="shared" si="5"/>
        <v>8787</v>
      </c>
      <c r="I116" s="2">
        <f t="shared" si="6"/>
        <v>1676</v>
      </c>
      <c r="J116" s="2">
        <f t="shared" si="7"/>
        <v>1153</v>
      </c>
      <c r="K116" s="2">
        <f t="shared" si="8"/>
        <v>892</v>
      </c>
      <c r="L116" s="2">
        <f t="shared" si="9"/>
        <v>735</v>
      </c>
      <c r="M116" s="2">
        <f t="shared" si="10"/>
        <v>631</v>
      </c>
      <c r="N116" s="2">
        <f t="shared" si="11"/>
        <v>500</v>
      </c>
      <c r="O116" s="2">
        <f t="shared" si="12"/>
        <v>2498</v>
      </c>
      <c r="P116" s="2">
        <f t="shared" si="13"/>
        <v>7492</v>
      </c>
      <c r="Q116" s="2">
        <f t="shared" si="14"/>
        <v>8287</v>
      </c>
      <c r="R116" s="2">
        <f t="shared" si="15"/>
        <v>1580</v>
      </c>
      <c r="S116" s="2">
        <f t="shared" si="16"/>
        <v>1088</v>
      </c>
      <c r="T116" s="2">
        <f t="shared" si="17"/>
        <v>841</v>
      </c>
      <c r="U116" s="2">
        <f t="shared" si="18"/>
        <v>694</v>
      </c>
      <c r="V116" s="2">
        <f t="shared" si="19"/>
        <v>595</v>
      </c>
      <c r="W116" s="2">
        <f t="shared" si="20"/>
        <v>472</v>
      </c>
      <c r="X116" s="2">
        <f t="shared" si="21"/>
        <v>2997</v>
      </c>
      <c r="Y116" s="2">
        <f t="shared" si="22"/>
        <v>6993</v>
      </c>
      <c r="Z116" s="2">
        <f t="shared" si="23"/>
        <v>7788</v>
      </c>
      <c r="AA116" s="2">
        <f t="shared" si="24"/>
        <v>1485</v>
      </c>
      <c r="AB116" s="2">
        <f t="shared" si="25"/>
        <v>1022</v>
      </c>
      <c r="AC116" s="2">
        <f t="shared" si="26"/>
        <v>791</v>
      </c>
      <c r="AD116" s="2">
        <f t="shared" si="27"/>
        <v>652</v>
      </c>
      <c r="AE116" s="2">
        <f t="shared" si="28"/>
        <v>559</v>
      </c>
      <c r="AF116" s="2">
        <f t="shared" si="29"/>
        <v>444</v>
      </c>
      <c r="AG116" s="2">
        <f t="shared" si="30"/>
        <v>3497</v>
      </c>
      <c r="AH116" s="2">
        <f t="shared" si="31"/>
        <v>6493</v>
      </c>
      <c r="AI116" s="2">
        <f t="shared" si="32"/>
        <v>7288</v>
      </c>
      <c r="AJ116" s="2">
        <f t="shared" si="33"/>
        <v>1390</v>
      </c>
      <c r="AK116" s="2">
        <f t="shared" si="34"/>
        <v>957</v>
      </c>
      <c r="AL116" s="2">
        <f t="shared" si="35"/>
        <v>740</v>
      </c>
      <c r="AM116" s="2">
        <f t="shared" si="36"/>
        <v>610</v>
      </c>
      <c r="AN116" s="2">
        <f t="shared" si="37"/>
        <v>523</v>
      </c>
      <c r="AO116" s="2">
        <f t="shared" si="38"/>
        <v>415</v>
      </c>
      <c r="AP116" s="2">
        <f t="shared" si="39"/>
        <v>3996</v>
      </c>
      <c r="AQ116" s="2">
        <f t="shared" si="40"/>
        <v>5994</v>
      </c>
      <c r="AR116" s="2">
        <f t="shared" si="41"/>
        <v>6789</v>
      </c>
      <c r="AS116" s="2">
        <f t="shared" si="42"/>
        <v>1295</v>
      </c>
      <c r="AT116" s="2">
        <f t="shared" si="43"/>
        <v>891</v>
      </c>
      <c r="AU116" s="2">
        <f t="shared" si="44"/>
        <v>689</v>
      </c>
      <c r="AV116" s="2">
        <f t="shared" si="45"/>
        <v>568</v>
      </c>
      <c r="AW116" s="2">
        <f t="shared" si="46"/>
        <v>488</v>
      </c>
      <c r="AX116" s="2" t="str">
        <f t="shared" si="47"/>
        <v>-</v>
      </c>
    </row>
    <row r="117" ht="14.25" customHeight="1">
      <c r="A117" s="2" t="str">
        <f t="array" ref="A117">IFERROR(INDEX('Product Price'!A:A,SMALL('Product Price'!$D:$D,115)),"")</f>
        <v>SAMSUNG Galaxy Tab A11+ Wifi 6/128 GB</v>
      </c>
      <c r="B117" s="2">
        <f t="array" ref="B117">IFERROR(INDEX('Product Price'!B:B,SMALL('Product Price'!$D:$D,115)),"")</f>
        <v>7990</v>
      </c>
      <c r="C117" s="2">
        <f t="array" ref="C117">IFERROR(INDEX('Product Price'!C:C,SMALL('Product Price'!$D:$D,115)),"")</f>
        <v>105</v>
      </c>
      <c r="D117" s="2">
        <f t="shared" si="1"/>
        <v>795</v>
      </c>
      <c r="E117" s="2">
        <f t="shared" si="2"/>
        <v>8785</v>
      </c>
      <c r="F117" s="2">
        <f t="shared" si="3"/>
        <v>1598</v>
      </c>
      <c r="G117" s="2">
        <f t="shared" si="4"/>
        <v>6392</v>
      </c>
      <c r="H117" s="2">
        <f t="shared" si="5"/>
        <v>7187</v>
      </c>
      <c r="I117" s="2">
        <f t="shared" si="6"/>
        <v>1371</v>
      </c>
      <c r="J117" s="2">
        <f t="shared" si="7"/>
        <v>943</v>
      </c>
      <c r="K117" s="2">
        <f t="shared" si="8"/>
        <v>730</v>
      </c>
      <c r="L117" s="2">
        <f t="shared" si="9"/>
        <v>602</v>
      </c>
      <c r="M117" s="2">
        <f t="shared" si="10"/>
        <v>516</v>
      </c>
      <c r="N117" s="2">
        <f t="shared" si="11"/>
        <v>409</v>
      </c>
      <c r="O117" s="2">
        <f t="shared" si="12"/>
        <v>1998</v>
      </c>
      <c r="P117" s="2">
        <f t="shared" si="13"/>
        <v>5992</v>
      </c>
      <c r="Q117" s="2">
        <f t="shared" si="14"/>
        <v>6787</v>
      </c>
      <c r="R117" s="2">
        <f t="shared" si="15"/>
        <v>1294</v>
      </c>
      <c r="S117" s="2">
        <f t="shared" si="16"/>
        <v>891</v>
      </c>
      <c r="T117" s="2">
        <f t="shared" si="17"/>
        <v>689</v>
      </c>
      <c r="U117" s="2">
        <f t="shared" si="18"/>
        <v>568</v>
      </c>
      <c r="V117" s="2">
        <f t="shared" si="19"/>
        <v>487</v>
      </c>
      <c r="W117" s="2" t="str">
        <f t="shared" si="20"/>
        <v>-</v>
      </c>
      <c r="X117" s="2">
        <f t="shared" si="21"/>
        <v>2397</v>
      </c>
      <c r="Y117" s="2">
        <f t="shared" si="22"/>
        <v>5593</v>
      </c>
      <c r="Z117" s="2">
        <f t="shared" si="23"/>
        <v>6388</v>
      </c>
      <c r="AA117" s="2">
        <f t="shared" si="24"/>
        <v>1218</v>
      </c>
      <c r="AB117" s="2">
        <f t="shared" si="25"/>
        <v>839</v>
      </c>
      <c r="AC117" s="2">
        <f t="shared" si="26"/>
        <v>649</v>
      </c>
      <c r="AD117" s="2">
        <f t="shared" si="27"/>
        <v>535</v>
      </c>
      <c r="AE117" s="2">
        <f t="shared" si="28"/>
        <v>459</v>
      </c>
      <c r="AF117" s="2" t="str">
        <f t="shared" si="29"/>
        <v>-</v>
      </c>
      <c r="AG117" s="2">
        <f t="shared" si="30"/>
        <v>2797</v>
      </c>
      <c r="AH117" s="2">
        <f t="shared" si="31"/>
        <v>5193</v>
      </c>
      <c r="AI117" s="2">
        <f t="shared" si="32"/>
        <v>5988</v>
      </c>
      <c r="AJ117" s="2">
        <f t="shared" si="33"/>
        <v>1142</v>
      </c>
      <c r="AK117" s="2">
        <f t="shared" si="34"/>
        <v>786</v>
      </c>
      <c r="AL117" s="2">
        <f t="shared" si="35"/>
        <v>608</v>
      </c>
      <c r="AM117" s="2">
        <f t="shared" si="36"/>
        <v>501</v>
      </c>
      <c r="AN117" s="2">
        <f t="shared" si="37"/>
        <v>430</v>
      </c>
      <c r="AO117" s="2" t="str">
        <f t="shared" si="38"/>
        <v>-</v>
      </c>
      <c r="AP117" s="2">
        <f t="shared" si="39"/>
        <v>3196</v>
      </c>
      <c r="AQ117" s="2">
        <f t="shared" si="40"/>
        <v>4794</v>
      </c>
      <c r="AR117" s="2">
        <f t="shared" si="41"/>
        <v>5589</v>
      </c>
      <c r="AS117" s="2">
        <f t="shared" si="42"/>
        <v>1066</v>
      </c>
      <c r="AT117" s="2">
        <f t="shared" si="43"/>
        <v>734</v>
      </c>
      <c r="AU117" s="2">
        <f t="shared" si="44"/>
        <v>568</v>
      </c>
      <c r="AV117" s="2">
        <f t="shared" si="45"/>
        <v>468</v>
      </c>
      <c r="AW117" s="2">
        <f t="shared" si="46"/>
        <v>402</v>
      </c>
      <c r="AX117" s="2" t="str">
        <f t="shared" si="47"/>
        <v>-</v>
      </c>
    </row>
    <row r="118" ht="14.25" customHeight="1">
      <c r="A118" s="2" t="str">
        <f t="array" ref="A118">IFERROR(INDEX('Product Price'!A:A,SMALL('Product Price'!$D:$D,116)),"")</f>
        <v>SAMSUNG Galaxy Tab S10 FE Wi-Fi 8/128 GB</v>
      </c>
      <c r="B118" s="2">
        <f t="array" ref="B118">IFERROR(INDEX('Product Price'!B:B,SMALL('Product Price'!$D:$D,116)),"")</f>
        <v>17900</v>
      </c>
      <c r="C118" s="2">
        <f t="array" ref="C118">IFERROR(INDEX('Product Price'!C:C,SMALL('Product Price'!$D:$D,116)),"")</f>
        <v>106</v>
      </c>
      <c r="D118" s="2">
        <f t="shared" si="1"/>
        <v>1450</v>
      </c>
      <c r="E118" s="2">
        <f t="shared" si="2"/>
        <v>19350</v>
      </c>
      <c r="F118" s="2">
        <f t="shared" si="3"/>
        <v>3580</v>
      </c>
      <c r="G118" s="2">
        <f t="shared" si="4"/>
        <v>14320</v>
      </c>
      <c r="H118" s="2">
        <f t="shared" si="5"/>
        <v>15770</v>
      </c>
      <c r="I118" s="2">
        <f t="shared" si="6"/>
        <v>3007</v>
      </c>
      <c r="J118" s="2">
        <f t="shared" si="7"/>
        <v>2069</v>
      </c>
      <c r="K118" s="2">
        <f t="shared" si="8"/>
        <v>1601</v>
      </c>
      <c r="L118" s="2">
        <f t="shared" si="9"/>
        <v>1319</v>
      </c>
      <c r="M118" s="2">
        <f t="shared" si="10"/>
        <v>1132</v>
      </c>
      <c r="N118" s="2">
        <f t="shared" si="11"/>
        <v>898</v>
      </c>
      <c r="O118" s="2">
        <f t="shared" si="12"/>
        <v>4475</v>
      </c>
      <c r="P118" s="2">
        <f t="shared" si="13"/>
        <v>13425</v>
      </c>
      <c r="Q118" s="2">
        <f t="shared" si="14"/>
        <v>14875</v>
      </c>
      <c r="R118" s="2">
        <f t="shared" si="15"/>
        <v>2836</v>
      </c>
      <c r="S118" s="2">
        <f t="shared" si="16"/>
        <v>1952</v>
      </c>
      <c r="T118" s="2">
        <f t="shared" si="17"/>
        <v>1510</v>
      </c>
      <c r="U118" s="2">
        <f t="shared" si="18"/>
        <v>1245</v>
      </c>
      <c r="V118" s="2">
        <f t="shared" si="19"/>
        <v>1068</v>
      </c>
      <c r="W118" s="2">
        <f t="shared" si="20"/>
        <v>847</v>
      </c>
      <c r="X118" s="2">
        <f t="shared" si="21"/>
        <v>5370</v>
      </c>
      <c r="Y118" s="2">
        <f t="shared" si="22"/>
        <v>12530</v>
      </c>
      <c r="Z118" s="2">
        <f t="shared" si="23"/>
        <v>13980</v>
      </c>
      <c r="AA118" s="2">
        <f t="shared" si="24"/>
        <v>2666</v>
      </c>
      <c r="AB118" s="2">
        <f t="shared" si="25"/>
        <v>1835</v>
      </c>
      <c r="AC118" s="2">
        <f t="shared" si="26"/>
        <v>1419</v>
      </c>
      <c r="AD118" s="2">
        <f t="shared" si="27"/>
        <v>1170</v>
      </c>
      <c r="AE118" s="2">
        <f t="shared" si="28"/>
        <v>1004</v>
      </c>
      <c r="AF118" s="2">
        <f t="shared" si="29"/>
        <v>796</v>
      </c>
      <c r="AG118" s="2">
        <f t="shared" si="30"/>
        <v>6265</v>
      </c>
      <c r="AH118" s="2">
        <f t="shared" si="31"/>
        <v>11635</v>
      </c>
      <c r="AI118" s="2">
        <f t="shared" si="32"/>
        <v>13085</v>
      </c>
      <c r="AJ118" s="2">
        <f t="shared" si="33"/>
        <v>2495</v>
      </c>
      <c r="AK118" s="2">
        <f t="shared" si="34"/>
        <v>1717</v>
      </c>
      <c r="AL118" s="2">
        <f t="shared" si="35"/>
        <v>1328</v>
      </c>
      <c r="AM118" s="2">
        <f t="shared" si="36"/>
        <v>1095</v>
      </c>
      <c r="AN118" s="2">
        <f t="shared" si="37"/>
        <v>939</v>
      </c>
      <c r="AO118" s="2">
        <f t="shared" si="38"/>
        <v>745</v>
      </c>
      <c r="AP118" s="2">
        <f t="shared" si="39"/>
        <v>7160</v>
      </c>
      <c r="AQ118" s="2">
        <f t="shared" si="40"/>
        <v>10740</v>
      </c>
      <c r="AR118" s="2">
        <f t="shared" si="41"/>
        <v>12190</v>
      </c>
      <c r="AS118" s="2">
        <f t="shared" si="42"/>
        <v>2324</v>
      </c>
      <c r="AT118" s="2">
        <f t="shared" si="43"/>
        <v>1600</v>
      </c>
      <c r="AU118" s="2">
        <f t="shared" si="44"/>
        <v>1237</v>
      </c>
      <c r="AV118" s="2">
        <f t="shared" si="45"/>
        <v>1020</v>
      </c>
      <c r="AW118" s="2">
        <f t="shared" si="46"/>
        <v>875</v>
      </c>
      <c r="AX118" s="2">
        <f t="shared" si="47"/>
        <v>694</v>
      </c>
    </row>
    <row r="119" ht="14.25" customHeight="1">
      <c r="A119" s="2" t="str">
        <f t="array" ref="A119">IFERROR(INDEX('Product Price'!A:A,SMALL('Product Price'!$D:$D,117)),"")</f>
        <v>SAMSUNG Galaxy Tab S10 FE 5G 8/128 GB</v>
      </c>
      <c r="B119" s="2">
        <f t="array" ref="B119">IFERROR(INDEX('Product Price'!B:B,SMALL('Product Price'!$D:$D,117)),"")</f>
        <v>20900</v>
      </c>
      <c r="C119" s="2">
        <f t="array" ref="C119">IFERROR(INDEX('Product Price'!C:C,SMALL('Product Price'!$D:$D,117)),"")</f>
        <v>107</v>
      </c>
      <c r="D119" s="2">
        <f t="shared" si="1"/>
        <v>1900</v>
      </c>
      <c r="E119" s="2">
        <f t="shared" si="2"/>
        <v>22800</v>
      </c>
      <c r="F119" s="2">
        <f t="shared" si="3"/>
        <v>4180</v>
      </c>
      <c r="G119" s="2">
        <f t="shared" si="4"/>
        <v>16720</v>
      </c>
      <c r="H119" s="2">
        <f t="shared" si="5"/>
        <v>18620</v>
      </c>
      <c r="I119" s="2">
        <f t="shared" si="6"/>
        <v>3550</v>
      </c>
      <c r="J119" s="2">
        <f t="shared" si="7"/>
        <v>2443</v>
      </c>
      <c r="K119" s="2">
        <f t="shared" si="8"/>
        <v>1890</v>
      </c>
      <c r="L119" s="2">
        <f t="shared" si="9"/>
        <v>1558</v>
      </c>
      <c r="M119" s="2">
        <f t="shared" si="10"/>
        <v>1336</v>
      </c>
      <c r="N119" s="2">
        <f t="shared" si="11"/>
        <v>1060</v>
      </c>
      <c r="O119" s="2">
        <f t="shared" si="12"/>
        <v>5225</v>
      </c>
      <c r="P119" s="2">
        <f t="shared" si="13"/>
        <v>15675</v>
      </c>
      <c r="Q119" s="2">
        <f t="shared" si="14"/>
        <v>17575</v>
      </c>
      <c r="R119" s="2">
        <f t="shared" si="15"/>
        <v>3351</v>
      </c>
      <c r="S119" s="2">
        <f t="shared" si="16"/>
        <v>2306</v>
      </c>
      <c r="T119" s="2">
        <f t="shared" si="17"/>
        <v>1784</v>
      </c>
      <c r="U119" s="2">
        <f t="shared" si="18"/>
        <v>1470</v>
      </c>
      <c r="V119" s="2">
        <f t="shared" si="19"/>
        <v>1261</v>
      </c>
      <c r="W119" s="2">
        <f t="shared" si="20"/>
        <v>1000</v>
      </c>
      <c r="X119" s="2">
        <f t="shared" si="21"/>
        <v>6270</v>
      </c>
      <c r="Y119" s="2">
        <f t="shared" si="22"/>
        <v>14630</v>
      </c>
      <c r="Z119" s="2">
        <f t="shared" si="23"/>
        <v>16530</v>
      </c>
      <c r="AA119" s="2">
        <f t="shared" si="24"/>
        <v>3152</v>
      </c>
      <c r="AB119" s="2">
        <f t="shared" si="25"/>
        <v>2169</v>
      </c>
      <c r="AC119" s="2">
        <f t="shared" si="26"/>
        <v>1678</v>
      </c>
      <c r="AD119" s="2">
        <f t="shared" si="27"/>
        <v>1383</v>
      </c>
      <c r="AE119" s="2">
        <f t="shared" si="28"/>
        <v>1187</v>
      </c>
      <c r="AF119" s="2">
        <f t="shared" si="29"/>
        <v>941</v>
      </c>
      <c r="AG119" s="2">
        <f t="shared" si="30"/>
        <v>7315</v>
      </c>
      <c r="AH119" s="2">
        <f t="shared" si="31"/>
        <v>13585</v>
      </c>
      <c r="AI119" s="2">
        <f t="shared" si="32"/>
        <v>15485</v>
      </c>
      <c r="AJ119" s="2">
        <f t="shared" si="33"/>
        <v>2953</v>
      </c>
      <c r="AK119" s="2">
        <f t="shared" si="34"/>
        <v>2032</v>
      </c>
      <c r="AL119" s="2">
        <f t="shared" si="35"/>
        <v>1572</v>
      </c>
      <c r="AM119" s="2">
        <f t="shared" si="36"/>
        <v>1296</v>
      </c>
      <c r="AN119" s="2">
        <f t="shared" si="37"/>
        <v>1112</v>
      </c>
      <c r="AO119" s="2">
        <f t="shared" si="38"/>
        <v>881</v>
      </c>
      <c r="AP119" s="2">
        <f t="shared" si="39"/>
        <v>8360</v>
      </c>
      <c r="AQ119" s="2">
        <f t="shared" si="40"/>
        <v>12540</v>
      </c>
      <c r="AR119" s="2">
        <f t="shared" si="41"/>
        <v>14440</v>
      </c>
      <c r="AS119" s="2">
        <f t="shared" si="42"/>
        <v>2753</v>
      </c>
      <c r="AT119" s="2">
        <f t="shared" si="43"/>
        <v>1895</v>
      </c>
      <c r="AU119" s="2">
        <f t="shared" si="44"/>
        <v>1466</v>
      </c>
      <c r="AV119" s="2">
        <f t="shared" si="45"/>
        <v>1208</v>
      </c>
      <c r="AW119" s="2">
        <f t="shared" si="46"/>
        <v>1037</v>
      </c>
      <c r="AX119" s="2">
        <f t="shared" si="47"/>
        <v>822</v>
      </c>
    </row>
    <row r="120" ht="14.25" customHeight="1">
      <c r="A120" s="2" t="str">
        <f t="array" ref="A120">IFERROR(INDEX('Product Price'!A:A,SMALL('Product Price'!$D:$D,118)),"")</f>
        <v>SAMSUNG Galaxy Tab S10 FE+ Wi-Fi 12/256 GB</v>
      </c>
      <c r="B120" s="2">
        <f t="array" ref="B120">IFERROR(INDEX('Product Price'!B:B,SMALL('Product Price'!$D:$D,118)),"")</f>
        <v>26900</v>
      </c>
      <c r="C120" s="2">
        <f t="array" ref="C120">IFERROR(INDEX('Product Price'!C:C,SMALL('Product Price'!$D:$D,118)),"")</f>
        <v>108</v>
      </c>
      <c r="D120" s="2">
        <f t="shared" si="1"/>
        <v>1900</v>
      </c>
      <c r="E120" s="2">
        <f t="shared" si="2"/>
        <v>28800</v>
      </c>
      <c r="F120" s="2">
        <f t="shared" si="3"/>
        <v>5380</v>
      </c>
      <c r="G120" s="2">
        <f t="shared" si="4"/>
        <v>21520</v>
      </c>
      <c r="H120" s="2">
        <f t="shared" si="5"/>
        <v>23420</v>
      </c>
      <c r="I120" s="2">
        <f t="shared" si="6"/>
        <v>4465</v>
      </c>
      <c r="J120" s="2">
        <f t="shared" si="7"/>
        <v>3073</v>
      </c>
      <c r="K120" s="2">
        <f t="shared" si="8"/>
        <v>2377</v>
      </c>
      <c r="L120" s="2">
        <f t="shared" si="9"/>
        <v>1959</v>
      </c>
      <c r="M120" s="2">
        <f t="shared" si="10"/>
        <v>1681</v>
      </c>
      <c r="N120" s="2">
        <f t="shared" si="11"/>
        <v>1333</v>
      </c>
      <c r="O120" s="2">
        <f t="shared" si="12"/>
        <v>6725</v>
      </c>
      <c r="P120" s="2">
        <f t="shared" si="13"/>
        <v>20175</v>
      </c>
      <c r="Q120" s="2">
        <f t="shared" si="14"/>
        <v>22075</v>
      </c>
      <c r="R120" s="2">
        <f t="shared" si="15"/>
        <v>4209</v>
      </c>
      <c r="S120" s="2">
        <f t="shared" si="16"/>
        <v>2897</v>
      </c>
      <c r="T120" s="2">
        <f t="shared" si="17"/>
        <v>2240</v>
      </c>
      <c r="U120" s="2">
        <f t="shared" si="18"/>
        <v>1847</v>
      </c>
      <c r="V120" s="2">
        <f t="shared" si="19"/>
        <v>1584</v>
      </c>
      <c r="W120" s="2">
        <f t="shared" si="20"/>
        <v>1256</v>
      </c>
      <c r="X120" s="2">
        <f t="shared" si="21"/>
        <v>8070</v>
      </c>
      <c r="Y120" s="2">
        <f t="shared" si="22"/>
        <v>18830</v>
      </c>
      <c r="Z120" s="2">
        <f t="shared" si="23"/>
        <v>20730</v>
      </c>
      <c r="AA120" s="2">
        <f t="shared" si="24"/>
        <v>3952</v>
      </c>
      <c r="AB120" s="2">
        <f t="shared" si="25"/>
        <v>2720</v>
      </c>
      <c r="AC120" s="2">
        <f t="shared" si="26"/>
        <v>2104</v>
      </c>
      <c r="AD120" s="2">
        <f t="shared" si="27"/>
        <v>1734</v>
      </c>
      <c r="AE120" s="2">
        <f t="shared" si="28"/>
        <v>1488</v>
      </c>
      <c r="AF120" s="2">
        <f t="shared" si="29"/>
        <v>1180</v>
      </c>
      <c r="AG120" s="2">
        <f t="shared" si="30"/>
        <v>9415</v>
      </c>
      <c r="AH120" s="2">
        <f t="shared" si="31"/>
        <v>17485</v>
      </c>
      <c r="AI120" s="2">
        <f t="shared" si="32"/>
        <v>19385</v>
      </c>
      <c r="AJ120" s="2">
        <f t="shared" si="33"/>
        <v>3696</v>
      </c>
      <c r="AK120" s="2">
        <f t="shared" si="34"/>
        <v>2544</v>
      </c>
      <c r="AL120" s="2">
        <f t="shared" si="35"/>
        <v>1968</v>
      </c>
      <c r="AM120" s="2">
        <f t="shared" si="36"/>
        <v>1622</v>
      </c>
      <c r="AN120" s="2">
        <f t="shared" si="37"/>
        <v>1391</v>
      </c>
      <c r="AO120" s="2">
        <f t="shared" si="38"/>
        <v>1103</v>
      </c>
      <c r="AP120" s="2">
        <f t="shared" si="39"/>
        <v>10760</v>
      </c>
      <c r="AQ120" s="2">
        <f t="shared" si="40"/>
        <v>16140</v>
      </c>
      <c r="AR120" s="2">
        <f t="shared" si="41"/>
        <v>18040</v>
      </c>
      <c r="AS120" s="2">
        <f t="shared" si="42"/>
        <v>3440</v>
      </c>
      <c r="AT120" s="2">
        <f t="shared" si="43"/>
        <v>2367</v>
      </c>
      <c r="AU120" s="2">
        <f t="shared" si="44"/>
        <v>1831</v>
      </c>
      <c r="AV120" s="2">
        <f t="shared" si="45"/>
        <v>1509</v>
      </c>
      <c r="AW120" s="2">
        <f t="shared" si="46"/>
        <v>1295</v>
      </c>
      <c r="AX120" s="2">
        <f t="shared" si="47"/>
        <v>1027</v>
      </c>
    </row>
    <row r="121" ht="14.25" customHeight="1">
      <c r="A121" s="2" t="str">
        <f t="array" ref="A121">IFERROR(INDEX('Product Price'!A:A,SMALL('Product Price'!$D:$D,119)),"")</f>
        <v>SAMSUNG Galaxy Tab S10 FE+ 5G 12/256 GB</v>
      </c>
      <c r="B121" s="2">
        <f t="array" ref="B121">IFERROR(INDEX('Product Price'!B:B,SMALL('Product Price'!$D:$D,119)),"")</f>
        <v>29900</v>
      </c>
      <c r="C121" s="2">
        <f t="array" ref="C121">IFERROR(INDEX('Product Price'!C:C,SMALL('Product Price'!$D:$D,119)),"")</f>
        <v>109</v>
      </c>
      <c r="D121" s="2">
        <f t="shared" si="1"/>
        <v>1900</v>
      </c>
      <c r="E121" s="2">
        <f t="shared" si="2"/>
        <v>31800</v>
      </c>
      <c r="F121" s="2">
        <f t="shared" si="3"/>
        <v>5980</v>
      </c>
      <c r="G121" s="2">
        <f t="shared" si="4"/>
        <v>23920</v>
      </c>
      <c r="H121" s="2">
        <f t="shared" si="5"/>
        <v>25820</v>
      </c>
      <c r="I121" s="2">
        <f t="shared" si="6"/>
        <v>4923</v>
      </c>
      <c r="J121" s="2">
        <f t="shared" si="7"/>
        <v>3388</v>
      </c>
      <c r="K121" s="2">
        <f t="shared" si="8"/>
        <v>2620</v>
      </c>
      <c r="L121" s="2">
        <f t="shared" si="9"/>
        <v>2160</v>
      </c>
      <c r="M121" s="2">
        <f t="shared" si="10"/>
        <v>1853</v>
      </c>
      <c r="N121" s="2">
        <f t="shared" si="11"/>
        <v>1469</v>
      </c>
      <c r="O121" s="2">
        <f t="shared" si="12"/>
        <v>7475</v>
      </c>
      <c r="P121" s="2">
        <f t="shared" si="13"/>
        <v>22425</v>
      </c>
      <c r="Q121" s="2">
        <f t="shared" si="14"/>
        <v>24325</v>
      </c>
      <c r="R121" s="2">
        <f t="shared" si="15"/>
        <v>4638</v>
      </c>
      <c r="S121" s="2">
        <f t="shared" si="16"/>
        <v>3192</v>
      </c>
      <c r="T121" s="2">
        <f t="shared" si="17"/>
        <v>2469</v>
      </c>
      <c r="U121" s="2">
        <f t="shared" si="18"/>
        <v>2035</v>
      </c>
      <c r="V121" s="2">
        <f t="shared" si="19"/>
        <v>1746</v>
      </c>
      <c r="W121" s="2">
        <f t="shared" si="20"/>
        <v>1384</v>
      </c>
      <c r="X121" s="2">
        <f t="shared" si="21"/>
        <v>8970</v>
      </c>
      <c r="Y121" s="2">
        <f t="shared" si="22"/>
        <v>20930</v>
      </c>
      <c r="Z121" s="2">
        <f t="shared" si="23"/>
        <v>22830</v>
      </c>
      <c r="AA121" s="2">
        <f t="shared" si="24"/>
        <v>4353</v>
      </c>
      <c r="AB121" s="2">
        <f t="shared" si="25"/>
        <v>2996</v>
      </c>
      <c r="AC121" s="2">
        <f t="shared" si="26"/>
        <v>2317</v>
      </c>
      <c r="AD121" s="2">
        <f t="shared" si="27"/>
        <v>1910</v>
      </c>
      <c r="AE121" s="2">
        <f t="shared" si="28"/>
        <v>1639</v>
      </c>
      <c r="AF121" s="2">
        <f t="shared" si="29"/>
        <v>1299</v>
      </c>
      <c r="AG121" s="2">
        <f t="shared" si="30"/>
        <v>10465</v>
      </c>
      <c r="AH121" s="2">
        <f t="shared" si="31"/>
        <v>19435</v>
      </c>
      <c r="AI121" s="2">
        <f t="shared" si="32"/>
        <v>21335</v>
      </c>
      <c r="AJ121" s="2">
        <f t="shared" si="33"/>
        <v>4068</v>
      </c>
      <c r="AK121" s="2">
        <f t="shared" si="34"/>
        <v>2800</v>
      </c>
      <c r="AL121" s="2">
        <f t="shared" si="35"/>
        <v>2165</v>
      </c>
      <c r="AM121" s="2">
        <f t="shared" si="36"/>
        <v>1785</v>
      </c>
      <c r="AN121" s="2">
        <f t="shared" si="37"/>
        <v>1531</v>
      </c>
      <c r="AO121" s="2">
        <f t="shared" si="38"/>
        <v>1214</v>
      </c>
      <c r="AP121" s="2">
        <f t="shared" si="39"/>
        <v>11960</v>
      </c>
      <c r="AQ121" s="2">
        <f t="shared" si="40"/>
        <v>17940</v>
      </c>
      <c r="AR121" s="2">
        <f t="shared" si="41"/>
        <v>19840</v>
      </c>
      <c r="AS121" s="2">
        <f t="shared" si="42"/>
        <v>3783</v>
      </c>
      <c r="AT121" s="2">
        <f t="shared" si="43"/>
        <v>2603</v>
      </c>
      <c r="AU121" s="2">
        <f t="shared" si="44"/>
        <v>2014</v>
      </c>
      <c r="AV121" s="2">
        <f t="shared" si="45"/>
        <v>1660</v>
      </c>
      <c r="AW121" s="2">
        <f t="shared" si="46"/>
        <v>1424</v>
      </c>
      <c r="AX121" s="2">
        <f t="shared" si="47"/>
        <v>1129</v>
      </c>
    </row>
    <row r="122" ht="14.25" customHeight="1">
      <c r="A122" s="2" t="str">
        <f t="array" ref="A122">IFERROR(INDEX('Product Price'!A:A,SMALL('Product Price'!$D:$D,120)),"")</f>
        <v>SAMSUNG Tab S10 Lite 5G</v>
      </c>
      <c r="B122" s="2">
        <f t="array" ref="B122">IFERROR(INDEX('Product Price'!B:B,SMALL('Product Price'!$D:$D,120)),"")</f>
        <v>15990</v>
      </c>
      <c r="C122" s="2">
        <f t="array" ref="C122">IFERROR(INDEX('Product Price'!C:C,SMALL('Product Price'!$D:$D,120)),"")</f>
        <v>110</v>
      </c>
      <c r="D122" s="2">
        <f t="shared" si="1"/>
        <v>1450</v>
      </c>
      <c r="E122" s="2">
        <f t="shared" si="2"/>
        <v>17440</v>
      </c>
      <c r="F122" s="2">
        <f t="shared" si="3"/>
        <v>3198</v>
      </c>
      <c r="G122" s="2">
        <f t="shared" si="4"/>
        <v>12792</v>
      </c>
      <c r="H122" s="2">
        <f t="shared" si="5"/>
        <v>14242</v>
      </c>
      <c r="I122" s="2">
        <f t="shared" si="6"/>
        <v>2716</v>
      </c>
      <c r="J122" s="2">
        <f t="shared" si="7"/>
        <v>1869</v>
      </c>
      <c r="K122" s="2">
        <f t="shared" si="8"/>
        <v>1446</v>
      </c>
      <c r="L122" s="2">
        <f t="shared" si="9"/>
        <v>1192</v>
      </c>
      <c r="M122" s="2">
        <f t="shared" si="10"/>
        <v>1022</v>
      </c>
      <c r="N122" s="2">
        <f t="shared" si="11"/>
        <v>811</v>
      </c>
      <c r="O122" s="2">
        <f t="shared" si="12"/>
        <v>3998</v>
      </c>
      <c r="P122" s="2">
        <f t="shared" si="13"/>
        <v>11992</v>
      </c>
      <c r="Q122" s="2">
        <f t="shared" si="14"/>
        <v>13442</v>
      </c>
      <c r="R122" s="2">
        <f t="shared" si="15"/>
        <v>2563</v>
      </c>
      <c r="S122" s="2">
        <f t="shared" si="16"/>
        <v>1764</v>
      </c>
      <c r="T122" s="2">
        <f t="shared" si="17"/>
        <v>1364</v>
      </c>
      <c r="U122" s="2">
        <f t="shared" si="18"/>
        <v>1125</v>
      </c>
      <c r="V122" s="2">
        <f t="shared" si="19"/>
        <v>965</v>
      </c>
      <c r="W122" s="2">
        <f t="shared" si="20"/>
        <v>765</v>
      </c>
      <c r="X122" s="2">
        <f t="shared" si="21"/>
        <v>4797</v>
      </c>
      <c r="Y122" s="2">
        <f t="shared" si="22"/>
        <v>11193</v>
      </c>
      <c r="Z122" s="2">
        <f t="shared" si="23"/>
        <v>12643</v>
      </c>
      <c r="AA122" s="2">
        <f t="shared" si="24"/>
        <v>2411</v>
      </c>
      <c r="AB122" s="2">
        <f t="shared" si="25"/>
        <v>1659</v>
      </c>
      <c r="AC122" s="2">
        <f t="shared" si="26"/>
        <v>1283</v>
      </c>
      <c r="AD122" s="2">
        <f t="shared" si="27"/>
        <v>1058</v>
      </c>
      <c r="AE122" s="2">
        <f t="shared" si="28"/>
        <v>908</v>
      </c>
      <c r="AF122" s="2">
        <f t="shared" si="29"/>
        <v>720</v>
      </c>
      <c r="AG122" s="2">
        <f t="shared" si="30"/>
        <v>5597</v>
      </c>
      <c r="AH122" s="2">
        <f t="shared" si="31"/>
        <v>10393</v>
      </c>
      <c r="AI122" s="2">
        <f t="shared" si="32"/>
        <v>11843</v>
      </c>
      <c r="AJ122" s="2">
        <f t="shared" si="33"/>
        <v>2258</v>
      </c>
      <c r="AK122" s="2">
        <f t="shared" si="34"/>
        <v>1554</v>
      </c>
      <c r="AL122" s="2">
        <f t="shared" si="35"/>
        <v>1202</v>
      </c>
      <c r="AM122" s="2">
        <f t="shared" si="36"/>
        <v>991</v>
      </c>
      <c r="AN122" s="2">
        <f t="shared" si="37"/>
        <v>850</v>
      </c>
      <c r="AO122" s="2">
        <f t="shared" si="38"/>
        <v>674</v>
      </c>
      <c r="AP122" s="2">
        <f t="shared" si="39"/>
        <v>6396</v>
      </c>
      <c r="AQ122" s="2">
        <f t="shared" si="40"/>
        <v>9594</v>
      </c>
      <c r="AR122" s="2">
        <f t="shared" si="41"/>
        <v>11044</v>
      </c>
      <c r="AS122" s="2">
        <f t="shared" si="42"/>
        <v>2106</v>
      </c>
      <c r="AT122" s="2">
        <f t="shared" si="43"/>
        <v>1449</v>
      </c>
      <c r="AU122" s="2">
        <f t="shared" si="44"/>
        <v>1121</v>
      </c>
      <c r="AV122" s="2">
        <f t="shared" si="45"/>
        <v>924</v>
      </c>
      <c r="AW122" s="2">
        <f t="shared" si="46"/>
        <v>793</v>
      </c>
      <c r="AX122" s="2">
        <f t="shared" si="47"/>
        <v>629</v>
      </c>
    </row>
    <row r="123" ht="14.25" customHeight="1">
      <c r="A123" s="2" t="str">
        <f t="array" ref="A123">IFERROR(INDEX('Product Price'!A:A,SMALL('Product Price'!$D:$D,121)),"")</f>
        <v>SAMSUNG Tab S10 Lite Wi-Fi</v>
      </c>
      <c r="B123" s="2">
        <f t="array" ref="B123">IFERROR(INDEX('Product Price'!B:B,SMALL('Product Price'!$D:$D,121)),"")</f>
        <v>11990</v>
      </c>
      <c r="C123" s="2">
        <f t="array" ref="C123">IFERROR(INDEX('Product Price'!C:C,SMALL('Product Price'!$D:$D,121)),"")</f>
        <v>111</v>
      </c>
      <c r="D123" s="2">
        <f t="shared" si="1"/>
        <v>1450</v>
      </c>
      <c r="E123" s="2">
        <f t="shared" si="2"/>
        <v>13440</v>
      </c>
      <c r="F123" s="2">
        <f t="shared" si="3"/>
        <v>2398</v>
      </c>
      <c r="G123" s="2">
        <f t="shared" si="4"/>
        <v>9592</v>
      </c>
      <c r="H123" s="2">
        <f t="shared" si="5"/>
        <v>11042</v>
      </c>
      <c r="I123" s="2">
        <f t="shared" si="6"/>
        <v>2106</v>
      </c>
      <c r="J123" s="2">
        <f t="shared" si="7"/>
        <v>1449</v>
      </c>
      <c r="K123" s="2">
        <f t="shared" si="8"/>
        <v>1121</v>
      </c>
      <c r="L123" s="2">
        <f t="shared" si="9"/>
        <v>924</v>
      </c>
      <c r="M123" s="2">
        <f t="shared" si="10"/>
        <v>793</v>
      </c>
      <c r="N123" s="2">
        <f t="shared" si="11"/>
        <v>629</v>
      </c>
      <c r="O123" s="2">
        <f t="shared" si="12"/>
        <v>2998</v>
      </c>
      <c r="P123" s="2">
        <f t="shared" si="13"/>
        <v>8992</v>
      </c>
      <c r="Q123" s="2">
        <f t="shared" si="14"/>
        <v>10442</v>
      </c>
      <c r="R123" s="2">
        <f t="shared" si="15"/>
        <v>1991</v>
      </c>
      <c r="S123" s="2">
        <f t="shared" si="16"/>
        <v>1370</v>
      </c>
      <c r="T123" s="2">
        <f t="shared" si="17"/>
        <v>1060</v>
      </c>
      <c r="U123" s="2">
        <f t="shared" si="18"/>
        <v>874</v>
      </c>
      <c r="V123" s="2">
        <f t="shared" si="19"/>
        <v>750</v>
      </c>
      <c r="W123" s="2">
        <f t="shared" si="20"/>
        <v>595</v>
      </c>
      <c r="X123" s="2">
        <f t="shared" si="21"/>
        <v>3597</v>
      </c>
      <c r="Y123" s="2">
        <f t="shared" si="22"/>
        <v>8393</v>
      </c>
      <c r="Z123" s="2">
        <f t="shared" si="23"/>
        <v>9843</v>
      </c>
      <c r="AA123" s="2">
        <f t="shared" si="24"/>
        <v>1877</v>
      </c>
      <c r="AB123" s="2">
        <f t="shared" si="25"/>
        <v>1292</v>
      </c>
      <c r="AC123" s="2">
        <f t="shared" si="26"/>
        <v>999</v>
      </c>
      <c r="AD123" s="2">
        <f t="shared" si="27"/>
        <v>824</v>
      </c>
      <c r="AE123" s="2">
        <f t="shared" si="28"/>
        <v>707</v>
      </c>
      <c r="AF123" s="2">
        <f t="shared" si="29"/>
        <v>560</v>
      </c>
      <c r="AG123" s="2">
        <f t="shared" si="30"/>
        <v>4197</v>
      </c>
      <c r="AH123" s="2">
        <f t="shared" si="31"/>
        <v>7793</v>
      </c>
      <c r="AI123" s="2">
        <f t="shared" si="32"/>
        <v>9243</v>
      </c>
      <c r="AJ123" s="2">
        <f t="shared" si="33"/>
        <v>1763</v>
      </c>
      <c r="AK123" s="2">
        <f t="shared" si="34"/>
        <v>1213</v>
      </c>
      <c r="AL123" s="2">
        <f t="shared" si="35"/>
        <v>938</v>
      </c>
      <c r="AM123" s="2">
        <f t="shared" si="36"/>
        <v>774</v>
      </c>
      <c r="AN123" s="2">
        <f t="shared" si="37"/>
        <v>664</v>
      </c>
      <c r="AO123" s="2">
        <f t="shared" si="38"/>
        <v>526</v>
      </c>
      <c r="AP123" s="2">
        <f t="shared" si="39"/>
        <v>4796</v>
      </c>
      <c r="AQ123" s="2">
        <f t="shared" si="40"/>
        <v>7194</v>
      </c>
      <c r="AR123" s="2">
        <f t="shared" si="41"/>
        <v>8644</v>
      </c>
      <c r="AS123" s="2">
        <f t="shared" si="42"/>
        <v>1648</v>
      </c>
      <c r="AT123" s="2">
        <f t="shared" si="43"/>
        <v>1135</v>
      </c>
      <c r="AU123" s="2">
        <f t="shared" si="44"/>
        <v>878</v>
      </c>
      <c r="AV123" s="2">
        <f t="shared" si="45"/>
        <v>723</v>
      </c>
      <c r="AW123" s="2">
        <f t="shared" si="46"/>
        <v>621</v>
      </c>
      <c r="AX123" s="2">
        <f t="shared" si="47"/>
        <v>492</v>
      </c>
    </row>
    <row r="124" ht="14.25" customHeight="1">
      <c r="A124" s="2" t="str">
        <f t="array" ref="A124">IFERROR(INDEX('Product Price'!A:A,SMALL('Product Price'!$D:$D,122)),"")</f>
        <v>SAMSUNG Galaxy Tab S10+Wi-Fi 12/256 GB</v>
      </c>
      <c r="B124" s="2">
        <f t="array" ref="B124">IFERROR(INDEX('Product Price'!B:B,SMALL('Product Price'!$D:$D,122)),"")</f>
        <v>36900</v>
      </c>
      <c r="C124" s="2">
        <f t="array" ref="C124">IFERROR(INDEX('Product Price'!C:C,SMALL('Product Price'!$D:$D,122)),"")</f>
        <v>112</v>
      </c>
      <c r="D124" s="2">
        <f t="shared" si="1"/>
        <v>1900</v>
      </c>
      <c r="E124" s="2">
        <f t="shared" si="2"/>
        <v>38800</v>
      </c>
      <c r="F124" s="2">
        <f t="shared" si="3"/>
        <v>7380</v>
      </c>
      <c r="G124" s="2">
        <f t="shared" si="4"/>
        <v>29520</v>
      </c>
      <c r="H124" s="2">
        <f t="shared" si="5"/>
        <v>31420</v>
      </c>
      <c r="I124" s="2">
        <f t="shared" si="6"/>
        <v>5990</v>
      </c>
      <c r="J124" s="2">
        <f t="shared" si="7"/>
        <v>4123</v>
      </c>
      <c r="K124" s="2">
        <f t="shared" si="8"/>
        <v>3189</v>
      </c>
      <c r="L124" s="2">
        <f t="shared" si="9"/>
        <v>2628</v>
      </c>
      <c r="M124" s="2">
        <f t="shared" si="10"/>
        <v>2255</v>
      </c>
      <c r="N124" s="2">
        <f t="shared" si="11"/>
        <v>1788</v>
      </c>
      <c r="O124" s="2">
        <f t="shared" si="12"/>
        <v>9225</v>
      </c>
      <c r="P124" s="2">
        <f t="shared" si="13"/>
        <v>27675</v>
      </c>
      <c r="Q124" s="2">
        <f t="shared" si="14"/>
        <v>29575</v>
      </c>
      <c r="R124" s="2">
        <f t="shared" si="15"/>
        <v>5639</v>
      </c>
      <c r="S124" s="2">
        <f t="shared" si="16"/>
        <v>3881</v>
      </c>
      <c r="T124" s="2">
        <f t="shared" si="17"/>
        <v>3002</v>
      </c>
      <c r="U124" s="2">
        <f t="shared" si="18"/>
        <v>2474</v>
      </c>
      <c r="V124" s="2">
        <f t="shared" si="19"/>
        <v>2122</v>
      </c>
      <c r="W124" s="2">
        <f t="shared" si="20"/>
        <v>1683</v>
      </c>
      <c r="X124" s="2">
        <f t="shared" si="21"/>
        <v>11070</v>
      </c>
      <c r="Y124" s="2">
        <f t="shared" si="22"/>
        <v>25830</v>
      </c>
      <c r="Z124" s="2">
        <f t="shared" si="23"/>
        <v>27730</v>
      </c>
      <c r="AA124" s="2">
        <f t="shared" si="24"/>
        <v>5287</v>
      </c>
      <c r="AB124" s="2">
        <f t="shared" si="25"/>
        <v>3639</v>
      </c>
      <c r="AC124" s="2">
        <f t="shared" si="26"/>
        <v>2814</v>
      </c>
      <c r="AD124" s="2">
        <f t="shared" si="27"/>
        <v>2320</v>
      </c>
      <c r="AE124" s="2">
        <f t="shared" si="28"/>
        <v>1990</v>
      </c>
      <c r="AF124" s="2">
        <f t="shared" si="29"/>
        <v>1578</v>
      </c>
      <c r="AG124" s="2">
        <f t="shared" si="30"/>
        <v>12915</v>
      </c>
      <c r="AH124" s="2">
        <f t="shared" si="31"/>
        <v>23985</v>
      </c>
      <c r="AI124" s="2">
        <f t="shared" si="32"/>
        <v>25885</v>
      </c>
      <c r="AJ124" s="2">
        <f t="shared" si="33"/>
        <v>4935</v>
      </c>
      <c r="AK124" s="2">
        <f t="shared" si="34"/>
        <v>3396</v>
      </c>
      <c r="AL124" s="2">
        <f t="shared" si="35"/>
        <v>2627</v>
      </c>
      <c r="AM124" s="2">
        <f t="shared" si="36"/>
        <v>2165</v>
      </c>
      <c r="AN124" s="2">
        <f t="shared" si="37"/>
        <v>1858</v>
      </c>
      <c r="AO124" s="2">
        <f t="shared" si="38"/>
        <v>1473</v>
      </c>
      <c r="AP124" s="2">
        <f t="shared" si="39"/>
        <v>14760</v>
      </c>
      <c r="AQ124" s="2">
        <f t="shared" si="40"/>
        <v>22140</v>
      </c>
      <c r="AR124" s="2">
        <f t="shared" si="41"/>
        <v>24040</v>
      </c>
      <c r="AS124" s="2">
        <f t="shared" si="42"/>
        <v>4583</v>
      </c>
      <c r="AT124" s="2">
        <f t="shared" si="43"/>
        <v>3154</v>
      </c>
      <c r="AU124" s="2">
        <f t="shared" si="44"/>
        <v>2440</v>
      </c>
      <c r="AV124" s="2">
        <f t="shared" si="45"/>
        <v>2011</v>
      </c>
      <c r="AW124" s="2">
        <f t="shared" si="46"/>
        <v>1725</v>
      </c>
      <c r="AX124" s="2">
        <f t="shared" si="47"/>
        <v>1368</v>
      </c>
    </row>
    <row r="125" ht="14.25" customHeight="1">
      <c r="A125" s="2" t="str">
        <f t="array" ref="A125">IFERROR(INDEX('Product Price'!A:A,SMALL('Product Price'!$D:$D,123)),"")</f>
        <v>SAMSUNG Galaxy Tab S10+ 5G 12/256 GB</v>
      </c>
      <c r="B125" s="2">
        <f t="array" ref="B125">IFERROR(INDEX('Product Price'!B:B,SMALL('Product Price'!$D:$D,123)),"")</f>
        <v>41900</v>
      </c>
      <c r="C125" s="2">
        <f t="array" ref="C125">IFERROR(INDEX('Product Price'!C:C,SMALL('Product Price'!$D:$D,123)),"")</f>
        <v>113</v>
      </c>
      <c r="D125" s="2">
        <f t="shared" si="1"/>
        <v>2475</v>
      </c>
      <c r="E125" s="2">
        <f t="shared" si="2"/>
        <v>44375</v>
      </c>
      <c r="F125" s="2">
        <f t="shared" si="3"/>
        <v>8380</v>
      </c>
      <c r="G125" s="2">
        <f t="shared" si="4"/>
        <v>33520</v>
      </c>
      <c r="H125" s="2">
        <f t="shared" si="5"/>
        <v>35995</v>
      </c>
      <c r="I125" s="2">
        <f t="shared" si="6"/>
        <v>6863</v>
      </c>
      <c r="J125" s="2">
        <f t="shared" si="7"/>
        <v>4723</v>
      </c>
      <c r="K125" s="2">
        <f t="shared" si="8"/>
        <v>3653</v>
      </c>
      <c r="L125" s="2">
        <f t="shared" si="9"/>
        <v>3011</v>
      </c>
      <c r="M125" s="2">
        <f t="shared" si="10"/>
        <v>2583</v>
      </c>
      <c r="N125" s="2">
        <f t="shared" si="11"/>
        <v>2048</v>
      </c>
      <c r="O125" s="2">
        <f t="shared" si="12"/>
        <v>10475</v>
      </c>
      <c r="P125" s="2">
        <f t="shared" si="13"/>
        <v>31425</v>
      </c>
      <c r="Q125" s="2">
        <f t="shared" si="14"/>
        <v>33900</v>
      </c>
      <c r="R125" s="2">
        <f t="shared" si="15"/>
        <v>6463</v>
      </c>
      <c r="S125" s="2">
        <f t="shared" si="16"/>
        <v>4448</v>
      </c>
      <c r="T125" s="2">
        <f t="shared" si="17"/>
        <v>3440</v>
      </c>
      <c r="U125" s="2">
        <f t="shared" si="18"/>
        <v>2836</v>
      </c>
      <c r="V125" s="2">
        <f t="shared" si="19"/>
        <v>2433</v>
      </c>
      <c r="W125" s="2">
        <f t="shared" si="20"/>
        <v>1929</v>
      </c>
      <c r="X125" s="2">
        <f t="shared" si="21"/>
        <v>12570</v>
      </c>
      <c r="Y125" s="2">
        <f t="shared" si="22"/>
        <v>29330</v>
      </c>
      <c r="Z125" s="2">
        <f t="shared" si="23"/>
        <v>31805</v>
      </c>
      <c r="AA125" s="2">
        <f t="shared" si="24"/>
        <v>6064</v>
      </c>
      <c r="AB125" s="2">
        <f t="shared" si="25"/>
        <v>4173</v>
      </c>
      <c r="AC125" s="2">
        <f t="shared" si="26"/>
        <v>3228</v>
      </c>
      <c r="AD125" s="2">
        <f t="shared" si="27"/>
        <v>2661</v>
      </c>
      <c r="AE125" s="2">
        <f t="shared" si="28"/>
        <v>2282</v>
      </c>
      <c r="AF125" s="2">
        <f t="shared" si="29"/>
        <v>1810</v>
      </c>
      <c r="AG125" s="2">
        <f t="shared" si="30"/>
        <v>14665</v>
      </c>
      <c r="AH125" s="2">
        <f t="shared" si="31"/>
        <v>27235</v>
      </c>
      <c r="AI125" s="2">
        <f t="shared" si="32"/>
        <v>29710</v>
      </c>
      <c r="AJ125" s="2">
        <f t="shared" si="33"/>
        <v>5664</v>
      </c>
      <c r="AK125" s="2">
        <f t="shared" si="34"/>
        <v>3898</v>
      </c>
      <c r="AL125" s="2">
        <f t="shared" si="35"/>
        <v>3015</v>
      </c>
      <c r="AM125" s="2">
        <f t="shared" si="36"/>
        <v>2485</v>
      </c>
      <c r="AN125" s="2">
        <f t="shared" si="37"/>
        <v>2132</v>
      </c>
      <c r="AO125" s="2">
        <f t="shared" si="38"/>
        <v>1691</v>
      </c>
      <c r="AP125" s="2">
        <f t="shared" si="39"/>
        <v>16760</v>
      </c>
      <c r="AQ125" s="2">
        <f t="shared" si="40"/>
        <v>25140</v>
      </c>
      <c r="AR125" s="2">
        <f t="shared" si="41"/>
        <v>27615</v>
      </c>
      <c r="AS125" s="2">
        <f t="shared" si="42"/>
        <v>5265</v>
      </c>
      <c r="AT125" s="2">
        <f t="shared" si="43"/>
        <v>3623</v>
      </c>
      <c r="AU125" s="2">
        <f t="shared" si="44"/>
        <v>2803</v>
      </c>
      <c r="AV125" s="2">
        <f t="shared" si="45"/>
        <v>2310</v>
      </c>
      <c r="AW125" s="2">
        <f t="shared" si="46"/>
        <v>1982</v>
      </c>
      <c r="AX125" s="2">
        <f t="shared" si="47"/>
        <v>1571</v>
      </c>
    </row>
    <row r="126" ht="14.25" customHeight="1">
      <c r="A126" s="2" t="str">
        <f t="array" ref="A126">IFERROR(INDEX('Product Price'!A:A,SMALL('Product Price'!$D:$D,124)),"")</f>
        <v>SAMSUNG Galaxy Tab S11 5G 8/128 GB</v>
      </c>
      <c r="B126" s="2">
        <f t="array" ref="B126">IFERROR(INDEX('Product Price'!B:B,SMALL('Product Price'!$D:$D,124)),"")</f>
        <v>31900</v>
      </c>
      <c r="C126" s="2">
        <f t="array" ref="C126">IFERROR(INDEX('Product Price'!C:C,SMALL('Product Price'!$D:$D,124)),"")</f>
        <v>114</v>
      </c>
      <c r="D126" s="2">
        <f t="shared" si="1"/>
        <v>1900</v>
      </c>
      <c r="E126" s="2">
        <f t="shared" si="2"/>
        <v>33800</v>
      </c>
      <c r="F126" s="2">
        <f t="shared" si="3"/>
        <v>6380</v>
      </c>
      <c r="G126" s="2">
        <f t="shared" si="4"/>
        <v>25520</v>
      </c>
      <c r="H126" s="2">
        <f t="shared" si="5"/>
        <v>27420</v>
      </c>
      <c r="I126" s="2">
        <f t="shared" si="6"/>
        <v>5228</v>
      </c>
      <c r="J126" s="2">
        <f t="shared" si="7"/>
        <v>3598</v>
      </c>
      <c r="K126" s="2">
        <f t="shared" si="8"/>
        <v>2783</v>
      </c>
      <c r="L126" s="2">
        <f t="shared" si="9"/>
        <v>2294</v>
      </c>
      <c r="M126" s="2">
        <f t="shared" si="10"/>
        <v>1968</v>
      </c>
      <c r="N126" s="2">
        <f t="shared" si="11"/>
        <v>1560</v>
      </c>
      <c r="O126" s="2">
        <f t="shared" si="12"/>
        <v>7975</v>
      </c>
      <c r="P126" s="2">
        <f t="shared" si="13"/>
        <v>23925</v>
      </c>
      <c r="Q126" s="2">
        <f t="shared" si="14"/>
        <v>25825</v>
      </c>
      <c r="R126" s="2">
        <f t="shared" si="15"/>
        <v>4924</v>
      </c>
      <c r="S126" s="2">
        <f t="shared" si="16"/>
        <v>3389</v>
      </c>
      <c r="T126" s="2">
        <f t="shared" si="17"/>
        <v>2621</v>
      </c>
      <c r="U126" s="2">
        <f t="shared" si="18"/>
        <v>2160</v>
      </c>
      <c r="V126" s="2">
        <f t="shared" si="19"/>
        <v>1853</v>
      </c>
      <c r="W126" s="2">
        <f t="shared" si="20"/>
        <v>1470</v>
      </c>
      <c r="X126" s="2">
        <f t="shared" si="21"/>
        <v>9570</v>
      </c>
      <c r="Y126" s="2">
        <f t="shared" si="22"/>
        <v>22330</v>
      </c>
      <c r="Z126" s="2">
        <f t="shared" si="23"/>
        <v>24230</v>
      </c>
      <c r="AA126" s="2">
        <f t="shared" si="24"/>
        <v>4620</v>
      </c>
      <c r="AB126" s="2">
        <f t="shared" si="25"/>
        <v>3179</v>
      </c>
      <c r="AC126" s="2">
        <f t="shared" si="26"/>
        <v>2459</v>
      </c>
      <c r="AD126" s="2">
        <f t="shared" si="27"/>
        <v>2027</v>
      </c>
      <c r="AE126" s="2">
        <f t="shared" si="28"/>
        <v>1739</v>
      </c>
      <c r="AF126" s="2">
        <f t="shared" si="29"/>
        <v>1379</v>
      </c>
      <c r="AG126" s="2">
        <f t="shared" si="30"/>
        <v>11165</v>
      </c>
      <c r="AH126" s="2">
        <f t="shared" si="31"/>
        <v>20735</v>
      </c>
      <c r="AI126" s="2">
        <f t="shared" si="32"/>
        <v>22635</v>
      </c>
      <c r="AJ126" s="2">
        <f t="shared" si="33"/>
        <v>4316</v>
      </c>
      <c r="AK126" s="2">
        <f t="shared" si="34"/>
        <v>2970</v>
      </c>
      <c r="AL126" s="2">
        <f t="shared" si="35"/>
        <v>2297</v>
      </c>
      <c r="AM126" s="2">
        <f t="shared" si="36"/>
        <v>1894</v>
      </c>
      <c r="AN126" s="2">
        <f t="shared" si="37"/>
        <v>1625</v>
      </c>
      <c r="AO126" s="2">
        <f t="shared" si="38"/>
        <v>1288</v>
      </c>
      <c r="AP126" s="2">
        <f t="shared" si="39"/>
        <v>12760</v>
      </c>
      <c r="AQ126" s="2">
        <f t="shared" si="40"/>
        <v>19140</v>
      </c>
      <c r="AR126" s="2">
        <f t="shared" si="41"/>
        <v>21040</v>
      </c>
      <c r="AS126" s="2">
        <f t="shared" si="42"/>
        <v>4012</v>
      </c>
      <c r="AT126" s="2">
        <f t="shared" si="43"/>
        <v>2761</v>
      </c>
      <c r="AU126" s="2">
        <f t="shared" si="44"/>
        <v>2135</v>
      </c>
      <c r="AV126" s="2">
        <f t="shared" si="45"/>
        <v>1760</v>
      </c>
      <c r="AW126" s="2">
        <f t="shared" si="46"/>
        <v>1510</v>
      </c>
      <c r="AX126" s="2">
        <f t="shared" si="47"/>
        <v>1197</v>
      </c>
    </row>
    <row r="127" ht="14.25" customHeight="1">
      <c r="A127" s="2" t="str">
        <f t="array" ref="A127">IFERROR(INDEX('Product Price'!A:A,SMALL('Product Price'!$D:$D,125)),"")</f>
        <v>SAMSUNG Galaxy Tab S11 5G 12/256 GB</v>
      </c>
      <c r="B127" s="2">
        <f t="array" ref="B127">IFERROR(INDEX('Product Price'!B:B,SMALL('Product Price'!$D:$D,125)),"")</f>
        <v>33900</v>
      </c>
      <c r="C127" s="2">
        <f t="array" ref="C127">IFERROR(INDEX('Product Price'!C:C,SMALL('Product Price'!$D:$D,125)),"")</f>
        <v>115</v>
      </c>
      <c r="D127" s="2">
        <f t="shared" si="1"/>
        <v>1900</v>
      </c>
      <c r="E127" s="2">
        <f t="shared" si="2"/>
        <v>35800</v>
      </c>
      <c r="F127" s="2">
        <f t="shared" si="3"/>
        <v>6780</v>
      </c>
      <c r="G127" s="2">
        <f t="shared" si="4"/>
        <v>27120</v>
      </c>
      <c r="H127" s="2">
        <f t="shared" si="5"/>
        <v>29020</v>
      </c>
      <c r="I127" s="2">
        <f t="shared" si="6"/>
        <v>5533</v>
      </c>
      <c r="J127" s="2">
        <f t="shared" si="7"/>
        <v>3808</v>
      </c>
      <c r="K127" s="2">
        <f t="shared" si="8"/>
        <v>2945</v>
      </c>
      <c r="L127" s="2">
        <f t="shared" si="9"/>
        <v>2428</v>
      </c>
      <c r="M127" s="2">
        <f t="shared" si="10"/>
        <v>2083</v>
      </c>
      <c r="N127" s="2">
        <f t="shared" si="11"/>
        <v>1651</v>
      </c>
      <c r="O127" s="2">
        <f t="shared" si="12"/>
        <v>8475</v>
      </c>
      <c r="P127" s="2">
        <f t="shared" si="13"/>
        <v>25425</v>
      </c>
      <c r="Q127" s="2">
        <f t="shared" si="14"/>
        <v>27325</v>
      </c>
      <c r="R127" s="2">
        <f t="shared" si="15"/>
        <v>5210</v>
      </c>
      <c r="S127" s="2">
        <f t="shared" si="16"/>
        <v>3585</v>
      </c>
      <c r="T127" s="2">
        <f t="shared" si="17"/>
        <v>2773</v>
      </c>
      <c r="U127" s="2">
        <f t="shared" si="18"/>
        <v>2286</v>
      </c>
      <c r="V127" s="2">
        <f t="shared" si="19"/>
        <v>1961</v>
      </c>
      <c r="W127" s="2">
        <f t="shared" si="20"/>
        <v>1555</v>
      </c>
      <c r="X127" s="2">
        <f t="shared" si="21"/>
        <v>10170</v>
      </c>
      <c r="Y127" s="2">
        <f t="shared" si="22"/>
        <v>23730</v>
      </c>
      <c r="Z127" s="2">
        <f t="shared" si="23"/>
        <v>25630</v>
      </c>
      <c r="AA127" s="2">
        <f t="shared" si="24"/>
        <v>4887</v>
      </c>
      <c r="AB127" s="2">
        <f t="shared" si="25"/>
        <v>3363</v>
      </c>
      <c r="AC127" s="2">
        <f t="shared" si="26"/>
        <v>2601</v>
      </c>
      <c r="AD127" s="2">
        <f t="shared" si="27"/>
        <v>2144</v>
      </c>
      <c r="AE127" s="2">
        <f t="shared" si="28"/>
        <v>1839</v>
      </c>
      <c r="AF127" s="2">
        <f t="shared" si="29"/>
        <v>1459</v>
      </c>
      <c r="AG127" s="2">
        <f t="shared" si="30"/>
        <v>11865</v>
      </c>
      <c r="AH127" s="2">
        <f t="shared" si="31"/>
        <v>22035</v>
      </c>
      <c r="AI127" s="2">
        <f t="shared" si="32"/>
        <v>23935</v>
      </c>
      <c r="AJ127" s="2">
        <f t="shared" si="33"/>
        <v>4563</v>
      </c>
      <c r="AK127" s="2">
        <f t="shared" si="34"/>
        <v>3141</v>
      </c>
      <c r="AL127" s="2">
        <f t="shared" si="35"/>
        <v>2429</v>
      </c>
      <c r="AM127" s="2">
        <f t="shared" si="36"/>
        <v>2002</v>
      </c>
      <c r="AN127" s="2">
        <f t="shared" si="37"/>
        <v>1718</v>
      </c>
      <c r="AO127" s="2">
        <f t="shared" si="38"/>
        <v>1362</v>
      </c>
      <c r="AP127" s="2">
        <f t="shared" si="39"/>
        <v>13560</v>
      </c>
      <c r="AQ127" s="2">
        <f t="shared" si="40"/>
        <v>20340</v>
      </c>
      <c r="AR127" s="2">
        <f t="shared" si="41"/>
        <v>22240</v>
      </c>
      <c r="AS127" s="2">
        <f t="shared" si="42"/>
        <v>4240</v>
      </c>
      <c r="AT127" s="2">
        <f t="shared" si="43"/>
        <v>2918</v>
      </c>
      <c r="AU127" s="2">
        <f t="shared" si="44"/>
        <v>2257</v>
      </c>
      <c r="AV127" s="2">
        <f t="shared" si="45"/>
        <v>1861</v>
      </c>
      <c r="AW127" s="2">
        <f t="shared" si="46"/>
        <v>1596</v>
      </c>
      <c r="AX127" s="2">
        <f t="shared" si="47"/>
        <v>1266</v>
      </c>
    </row>
    <row r="128" ht="14.25" customHeight="1">
      <c r="A128" s="2" t="str">
        <f t="array" ref="A128">IFERROR(INDEX('Product Price'!A:A,SMALL('Product Price'!$D:$D,126)),"")</f>
        <v>SAMSUNG Galaxy Tab S11 Ultra 12/256 GB</v>
      </c>
      <c r="B128" s="2">
        <f t="array" ref="B128">IFERROR(INDEX('Product Price'!B:B,SMALL('Product Price'!$D:$D,126)),"")</f>
        <v>45900</v>
      </c>
      <c r="C128" s="2">
        <f t="array" ref="C128">IFERROR(INDEX('Product Price'!C:C,SMALL('Product Price'!$D:$D,126)),"")</f>
        <v>116</v>
      </c>
      <c r="D128" s="2">
        <f t="shared" si="1"/>
        <v>2475</v>
      </c>
      <c r="E128" s="2">
        <f t="shared" si="2"/>
        <v>48375</v>
      </c>
      <c r="F128" s="2">
        <f t="shared" si="3"/>
        <v>9180</v>
      </c>
      <c r="G128" s="2">
        <f t="shared" si="4"/>
        <v>36720</v>
      </c>
      <c r="H128" s="2">
        <f t="shared" si="5"/>
        <v>39195</v>
      </c>
      <c r="I128" s="2">
        <f t="shared" si="6"/>
        <v>7473</v>
      </c>
      <c r="J128" s="2">
        <f t="shared" si="7"/>
        <v>5143</v>
      </c>
      <c r="K128" s="2">
        <f t="shared" si="8"/>
        <v>3978</v>
      </c>
      <c r="L128" s="2">
        <f t="shared" si="9"/>
        <v>3279</v>
      </c>
      <c r="M128" s="2">
        <f t="shared" si="10"/>
        <v>2813</v>
      </c>
      <c r="N128" s="2">
        <f t="shared" si="11"/>
        <v>2230</v>
      </c>
      <c r="O128" s="2">
        <f t="shared" si="12"/>
        <v>11475</v>
      </c>
      <c r="P128" s="2">
        <f t="shared" si="13"/>
        <v>34425</v>
      </c>
      <c r="Q128" s="2">
        <f t="shared" si="14"/>
        <v>36900</v>
      </c>
      <c r="R128" s="2">
        <f t="shared" si="15"/>
        <v>7035</v>
      </c>
      <c r="S128" s="2">
        <f t="shared" si="16"/>
        <v>4842</v>
      </c>
      <c r="T128" s="2">
        <f t="shared" si="17"/>
        <v>3745</v>
      </c>
      <c r="U128" s="2">
        <f t="shared" si="18"/>
        <v>3087</v>
      </c>
      <c r="V128" s="2">
        <f t="shared" si="19"/>
        <v>2648</v>
      </c>
      <c r="W128" s="2">
        <f t="shared" si="20"/>
        <v>2100</v>
      </c>
      <c r="X128" s="2">
        <f t="shared" si="21"/>
        <v>13770</v>
      </c>
      <c r="Y128" s="2">
        <f t="shared" si="22"/>
        <v>32130</v>
      </c>
      <c r="Z128" s="2">
        <f t="shared" si="23"/>
        <v>34605</v>
      </c>
      <c r="AA128" s="2">
        <f t="shared" si="24"/>
        <v>6598</v>
      </c>
      <c r="AB128" s="2">
        <f t="shared" si="25"/>
        <v>4540</v>
      </c>
      <c r="AC128" s="2">
        <f t="shared" si="26"/>
        <v>3512</v>
      </c>
      <c r="AD128" s="2">
        <f t="shared" si="27"/>
        <v>2895</v>
      </c>
      <c r="AE128" s="2">
        <f t="shared" si="28"/>
        <v>2483</v>
      </c>
      <c r="AF128" s="2">
        <f t="shared" si="29"/>
        <v>1969</v>
      </c>
      <c r="AG128" s="2">
        <f t="shared" si="30"/>
        <v>16065</v>
      </c>
      <c r="AH128" s="2">
        <f t="shared" si="31"/>
        <v>29835</v>
      </c>
      <c r="AI128" s="2">
        <f t="shared" si="32"/>
        <v>32310</v>
      </c>
      <c r="AJ128" s="2">
        <f t="shared" si="33"/>
        <v>6160</v>
      </c>
      <c r="AK128" s="2">
        <f t="shared" si="34"/>
        <v>4239</v>
      </c>
      <c r="AL128" s="2">
        <f t="shared" si="35"/>
        <v>3279</v>
      </c>
      <c r="AM128" s="2">
        <f t="shared" si="36"/>
        <v>2703</v>
      </c>
      <c r="AN128" s="2">
        <f t="shared" si="37"/>
        <v>2319</v>
      </c>
      <c r="AO128" s="2">
        <f t="shared" si="38"/>
        <v>1839</v>
      </c>
      <c r="AP128" s="2">
        <f t="shared" si="39"/>
        <v>18360</v>
      </c>
      <c r="AQ128" s="2">
        <f t="shared" si="40"/>
        <v>27540</v>
      </c>
      <c r="AR128" s="2">
        <f t="shared" si="41"/>
        <v>30015</v>
      </c>
      <c r="AS128" s="2">
        <f t="shared" si="42"/>
        <v>5723</v>
      </c>
      <c r="AT128" s="2">
        <f t="shared" si="43"/>
        <v>3938</v>
      </c>
      <c r="AU128" s="2">
        <f t="shared" si="44"/>
        <v>3046</v>
      </c>
      <c r="AV128" s="2">
        <f t="shared" si="45"/>
        <v>2511</v>
      </c>
      <c r="AW128" s="2">
        <f t="shared" si="46"/>
        <v>2154</v>
      </c>
      <c r="AX128" s="2">
        <f t="shared" si="47"/>
        <v>1708</v>
      </c>
    </row>
    <row r="129" ht="14.25" customHeight="1">
      <c r="A129" s="2" t="str">
        <f t="array" ref="A129">IFERROR(INDEX('Product Price'!A:A,SMALL('Product Price'!$D:$D,127)),"")</f>
        <v>TECNO POVA 8 Pro 5G LAMBORGHINI 12/512 GB</v>
      </c>
      <c r="B129" s="2">
        <f t="array" ref="B129">IFERROR(INDEX('Product Price'!B:B,SMALL('Product Price'!$D:$D,127)),"")</f>
        <v>19999</v>
      </c>
      <c r="C129" s="2">
        <f t="array" ref="C129">IFERROR(INDEX('Product Price'!C:C,SMALL('Product Price'!$D:$D,127)),"")</f>
        <v>174</v>
      </c>
      <c r="D129" s="2">
        <f t="shared" si="1"/>
        <v>1450</v>
      </c>
      <c r="E129" s="2">
        <f t="shared" si="2"/>
        <v>21449</v>
      </c>
      <c r="F129" s="2">
        <f t="shared" si="3"/>
        <v>4000</v>
      </c>
      <c r="G129" s="2">
        <f t="shared" si="4"/>
        <v>15999</v>
      </c>
      <c r="H129" s="2">
        <f t="shared" si="5"/>
        <v>17449</v>
      </c>
      <c r="I129" s="2">
        <f t="shared" si="6"/>
        <v>3327</v>
      </c>
      <c r="J129" s="2">
        <f t="shared" si="7"/>
        <v>2290</v>
      </c>
      <c r="K129" s="2">
        <f t="shared" si="8"/>
        <v>1771</v>
      </c>
      <c r="L129" s="2">
        <f t="shared" si="9"/>
        <v>1460</v>
      </c>
      <c r="M129" s="2">
        <f t="shared" si="10"/>
        <v>1252</v>
      </c>
      <c r="N129" s="2">
        <f t="shared" si="11"/>
        <v>993</v>
      </c>
      <c r="O129" s="2">
        <f t="shared" si="12"/>
        <v>5000</v>
      </c>
      <c r="P129" s="2">
        <f t="shared" si="13"/>
        <v>14999</v>
      </c>
      <c r="Q129" s="2">
        <f t="shared" si="14"/>
        <v>16449</v>
      </c>
      <c r="R129" s="2">
        <f t="shared" si="15"/>
        <v>3136</v>
      </c>
      <c r="S129" s="2">
        <f t="shared" si="16"/>
        <v>2159</v>
      </c>
      <c r="T129" s="2">
        <f t="shared" si="17"/>
        <v>1670</v>
      </c>
      <c r="U129" s="2">
        <f t="shared" si="18"/>
        <v>1376</v>
      </c>
      <c r="V129" s="2">
        <f t="shared" si="19"/>
        <v>1181</v>
      </c>
      <c r="W129" s="2">
        <f t="shared" si="20"/>
        <v>936</v>
      </c>
      <c r="X129" s="2">
        <f t="shared" si="21"/>
        <v>6000</v>
      </c>
      <c r="Y129" s="2">
        <f t="shared" si="22"/>
        <v>13999</v>
      </c>
      <c r="Z129" s="2">
        <f t="shared" si="23"/>
        <v>15449</v>
      </c>
      <c r="AA129" s="2">
        <f t="shared" si="24"/>
        <v>2946</v>
      </c>
      <c r="AB129" s="2">
        <f t="shared" si="25"/>
        <v>2027</v>
      </c>
      <c r="AC129" s="2">
        <f t="shared" si="26"/>
        <v>1568</v>
      </c>
      <c r="AD129" s="2">
        <f t="shared" si="27"/>
        <v>1293</v>
      </c>
      <c r="AE129" s="2">
        <f t="shared" si="28"/>
        <v>1109</v>
      </c>
      <c r="AF129" s="2">
        <f t="shared" si="29"/>
        <v>879</v>
      </c>
      <c r="AG129" s="2">
        <f t="shared" si="30"/>
        <v>7000</v>
      </c>
      <c r="AH129" s="2">
        <f t="shared" si="31"/>
        <v>12999</v>
      </c>
      <c r="AI129" s="2">
        <f t="shared" si="32"/>
        <v>14449</v>
      </c>
      <c r="AJ129" s="2">
        <f t="shared" si="33"/>
        <v>2755</v>
      </c>
      <c r="AK129" s="2">
        <f t="shared" si="34"/>
        <v>1896</v>
      </c>
      <c r="AL129" s="2">
        <f t="shared" si="35"/>
        <v>1467</v>
      </c>
      <c r="AM129" s="2">
        <f t="shared" si="36"/>
        <v>1209</v>
      </c>
      <c r="AN129" s="2">
        <f t="shared" si="37"/>
        <v>1037</v>
      </c>
      <c r="AO129" s="2">
        <f t="shared" si="38"/>
        <v>822</v>
      </c>
      <c r="AP129" s="2">
        <f t="shared" si="39"/>
        <v>8000</v>
      </c>
      <c r="AQ129" s="2">
        <f t="shared" si="40"/>
        <v>11999</v>
      </c>
      <c r="AR129" s="2">
        <f t="shared" si="41"/>
        <v>13449</v>
      </c>
      <c r="AS129" s="2">
        <f t="shared" si="42"/>
        <v>2564</v>
      </c>
      <c r="AT129" s="2">
        <f t="shared" si="43"/>
        <v>1765</v>
      </c>
      <c r="AU129" s="2">
        <f t="shared" si="44"/>
        <v>1365</v>
      </c>
      <c r="AV129" s="2">
        <f t="shared" si="45"/>
        <v>1125</v>
      </c>
      <c r="AW129" s="2">
        <f t="shared" si="46"/>
        <v>965</v>
      </c>
      <c r="AX129" s="2">
        <f t="shared" si="47"/>
        <v>766</v>
      </c>
    </row>
    <row r="130" ht="14.25" customHeight="1">
      <c r="A130" s="2" t="str">
        <f t="array" ref="A130">IFERROR(INDEX('Product Price'!A:A,SMALL('Product Price'!$D:$D,128)),"")</f>
        <v>TECNO POVA 8 Pro 5G LAMBORGHINI 12/256 GB</v>
      </c>
      <c r="B130" s="2">
        <f t="array" ref="B130">IFERROR(INDEX('Product Price'!B:B,SMALL('Product Price'!$D:$D,128)),"")</f>
        <v>17999</v>
      </c>
      <c r="C130" s="2">
        <f t="array" ref="C130">IFERROR(INDEX('Product Price'!C:C,SMALL('Product Price'!$D:$D,128)),"")</f>
        <v>175</v>
      </c>
      <c r="D130" s="2">
        <f t="shared" si="1"/>
        <v>1450</v>
      </c>
      <c r="E130" s="2">
        <f t="shared" si="2"/>
        <v>19449</v>
      </c>
      <c r="F130" s="2">
        <f t="shared" si="3"/>
        <v>3600</v>
      </c>
      <c r="G130" s="2">
        <f t="shared" si="4"/>
        <v>14399</v>
      </c>
      <c r="H130" s="2">
        <f t="shared" si="5"/>
        <v>15849</v>
      </c>
      <c r="I130" s="2">
        <f t="shared" si="6"/>
        <v>3022</v>
      </c>
      <c r="J130" s="2">
        <f t="shared" si="7"/>
        <v>2080</v>
      </c>
      <c r="K130" s="2">
        <f t="shared" si="8"/>
        <v>1609</v>
      </c>
      <c r="L130" s="2">
        <f t="shared" si="9"/>
        <v>1326</v>
      </c>
      <c r="M130" s="2">
        <f t="shared" si="10"/>
        <v>1138</v>
      </c>
      <c r="N130" s="2">
        <f t="shared" si="11"/>
        <v>902</v>
      </c>
      <c r="O130" s="2">
        <f t="shared" si="12"/>
        <v>4500</v>
      </c>
      <c r="P130" s="2">
        <f t="shared" si="13"/>
        <v>13499</v>
      </c>
      <c r="Q130" s="2">
        <f t="shared" si="14"/>
        <v>14949</v>
      </c>
      <c r="R130" s="2">
        <f t="shared" si="15"/>
        <v>2850</v>
      </c>
      <c r="S130" s="2">
        <f t="shared" si="16"/>
        <v>1962</v>
      </c>
      <c r="T130" s="2">
        <f t="shared" si="17"/>
        <v>1517</v>
      </c>
      <c r="U130" s="2">
        <f t="shared" si="18"/>
        <v>1251</v>
      </c>
      <c r="V130" s="2">
        <f t="shared" si="19"/>
        <v>1073</v>
      </c>
      <c r="W130" s="2">
        <f t="shared" si="20"/>
        <v>851</v>
      </c>
      <c r="X130" s="2">
        <f t="shared" si="21"/>
        <v>5400</v>
      </c>
      <c r="Y130" s="2">
        <f t="shared" si="22"/>
        <v>12599</v>
      </c>
      <c r="Z130" s="2">
        <f t="shared" si="23"/>
        <v>14049</v>
      </c>
      <c r="AA130" s="2">
        <f t="shared" si="24"/>
        <v>2679</v>
      </c>
      <c r="AB130" s="2">
        <f t="shared" si="25"/>
        <v>1844</v>
      </c>
      <c r="AC130" s="2">
        <f t="shared" si="26"/>
        <v>1426</v>
      </c>
      <c r="AD130" s="2">
        <f t="shared" si="27"/>
        <v>1176</v>
      </c>
      <c r="AE130" s="2">
        <f t="shared" si="28"/>
        <v>1009</v>
      </c>
      <c r="AF130" s="2">
        <f t="shared" si="29"/>
        <v>800</v>
      </c>
      <c r="AG130" s="2">
        <f t="shared" si="30"/>
        <v>6300</v>
      </c>
      <c r="AH130" s="2">
        <f t="shared" si="31"/>
        <v>11699</v>
      </c>
      <c r="AI130" s="2">
        <f t="shared" si="32"/>
        <v>13149</v>
      </c>
      <c r="AJ130" s="2">
        <f t="shared" si="33"/>
        <v>2507</v>
      </c>
      <c r="AK130" s="2">
        <f t="shared" si="34"/>
        <v>1726</v>
      </c>
      <c r="AL130" s="2">
        <f t="shared" si="35"/>
        <v>1335</v>
      </c>
      <c r="AM130" s="2">
        <f t="shared" si="36"/>
        <v>1100</v>
      </c>
      <c r="AN130" s="2">
        <f t="shared" si="37"/>
        <v>944</v>
      </c>
      <c r="AO130" s="2">
        <f t="shared" si="38"/>
        <v>749</v>
      </c>
      <c r="AP130" s="2">
        <f t="shared" si="39"/>
        <v>7200</v>
      </c>
      <c r="AQ130" s="2">
        <f t="shared" si="40"/>
        <v>10799</v>
      </c>
      <c r="AR130" s="2">
        <f t="shared" si="41"/>
        <v>12249</v>
      </c>
      <c r="AS130" s="2">
        <f t="shared" si="42"/>
        <v>2336</v>
      </c>
      <c r="AT130" s="2">
        <f t="shared" si="43"/>
        <v>1607</v>
      </c>
      <c r="AU130" s="2">
        <f t="shared" si="44"/>
        <v>1243</v>
      </c>
      <c r="AV130" s="2">
        <f t="shared" si="45"/>
        <v>1025</v>
      </c>
      <c r="AW130" s="2">
        <f t="shared" si="46"/>
        <v>879</v>
      </c>
      <c r="AX130" s="2">
        <f t="shared" si="47"/>
        <v>697</v>
      </c>
    </row>
    <row r="131" ht="14.25" customHeight="1">
      <c r="A131" s="2" t="str">
        <f t="array" ref="A131">IFERROR(INDEX('Product Price'!A:A,SMALL('Product Price'!$D:$D,129)),"")</f>
        <v>TECNO POVA 8 Pro 5G LAMBORGHINI 8/256 GB</v>
      </c>
      <c r="B131" s="2">
        <f t="array" ref="B131">IFERROR(INDEX('Product Price'!B:B,SMALL('Product Price'!$D:$D,129)),"")</f>
        <v>15999</v>
      </c>
      <c r="C131" s="2">
        <f t="array" ref="C131">IFERROR(INDEX('Product Price'!C:C,SMALL('Product Price'!$D:$D,129)),"")</f>
        <v>176</v>
      </c>
      <c r="D131" s="2">
        <f t="shared" si="1"/>
        <v>1450</v>
      </c>
      <c r="E131" s="2">
        <f t="shared" si="2"/>
        <v>17449</v>
      </c>
      <c r="F131" s="2">
        <f t="shared" si="3"/>
        <v>3200</v>
      </c>
      <c r="G131" s="2">
        <f t="shared" si="4"/>
        <v>12799</v>
      </c>
      <c r="H131" s="2">
        <f t="shared" si="5"/>
        <v>14249</v>
      </c>
      <c r="I131" s="2">
        <f t="shared" si="6"/>
        <v>2717</v>
      </c>
      <c r="J131" s="2">
        <f t="shared" si="7"/>
        <v>1870</v>
      </c>
      <c r="K131" s="2">
        <f t="shared" si="8"/>
        <v>1446</v>
      </c>
      <c r="L131" s="2">
        <f t="shared" si="9"/>
        <v>1192</v>
      </c>
      <c r="M131" s="2">
        <f t="shared" si="10"/>
        <v>1023</v>
      </c>
      <c r="N131" s="2">
        <f t="shared" si="11"/>
        <v>811</v>
      </c>
      <c r="O131" s="2">
        <f t="shared" si="12"/>
        <v>4000</v>
      </c>
      <c r="P131" s="2">
        <f t="shared" si="13"/>
        <v>11999</v>
      </c>
      <c r="Q131" s="2">
        <f t="shared" si="14"/>
        <v>13449</v>
      </c>
      <c r="R131" s="2">
        <f t="shared" si="15"/>
        <v>2564</v>
      </c>
      <c r="S131" s="2">
        <f t="shared" si="16"/>
        <v>1765</v>
      </c>
      <c r="T131" s="2">
        <f t="shared" si="17"/>
        <v>1365</v>
      </c>
      <c r="U131" s="2">
        <f t="shared" si="18"/>
        <v>1125</v>
      </c>
      <c r="V131" s="2">
        <f t="shared" si="19"/>
        <v>965</v>
      </c>
      <c r="W131" s="2">
        <f t="shared" si="20"/>
        <v>766</v>
      </c>
      <c r="X131" s="2">
        <f t="shared" si="21"/>
        <v>4800</v>
      </c>
      <c r="Y131" s="2">
        <f t="shared" si="22"/>
        <v>11199</v>
      </c>
      <c r="Z131" s="2">
        <f t="shared" si="23"/>
        <v>12649</v>
      </c>
      <c r="AA131" s="2">
        <f t="shared" si="24"/>
        <v>2412</v>
      </c>
      <c r="AB131" s="2">
        <f t="shared" si="25"/>
        <v>1660</v>
      </c>
      <c r="AC131" s="2">
        <f t="shared" si="26"/>
        <v>1284</v>
      </c>
      <c r="AD131" s="2">
        <f t="shared" si="27"/>
        <v>1058</v>
      </c>
      <c r="AE131" s="2">
        <f t="shared" si="28"/>
        <v>908</v>
      </c>
      <c r="AF131" s="2">
        <f t="shared" si="29"/>
        <v>720</v>
      </c>
      <c r="AG131" s="2">
        <f t="shared" si="30"/>
        <v>5600</v>
      </c>
      <c r="AH131" s="2">
        <f t="shared" si="31"/>
        <v>10399</v>
      </c>
      <c r="AI131" s="2">
        <f t="shared" si="32"/>
        <v>11849</v>
      </c>
      <c r="AJ131" s="2">
        <f t="shared" si="33"/>
        <v>2259</v>
      </c>
      <c r="AK131" s="2">
        <f t="shared" si="34"/>
        <v>1555</v>
      </c>
      <c r="AL131" s="2">
        <f t="shared" si="35"/>
        <v>1203</v>
      </c>
      <c r="AM131" s="2">
        <f t="shared" si="36"/>
        <v>992</v>
      </c>
      <c r="AN131" s="2">
        <f t="shared" si="37"/>
        <v>851</v>
      </c>
      <c r="AO131" s="2">
        <f t="shared" si="38"/>
        <v>675</v>
      </c>
      <c r="AP131" s="2">
        <f t="shared" si="39"/>
        <v>6400</v>
      </c>
      <c r="AQ131" s="2">
        <f t="shared" si="40"/>
        <v>9599</v>
      </c>
      <c r="AR131" s="2">
        <f t="shared" si="41"/>
        <v>11049</v>
      </c>
      <c r="AS131" s="2">
        <f t="shared" si="42"/>
        <v>2107</v>
      </c>
      <c r="AT131" s="2">
        <f t="shared" si="43"/>
        <v>1450</v>
      </c>
      <c r="AU131" s="2">
        <f t="shared" si="44"/>
        <v>1122</v>
      </c>
      <c r="AV131" s="2">
        <f t="shared" si="45"/>
        <v>925</v>
      </c>
      <c r="AW131" s="2">
        <f t="shared" si="46"/>
        <v>793</v>
      </c>
      <c r="AX131" s="2">
        <f t="shared" si="47"/>
        <v>629</v>
      </c>
    </row>
    <row r="132" ht="14.25" customHeight="1">
      <c r="A132" s="2" t="str">
        <f t="array" ref="A132">IFERROR(INDEX('Product Price'!A:A,SMALL('Product Price'!$D:$D,130)),"")</f>
        <v>TECNO POVA8 Pro 5G 8/256 GB</v>
      </c>
      <c r="B132" s="2">
        <f t="array" ref="B132">IFERROR(INDEX('Product Price'!B:B,SMALL('Product Price'!$D:$D,130)),"")</f>
        <v>14999</v>
      </c>
      <c r="C132" s="2">
        <f t="array" ref="C132">IFERROR(INDEX('Product Price'!C:C,SMALL('Product Price'!$D:$D,130)),"")</f>
        <v>122</v>
      </c>
      <c r="D132" s="2">
        <f t="shared" si="1"/>
        <v>1450</v>
      </c>
      <c r="E132" s="2">
        <f t="shared" si="2"/>
        <v>16449</v>
      </c>
      <c r="F132" s="2">
        <f t="shared" si="3"/>
        <v>3000</v>
      </c>
      <c r="G132" s="2">
        <f t="shared" si="4"/>
        <v>11999</v>
      </c>
      <c r="H132" s="2">
        <f t="shared" si="5"/>
        <v>13449</v>
      </c>
      <c r="I132" s="2">
        <f t="shared" si="6"/>
        <v>2564</v>
      </c>
      <c r="J132" s="2">
        <f t="shared" si="7"/>
        <v>1765</v>
      </c>
      <c r="K132" s="2">
        <f t="shared" si="8"/>
        <v>1365</v>
      </c>
      <c r="L132" s="2">
        <f t="shared" si="9"/>
        <v>1125</v>
      </c>
      <c r="M132" s="2">
        <f t="shared" si="10"/>
        <v>965</v>
      </c>
      <c r="N132" s="2">
        <f t="shared" si="11"/>
        <v>766</v>
      </c>
      <c r="O132" s="2">
        <f t="shared" si="12"/>
        <v>3750</v>
      </c>
      <c r="P132" s="2">
        <f t="shared" si="13"/>
        <v>11249</v>
      </c>
      <c r="Q132" s="2">
        <f t="shared" si="14"/>
        <v>12699</v>
      </c>
      <c r="R132" s="2">
        <f t="shared" si="15"/>
        <v>2421</v>
      </c>
      <c r="S132" s="2">
        <f t="shared" si="16"/>
        <v>1667</v>
      </c>
      <c r="T132" s="2">
        <f t="shared" si="17"/>
        <v>1289</v>
      </c>
      <c r="U132" s="2">
        <f t="shared" si="18"/>
        <v>1063</v>
      </c>
      <c r="V132" s="2">
        <f t="shared" si="19"/>
        <v>912</v>
      </c>
      <c r="W132" s="2">
        <f t="shared" si="20"/>
        <v>723</v>
      </c>
      <c r="X132" s="2">
        <f t="shared" si="21"/>
        <v>4500</v>
      </c>
      <c r="Y132" s="2">
        <f t="shared" si="22"/>
        <v>10499</v>
      </c>
      <c r="Z132" s="2">
        <f t="shared" si="23"/>
        <v>11949</v>
      </c>
      <c r="AA132" s="2">
        <f t="shared" si="24"/>
        <v>2278</v>
      </c>
      <c r="AB132" s="2">
        <f t="shared" si="25"/>
        <v>1568</v>
      </c>
      <c r="AC132" s="2">
        <f t="shared" si="26"/>
        <v>1213</v>
      </c>
      <c r="AD132" s="2">
        <f t="shared" si="27"/>
        <v>1000</v>
      </c>
      <c r="AE132" s="2">
        <f t="shared" si="28"/>
        <v>858</v>
      </c>
      <c r="AF132" s="2">
        <f t="shared" si="29"/>
        <v>680</v>
      </c>
      <c r="AG132" s="2">
        <f t="shared" si="30"/>
        <v>5250</v>
      </c>
      <c r="AH132" s="2">
        <f t="shared" si="31"/>
        <v>9749</v>
      </c>
      <c r="AI132" s="2">
        <f t="shared" si="32"/>
        <v>11199</v>
      </c>
      <c r="AJ132" s="2">
        <f t="shared" si="33"/>
        <v>2135</v>
      </c>
      <c r="AK132" s="2">
        <f t="shared" si="34"/>
        <v>1470</v>
      </c>
      <c r="AL132" s="2">
        <f t="shared" si="35"/>
        <v>1137</v>
      </c>
      <c r="AM132" s="2">
        <f t="shared" si="36"/>
        <v>937</v>
      </c>
      <c r="AN132" s="2">
        <f t="shared" si="37"/>
        <v>804</v>
      </c>
      <c r="AO132" s="2">
        <f t="shared" si="38"/>
        <v>638</v>
      </c>
      <c r="AP132" s="2">
        <f t="shared" si="39"/>
        <v>6000</v>
      </c>
      <c r="AQ132" s="2">
        <f t="shared" si="40"/>
        <v>8999</v>
      </c>
      <c r="AR132" s="2">
        <f t="shared" si="41"/>
        <v>10449</v>
      </c>
      <c r="AS132" s="2">
        <f t="shared" si="42"/>
        <v>1992</v>
      </c>
      <c r="AT132" s="2">
        <f t="shared" si="43"/>
        <v>1371</v>
      </c>
      <c r="AU132" s="2">
        <f t="shared" si="44"/>
        <v>1061</v>
      </c>
      <c r="AV132" s="2">
        <f t="shared" si="45"/>
        <v>874</v>
      </c>
      <c r="AW132" s="2">
        <f t="shared" si="46"/>
        <v>750</v>
      </c>
      <c r="AX132" s="2">
        <f t="shared" si="47"/>
        <v>595</v>
      </c>
    </row>
    <row r="133" ht="14.25" customHeight="1">
      <c r="A133" s="2" t="str">
        <f t="array" ref="A133">IFERROR(INDEX('Product Price'!A:A,SMALL('Product Price'!$D:$D,131)),"")</f>
        <v>TECNO POVA8 Pro 5G 12/256 GB</v>
      </c>
      <c r="B133" s="2">
        <f t="array" ref="B133">IFERROR(INDEX('Product Price'!B:B,SMALL('Product Price'!$D:$D,131)),"")</f>
        <v>16999</v>
      </c>
      <c r="C133" s="2">
        <f t="array" ref="C133">IFERROR(INDEX('Product Price'!C:C,SMALL('Product Price'!$D:$D,131)),"")</f>
        <v>123</v>
      </c>
      <c r="D133" s="2">
        <f t="shared" si="1"/>
        <v>1450</v>
      </c>
      <c r="E133" s="2">
        <f t="shared" si="2"/>
        <v>18449</v>
      </c>
      <c r="F133" s="2">
        <f t="shared" si="3"/>
        <v>3400</v>
      </c>
      <c r="G133" s="2">
        <f t="shared" si="4"/>
        <v>13599</v>
      </c>
      <c r="H133" s="2">
        <f t="shared" si="5"/>
        <v>15049</v>
      </c>
      <c r="I133" s="2">
        <f t="shared" si="6"/>
        <v>2869</v>
      </c>
      <c r="J133" s="2">
        <f t="shared" si="7"/>
        <v>1975</v>
      </c>
      <c r="K133" s="2">
        <f t="shared" si="8"/>
        <v>1528</v>
      </c>
      <c r="L133" s="2">
        <f t="shared" si="9"/>
        <v>1259</v>
      </c>
      <c r="M133" s="2">
        <f t="shared" si="10"/>
        <v>1080</v>
      </c>
      <c r="N133" s="2">
        <f t="shared" si="11"/>
        <v>857</v>
      </c>
      <c r="O133" s="2">
        <f t="shared" si="12"/>
        <v>4250</v>
      </c>
      <c r="P133" s="2">
        <f t="shared" si="13"/>
        <v>12749</v>
      </c>
      <c r="Q133" s="2">
        <f t="shared" si="14"/>
        <v>14199</v>
      </c>
      <c r="R133" s="2">
        <f t="shared" si="15"/>
        <v>2707</v>
      </c>
      <c r="S133" s="2">
        <f t="shared" si="16"/>
        <v>1863</v>
      </c>
      <c r="T133" s="2">
        <f t="shared" si="17"/>
        <v>1441</v>
      </c>
      <c r="U133" s="2">
        <f t="shared" si="18"/>
        <v>1188</v>
      </c>
      <c r="V133" s="2">
        <f t="shared" si="19"/>
        <v>1019</v>
      </c>
      <c r="W133" s="2">
        <f t="shared" si="20"/>
        <v>808</v>
      </c>
      <c r="X133" s="2">
        <f t="shared" si="21"/>
        <v>5100</v>
      </c>
      <c r="Y133" s="2">
        <f t="shared" si="22"/>
        <v>11899</v>
      </c>
      <c r="Z133" s="2">
        <f t="shared" si="23"/>
        <v>13349</v>
      </c>
      <c r="AA133" s="2">
        <f t="shared" si="24"/>
        <v>2545</v>
      </c>
      <c r="AB133" s="2">
        <f t="shared" si="25"/>
        <v>1752</v>
      </c>
      <c r="AC133" s="2">
        <f t="shared" si="26"/>
        <v>1355</v>
      </c>
      <c r="AD133" s="2">
        <f t="shared" si="27"/>
        <v>1117</v>
      </c>
      <c r="AE133" s="2">
        <f t="shared" si="28"/>
        <v>958</v>
      </c>
      <c r="AF133" s="2">
        <f t="shared" si="29"/>
        <v>760</v>
      </c>
      <c r="AG133" s="2">
        <f t="shared" si="30"/>
        <v>5950</v>
      </c>
      <c r="AH133" s="2">
        <f t="shared" si="31"/>
        <v>11049</v>
      </c>
      <c r="AI133" s="2">
        <f t="shared" si="32"/>
        <v>12499</v>
      </c>
      <c r="AJ133" s="2">
        <f t="shared" si="33"/>
        <v>2383</v>
      </c>
      <c r="AK133" s="2">
        <f t="shared" si="34"/>
        <v>1640</v>
      </c>
      <c r="AL133" s="2">
        <f t="shared" si="35"/>
        <v>1269</v>
      </c>
      <c r="AM133" s="2">
        <f t="shared" si="36"/>
        <v>1046</v>
      </c>
      <c r="AN133" s="2">
        <f t="shared" si="37"/>
        <v>897</v>
      </c>
      <c r="AO133" s="2">
        <f t="shared" si="38"/>
        <v>712</v>
      </c>
      <c r="AP133" s="2">
        <f t="shared" si="39"/>
        <v>6800</v>
      </c>
      <c r="AQ133" s="2">
        <f t="shared" si="40"/>
        <v>10199</v>
      </c>
      <c r="AR133" s="2">
        <f t="shared" si="41"/>
        <v>11649</v>
      </c>
      <c r="AS133" s="2">
        <f t="shared" si="42"/>
        <v>2221</v>
      </c>
      <c r="AT133" s="2">
        <f t="shared" si="43"/>
        <v>1529</v>
      </c>
      <c r="AU133" s="2">
        <f t="shared" si="44"/>
        <v>1183</v>
      </c>
      <c r="AV133" s="2">
        <f t="shared" si="45"/>
        <v>975</v>
      </c>
      <c r="AW133" s="2">
        <f t="shared" si="46"/>
        <v>836</v>
      </c>
      <c r="AX133" s="2">
        <f t="shared" si="47"/>
        <v>663</v>
      </c>
    </row>
    <row r="134" ht="14.25" customHeight="1">
      <c r="A134" s="2" t="str">
        <f t="array" ref="A134">IFERROR(INDEX('Product Price'!A:A,SMALL('Product Price'!$D:$D,132)),"")</f>
        <v>TECNO POVA8 Pro 5G 12/512 GB</v>
      </c>
      <c r="B134" s="2">
        <f t="array" ref="B134">IFERROR(INDEX('Product Price'!B:B,SMALL('Product Price'!$D:$D,132)),"")</f>
        <v>18999</v>
      </c>
      <c r="C134" s="2">
        <f t="array" ref="C134">IFERROR(INDEX('Product Price'!C:C,SMALL('Product Price'!$D:$D,132)),"")</f>
        <v>124</v>
      </c>
      <c r="D134" s="2">
        <f t="shared" si="1"/>
        <v>1450</v>
      </c>
      <c r="E134" s="2">
        <f t="shared" si="2"/>
        <v>20449</v>
      </c>
      <c r="F134" s="2">
        <f t="shared" si="3"/>
        <v>3800</v>
      </c>
      <c r="G134" s="2">
        <f t="shared" si="4"/>
        <v>15199</v>
      </c>
      <c r="H134" s="2">
        <f t="shared" si="5"/>
        <v>16649</v>
      </c>
      <c r="I134" s="2">
        <f t="shared" si="6"/>
        <v>3174</v>
      </c>
      <c r="J134" s="2">
        <f t="shared" si="7"/>
        <v>2185</v>
      </c>
      <c r="K134" s="2">
        <f t="shared" si="8"/>
        <v>1690</v>
      </c>
      <c r="L134" s="2">
        <f t="shared" si="9"/>
        <v>1393</v>
      </c>
      <c r="M134" s="2">
        <f t="shared" si="10"/>
        <v>1195</v>
      </c>
      <c r="N134" s="2">
        <f t="shared" si="11"/>
        <v>948</v>
      </c>
      <c r="O134" s="2">
        <f t="shared" si="12"/>
        <v>4750</v>
      </c>
      <c r="P134" s="2">
        <f t="shared" si="13"/>
        <v>14249</v>
      </c>
      <c r="Q134" s="2">
        <f t="shared" si="14"/>
        <v>15699</v>
      </c>
      <c r="R134" s="2">
        <f t="shared" si="15"/>
        <v>2993</v>
      </c>
      <c r="S134" s="2">
        <f t="shared" si="16"/>
        <v>2060</v>
      </c>
      <c r="T134" s="2">
        <f t="shared" si="17"/>
        <v>1594</v>
      </c>
      <c r="U134" s="2">
        <f t="shared" si="18"/>
        <v>1314</v>
      </c>
      <c r="V134" s="2">
        <f t="shared" si="19"/>
        <v>1127</v>
      </c>
      <c r="W134" s="2">
        <f t="shared" si="20"/>
        <v>894</v>
      </c>
      <c r="X134" s="2">
        <f t="shared" si="21"/>
        <v>5700</v>
      </c>
      <c r="Y134" s="2">
        <f t="shared" si="22"/>
        <v>13299</v>
      </c>
      <c r="Z134" s="2">
        <f t="shared" si="23"/>
        <v>14749</v>
      </c>
      <c r="AA134" s="2">
        <f t="shared" si="24"/>
        <v>2812</v>
      </c>
      <c r="AB134" s="2">
        <f t="shared" si="25"/>
        <v>1935</v>
      </c>
      <c r="AC134" s="2">
        <f t="shared" si="26"/>
        <v>1497</v>
      </c>
      <c r="AD134" s="2">
        <f t="shared" si="27"/>
        <v>1234</v>
      </c>
      <c r="AE134" s="2">
        <f t="shared" si="28"/>
        <v>1059</v>
      </c>
      <c r="AF134" s="2">
        <f t="shared" si="29"/>
        <v>840</v>
      </c>
      <c r="AG134" s="2">
        <f t="shared" si="30"/>
        <v>6650</v>
      </c>
      <c r="AH134" s="2">
        <f t="shared" si="31"/>
        <v>12349</v>
      </c>
      <c r="AI134" s="2">
        <f t="shared" si="32"/>
        <v>13799</v>
      </c>
      <c r="AJ134" s="2">
        <f t="shared" si="33"/>
        <v>2631</v>
      </c>
      <c r="AK134" s="2">
        <f t="shared" si="34"/>
        <v>1811</v>
      </c>
      <c r="AL134" s="2">
        <f t="shared" si="35"/>
        <v>1401</v>
      </c>
      <c r="AM134" s="2">
        <f t="shared" si="36"/>
        <v>1155</v>
      </c>
      <c r="AN134" s="2">
        <f t="shared" si="37"/>
        <v>991</v>
      </c>
      <c r="AO134" s="2">
        <f t="shared" si="38"/>
        <v>786</v>
      </c>
      <c r="AP134" s="2">
        <f t="shared" si="39"/>
        <v>7600</v>
      </c>
      <c r="AQ134" s="2">
        <f t="shared" si="40"/>
        <v>11399</v>
      </c>
      <c r="AR134" s="2">
        <f t="shared" si="41"/>
        <v>12849</v>
      </c>
      <c r="AS134" s="2">
        <f t="shared" si="42"/>
        <v>2450</v>
      </c>
      <c r="AT134" s="2">
        <f t="shared" si="43"/>
        <v>1686</v>
      </c>
      <c r="AU134" s="2">
        <f t="shared" si="44"/>
        <v>1304</v>
      </c>
      <c r="AV134" s="2">
        <f t="shared" si="45"/>
        <v>1075</v>
      </c>
      <c r="AW134" s="2">
        <f t="shared" si="46"/>
        <v>922</v>
      </c>
      <c r="AX134" s="2">
        <f t="shared" si="47"/>
        <v>731</v>
      </c>
    </row>
    <row r="135" ht="14.25" customHeight="1">
      <c r="A135" s="2" t="str">
        <f t="array" ref="A135">IFERROR(INDEX('Product Price'!A:A,SMALL('Product Price'!$D:$D,133)),"")</f>
        <v>TECNO POVA8 5G 6/128 GB</v>
      </c>
      <c r="B135" s="2">
        <f t="array" ref="B135">IFERROR(INDEX('Product Price'!B:B,SMALL('Product Price'!$D:$D,133)),"")</f>
        <v>9999</v>
      </c>
      <c r="C135" s="2">
        <f t="array" ref="C135">IFERROR(INDEX('Product Price'!C:C,SMALL('Product Price'!$D:$D,133)),"")</f>
        <v>125</v>
      </c>
      <c r="D135" s="2">
        <f t="shared" si="1"/>
        <v>795</v>
      </c>
      <c r="E135" s="2">
        <f t="shared" si="2"/>
        <v>10794</v>
      </c>
      <c r="F135" s="2">
        <f t="shared" si="3"/>
        <v>2000</v>
      </c>
      <c r="G135" s="2">
        <f t="shared" si="4"/>
        <v>7999</v>
      </c>
      <c r="H135" s="2">
        <f t="shared" si="5"/>
        <v>8794</v>
      </c>
      <c r="I135" s="2">
        <f t="shared" si="6"/>
        <v>1677</v>
      </c>
      <c r="J135" s="2">
        <f t="shared" si="7"/>
        <v>1154</v>
      </c>
      <c r="K135" s="2">
        <f t="shared" si="8"/>
        <v>893</v>
      </c>
      <c r="L135" s="2">
        <f t="shared" si="9"/>
        <v>736</v>
      </c>
      <c r="M135" s="2">
        <f t="shared" si="10"/>
        <v>631</v>
      </c>
      <c r="N135" s="2">
        <f t="shared" si="11"/>
        <v>501</v>
      </c>
      <c r="O135" s="2">
        <f t="shared" si="12"/>
        <v>2500</v>
      </c>
      <c r="P135" s="2">
        <f t="shared" si="13"/>
        <v>7499</v>
      </c>
      <c r="Q135" s="2">
        <f t="shared" si="14"/>
        <v>8294</v>
      </c>
      <c r="R135" s="2">
        <f t="shared" si="15"/>
        <v>1582</v>
      </c>
      <c r="S135" s="2">
        <f t="shared" si="16"/>
        <v>1089</v>
      </c>
      <c r="T135" s="2">
        <f t="shared" si="17"/>
        <v>842</v>
      </c>
      <c r="U135" s="2">
        <f t="shared" si="18"/>
        <v>694</v>
      </c>
      <c r="V135" s="2">
        <f t="shared" si="19"/>
        <v>596</v>
      </c>
      <c r="W135" s="2">
        <f t="shared" si="20"/>
        <v>472</v>
      </c>
      <c r="X135" s="2">
        <f t="shared" si="21"/>
        <v>3000</v>
      </c>
      <c r="Y135" s="2">
        <f t="shared" si="22"/>
        <v>6999</v>
      </c>
      <c r="Z135" s="2">
        <f t="shared" si="23"/>
        <v>7794</v>
      </c>
      <c r="AA135" s="2">
        <f t="shared" si="24"/>
        <v>1486</v>
      </c>
      <c r="AB135" s="2">
        <f t="shared" si="25"/>
        <v>1023</v>
      </c>
      <c r="AC135" s="2">
        <f t="shared" si="26"/>
        <v>791</v>
      </c>
      <c r="AD135" s="2">
        <f t="shared" si="27"/>
        <v>652</v>
      </c>
      <c r="AE135" s="2">
        <f t="shared" si="28"/>
        <v>560</v>
      </c>
      <c r="AF135" s="2">
        <f t="shared" si="29"/>
        <v>444</v>
      </c>
      <c r="AG135" s="2">
        <f t="shared" si="30"/>
        <v>3500</v>
      </c>
      <c r="AH135" s="2">
        <f t="shared" si="31"/>
        <v>6499</v>
      </c>
      <c r="AI135" s="2">
        <f t="shared" si="32"/>
        <v>7294</v>
      </c>
      <c r="AJ135" s="2">
        <f t="shared" si="33"/>
        <v>1391</v>
      </c>
      <c r="AK135" s="2">
        <f t="shared" si="34"/>
        <v>957</v>
      </c>
      <c r="AL135" s="2">
        <f t="shared" si="35"/>
        <v>741</v>
      </c>
      <c r="AM135" s="2">
        <f t="shared" si="36"/>
        <v>611</v>
      </c>
      <c r="AN135" s="2">
        <f t="shared" si="37"/>
        <v>524</v>
      </c>
      <c r="AO135" s="2">
        <f t="shared" si="38"/>
        <v>415</v>
      </c>
      <c r="AP135" s="2">
        <f t="shared" si="39"/>
        <v>4000</v>
      </c>
      <c r="AQ135" s="2">
        <f t="shared" si="40"/>
        <v>5999</v>
      </c>
      <c r="AR135" s="2">
        <f t="shared" si="41"/>
        <v>6794</v>
      </c>
      <c r="AS135" s="2">
        <f t="shared" si="42"/>
        <v>1296</v>
      </c>
      <c r="AT135" s="2">
        <f t="shared" si="43"/>
        <v>892</v>
      </c>
      <c r="AU135" s="2">
        <f t="shared" si="44"/>
        <v>690</v>
      </c>
      <c r="AV135" s="2">
        <f t="shared" si="45"/>
        <v>569</v>
      </c>
      <c r="AW135" s="2">
        <f t="shared" si="46"/>
        <v>488</v>
      </c>
      <c r="AX135" s="2" t="str">
        <f t="shared" si="47"/>
        <v>-</v>
      </c>
    </row>
    <row r="136" ht="14.25" customHeight="1">
      <c r="A136" s="2" t="str">
        <f t="array" ref="A136">IFERROR(INDEX('Product Price'!A:A,SMALL('Product Price'!$D:$D,134)),"")</f>
        <v>TECNO POVA8 5G 8/128 GB</v>
      </c>
      <c r="B136" s="2">
        <f t="array" ref="B136">IFERROR(INDEX('Product Price'!B:B,SMALL('Product Price'!$D:$D,134)),"")</f>
        <v>10999</v>
      </c>
      <c r="C136" s="2">
        <f t="array" ref="C136">IFERROR(INDEX('Product Price'!C:C,SMALL('Product Price'!$D:$D,134)),"")</f>
        <v>126</v>
      </c>
      <c r="D136" s="2">
        <f t="shared" si="1"/>
        <v>1450</v>
      </c>
      <c r="E136" s="2">
        <f t="shared" si="2"/>
        <v>12449</v>
      </c>
      <c r="F136" s="2">
        <f t="shared" si="3"/>
        <v>2200</v>
      </c>
      <c r="G136" s="2">
        <f t="shared" si="4"/>
        <v>8799</v>
      </c>
      <c r="H136" s="2">
        <f t="shared" si="5"/>
        <v>10249</v>
      </c>
      <c r="I136" s="2">
        <f t="shared" si="6"/>
        <v>1954</v>
      </c>
      <c r="J136" s="2">
        <f t="shared" si="7"/>
        <v>1345</v>
      </c>
      <c r="K136" s="2">
        <f t="shared" si="8"/>
        <v>1040</v>
      </c>
      <c r="L136" s="2">
        <f t="shared" si="9"/>
        <v>858</v>
      </c>
      <c r="M136" s="2">
        <f t="shared" si="10"/>
        <v>736</v>
      </c>
      <c r="N136" s="2">
        <f t="shared" si="11"/>
        <v>584</v>
      </c>
      <c r="O136" s="2">
        <f t="shared" si="12"/>
        <v>2750</v>
      </c>
      <c r="P136" s="2">
        <f t="shared" si="13"/>
        <v>8249</v>
      </c>
      <c r="Q136" s="2">
        <f t="shared" si="14"/>
        <v>9699</v>
      </c>
      <c r="R136" s="2">
        <f t="shared" si="15"/>
        <v>1850</v>
      </c>
      <c r="S136" s="2">
        <f t="shared" si="16"/>
        <v>1273</v>
      </c>
      <c r="T136" s="2">
        <f t="shared" si="17"/>
        <v>985</v>
      </c>
      <c r="U136" s="2">
        <f t="shared" si="18"/>
        <v>812</v>
      </c>
      <c r="V136" s="2">
        <f t="shared" si="19"/>
        <v>696</v>
      </c>
      <c r="W136" s="2">
        <f t="shared" si="20"/>
        <v>552</v>
      </c>
      <c r="X136" s="2">
        <f t="shared" si="21"/>
        <v>3300</v>
      </c>
      <c r="Y136" s="2">
        <f t="shared" si="22"/>
        <v>7699</v>
      </c>
      <c r="Z136" s="2">
        <f t="shared" si="23"/>
        <v>9149</v>
      </c>
      <c r="AA136" s="2">
        <f t="shared" si="24"/>
        <v>1745</v>
      </c>
      <c r="AB136" s="2">
        <f t="shared" si="25"/>
        <v>1201</v>
      </c>
      <c r="AC136" s="2">
        <f t="shared" si="26"/>
        <v>929</v>
      </c>
      <c r="AD136" s="2">
        <f t="shared" si="27"/>
        <v>766</v>
      </c>
      <c r="AE136" s="2">
        <f t="shared" si="28"/>
        <v>657</v>
      </c>
      <c r="AF136" s="2">
        <f t="shared" si="29"/>
        <v>521</v>
      </c>
      <c r="AG136" s="2">
        <f t="shared" si="30"/>
        <v>3850</v>
      </c>
      <c r="AH136" s="2">
        <f t="shared" si="31"/>
        <v>7149</v>
      </c>
      <c r="AI136" s="2">
        <f t="shared" si="32"/>
        <v>8599</v>
      </c>
      <c r="AJ136" s="2">
        <f t="shared" si="33"/>
        <v>1640</v>
      </c>
      <c r="AK136" s="2">
        <f t="shared" si="34"/>
        <v>1129</v>
      </c>
      <c r="AL136" s="2">
        <f t="shared" si="35"/>
        <v>873</v>
      </c>
      <c r="AM136" s="2">
        <f t="shared" si="36"/>
        <v>720</v>
      </c>
      <c r="AN136" s="2">
        <f t="shared" si="37"/>
        <v>617</v>
      </c>
      <c r="AO136" s="2">
        <f t="shared" si="38"/>
        <v>490</v>
      </c>
      <c r="AP136" s="2">
        <f t="shared" si="39"/>
        <v>4400</v>
      </c>
      <c r="AQ136" s="2">
        <f t="shared" si="40"/>
        <v>6599</v>
      </c>
      <c r="AR136" s="2">
        <f t="shared" si="41"/>
        <v>8049</v>
      </c>
      <c r="AS136" s="2">
        <f t="shared" si="42"/>
        <v>1535</v>
      </c>
      <c r="AT136" s="2">
        <f t="shared" si="43"/>
        <v>1056</v>
      </c>
      <c r="AU136" s="2">
        <f t="shared" si="44"/>
        <v>817</v>
      </c>
      <c r="AV136" s="2">
        <f t="shared" si="45"/>
        <v>674</v>
      </c>
      <c r="AW136" s="2">
        <f t="shared" si="46"/>
        <v>578</v>
      </c>
      <c r="AX136" s="2">
        <f t="shared" si="47"/>
        <v>458</v>
      </c>
    </row>
    <row r="137" ht="14.25" customHeight="1">
      <c r="A137" s="2" t="str">
        <f t="array" ref="A137">IFERROR(INDEX('Product Price'!A:A,SMALL('Product Price'!$D:$D,135)),"")</f>
        <v>TECNO POVA8 5G 8/256 GB</v>
      </c>
      <c r="B137" s="2">
        <f t="array" ref="B137">IFERROR(INDEX('Product Price'!B:B,SMALL('Product Price'!$D:$D,135)),"")</f>
        <v>11999</v>
      </c>
      <c r="C137" s="2">
        <f t="array" ref="C137">IFERROR(INDEX('Product Price'!C:C,SMALL('Product Price'!$D:$D,135)),"")</f>
        <v>127</v>
      </c>
      <c r="D137" s="2">
        <f t="shared" si="1"/>
        <v>1450</v>
      </c>
      <c r="E137" s="2">
        <f t="shared" si="2"/>
        <v>13449</v>
      </c>
      <c r="F137" s="2">
        <f t="shared" si="3"/>
        <v>2400</v>
      </c>
      <c r="G137" s="2">
        <f t="shared" si="4"/>
        <v>9599</v>
      </c>
      <c r="H137" s="2">
        <f t="shared" si="5"/>
        <v>11049</v>
      </c>
      <c r="I137" s="2">
        <f t="shared" si="6"/>
        <v>2107</v>
      </c>
      <c r="J137" s="2">
        <f t="shared" si="7"/>
        <v>1450</v>
      </c>
      <c r="K137" s="2">
        <f t="shared" si="8"/>
        <v>1122</v>
      </c>
      <c r="L137" s="2">
        <f t="shared" si="9"/>
        <v>925</v>
      </c>
      <c r="M137" s="2">
        <f t="shared" si="10"/>
        <v>793</v>
      </c>
      <c r="N137" s="2">
        <f t="shared" si="11"/>
        <v>629</v>
      </c>
      <c r="O137" s="2">
        <f t="shared" si="12"/>
        <v>3000</v>
      </c>
      <c r="P137" s="2">
        <f t="shared" si="13"/>
        <v>8999</v>
      </c>
      <c r="Q137" s="2">
        <f t="shared" si="14"/>
        <v>10449</v>
      </c>
      <c r="R137" s="2">
        <f t="shared" si="15"/>
        <v>1992</v>
      </c>
      <c r="S137" s="2">
        <f t="shared" si="16"/>
        <v>1371</v>
      </c>
      <c r="T137" s="2">
        <f t="shared" si="17"/>
        <v>1061</v>
      </c>
      <c r="U137" s="2">
        <f t="shared" si="18"/>
        <v>874</v>
      </c>
      <c r="V137" s="2">
        <f t="shared" si="19"/>
        <v>750</v>
      </c>
      <c r="W137" s="2">
        <f t="shared" si="20"/>
        <v>595</v>
      </c>
      <c r="X137" s="2">
        <f t="shared" si="21"/>
        <v>3600</v>
      </c>
      <c r="Y137" s="2">
        <f t="shared" si="22"/>
        <v>8399</v>
      </c>
      <c r="Z137" s="2">
        <f t="shared" si="23"/>
        <v>9849</v>
      </c>
      <c r="AA137" s="2">
        <f t="shared" si="24"/>
        <v>1878</v>
      </c>
      <c r="AB137" s="2">
        <f t="shared" si="25"/>
        <v>1293</v>
      </c>
      <c r="AC137" s="2">
        <f t="shared" si="26"/>
        <v>1000</v>
      </c>
      <c r="AD137" s="2">
        <f t="shared" si="27"/>
        <v>824</v>
      </c>
      <c r="AE137" s="2">
        <f t="shared" si="28"/>
        <v>707</v>
      </c>
      <c r="AF137" s="2">
        <f t="shared" si="29"/>
        <v>561</v>
      </c>
      <c r="AG137" s="2">
        <f t="shared" si="30"/>
        <v>4200</v>
      </c>
      <c r="AH137" s="2">
        <f t="shared" si="31"/>
        <v>7799</v>
      </c>
      <c r="AI137" s="2">
        <f t="shared" si="32"/>
        <v>9249</v>
      </c>
      <c r="AJ137" s="2">
        <f t="shared" si="33"/>
        <v>1764</v>
      </c>
      <c r="AK137" s="2">
        <f t="shared" si="34"/>
        <v>1214</v>
      </c>
      <c r="AL137" s="2">
        <f t="shared" si="35"/>
        <v>939</v>
      </c>
      <c r="AM137" s="2">
        <f t="shared" si="36"/>
        <v>774</v>
      </c>
      <c r="AN137" s="2">
        <f t="shared" si="37"/>
        <v>664</v>
      </c>
      <c r="AO137" s="2">
        <f t="shared" si="38"/>
        <v>527</v>
      </c>
      <c r="AP137" s="2">
        <f t="shared" si="39"/>
        <v>4800</v>
      </c>
      <c r="AQ137" s="2">
        <f t="shared" si="40"/>
        <v>7199</v>
      </c>
      <c r="AR137" s="2">
        <f t="shared" si="41"/>
        <v>8649</v>
      </c>
      <c r="AS137" s="2">
        <f t="shared" si="42"/>
        <v>1649</v>
      </c>
      <c r="AT137" s="2">
        <f t="shared" si="43"/>
        <v>1135</v>
      </c>
      <c r="AU137" s="2">
        <f t="shared" si="44"/>
        <v>878</v>
      </c>
      <c r="AV137" s="2">
        <f t="shared" si="45"/>
        <v>724</v>
      </c>
      <c r="AW137" s="2">
        <f t="shared" si="46"/>
        <v>621</v>
      </c>
      <c r="AX137" s="2">
        <f t="shared" si="47"/>
        <v>493</v>
      </c>
    </row>
    <row r="138" ht="14.25" customHeight="1">
      <c r="A138" s="2" t="str">
        <f t="array" ref="A138">IFERROR(INDEX('Product Price'!A:A,SMALL('Product Price'!$D:$D,136)),"")</f>
        <v>TECNO POVA7 Ultra 5G 12/256 GB</v>
      </c>
      <c r="B138" s="2">
        <f t="array" ref="B138">IFERROR(INDEX('Product Price'!B:B,SMALL('Product Price'!$D:$D,136)),"")</f>
        <v>13999</v>
      </c>
      <c r="C138" s="2">
        <f t="array" ref="C138">IFERROR(INDEX('Product Price'!C:C,SMALL('Product Price'!$D:$D,136)),"")</f>
        <v>117</v>
      </c>
      <c r="D138" s="2">
        <f t="shared" si="1"/>
        <v>1450</v>
      </c>
      <c r="E138" s="2">
        <f t="shared" si="2"/>
        <v>15449</v>
      </c>
      <c r="F138" s="2">
        <f t="shared" si="3"/>
        <v>2800</v>
      </c>
      <c r="G138" s="2">
        <f t="shared" si="4"/>
        <v>11199</v>
      </c>
      <c r="H138" s="2">
        <f t="shared" si="5"/>
        <v>12649</v>
      </c>
      <c r="I138" s="2">
        <f t="shared" si="6"/>
        <v>2412</v>
      </c>
      <c r="J138" s="2">
        <f t="shared" si="7"/>
        <v>1660</v>
      </c>
      <c r="K138" s="2">
        <f t="shared" si="8"/>
        <v>1284</v>
      </c>
      <c r="L138" s="2">
        <f t="shared" si="9"/>
        <v>1058</v>
      </c>
      <c r="M138" s="2">
        <f t="shared" si="10"/>
        <v>908</v>
      </c>
      <c r="N138" s="2">
        <f t="shared" si="11"/>
        <v>720</v>
      </c>
      <c r="O138" s="2">
        <f t="shared" si="12"/>
        <v>3500</v>
      </c>
      <c r="P138" s="2">
        <f t="shared" si="13"/>
        <v>10499</v>
      </c>
      <c r="Q138" s="2">
        <f t="shared" si="14"/>
        <v>11949</v>
      </c>
      <c r="R138" s="2">
        <f t="shared" si="15"/>
        <v>2278</v>
      </c>
      <c r="S138" s="2">
        <f t="shared" si="16"/>
        <v>1568</v>
      </c>
      <c r="T138" s="2">
        <f t="shared" si="17"/>
        <v>1213</v>
      </c>
      <c r="U138" s="2">
        <f t="shared" si="18"/>
        <v>1000</v>
      </c>
      <c r="V138" s="2">
        <f t="shared" si="19"/>
        <v>858</v>
      </c>
      <c r="W138" s="2">
        <f t="shared" si="20"/>
        <v>680</v>
      </c>
      <c r="X138" s="2">
        <f t="shared" si="21"/>
        <v>4200</v>
      </c>
      <c r="Y138" s="2">
        <f t="shared" si="22"/>
        <v>9799</v>
      </c>
      <c r="Z138" s="2">
        <f t="shared" si="23"/>
        <v>11249</v>
      </c>
      <c r="AA138" s="2">
        <f t="shared" si="24"/>
        <v>2145</v>
      </c>
      <c r="AB138" s="2">
        <f t="shared" si="25"/>
        <v>1476</v>
      </c>
      <c r="AC138" s="2">
        <f t="shared" si="26"/>
        <v>1142</v>
      </c>
      <c r="AD138" s="2">
        <f t="shared" si="27"/>
        <v>941</v>
      </c>
      <c r="AE138" s="2">
        <f t="shared" si="28"/>
        <v>808</v>
      </c>
      <c r="AF138" s="2">
        <f t="shared" si="29"/>
        <v>640</v>
      </c>
      <c r="AG138" s="2">
        <f t="shared" si="30"/>
        <v>4900</v>
      </c>
      <c r="AH138" s="2">
        <f t="shared" si="31"/>
        <v>9099</v>
      </c>
      <c r="AI138" s="2">
        <f t="shared" si="32"/>
        <v>10549</v>
      </c>
      <c r="AJ138" s="2">
        <f t="shared" si="33"/>
        <v>2012</v>
      </c>
      <c r="AK138" s="2">
        <f t="shared" si="34"/>
        <v>1384</v>
      </c>
      <c r="AL138" s="2">
        <f t="shared" si="35"/>
        <v>1071</v>
      </c>
      <c r="AM138" s="2">
        <f t="shared" si="36"/>
        <v>883</v>
      </c>
      <c r="AN138" s="2">
        <f t="shared" si="37"/>
        <v>757</v>
      </c>
      <c r="AO138" s="2">
        <f t="shared" si="38"/>
        <v>601</v>
      </c>
      <c r="AP138" s="2">
        <f t="shared" si="39"/>
        <v>5600</v>
      </c>
      <c r="AQ138" s="2">
        <f t="shared" si="40"/>
        <v>8399</v>
      </c>
      <c r="AR138" s="2">
        <f t="shared" si="41"/>
        <v>9849</v>
      </c>
      <c r="AS138" s="2">
        <f t="shared" si="42"/>
        <v>1878</v>
      </c>
      <c r="AT138" s="2">
        <f t="shared" si="43"/>
        <v>1293</v>
      </c>
      <c r="AU138" s="2">
        <f t="shared" si="44"/>
        <v>1000</v>
      </c>
      <c r="AV138" s="2">
        <f t="shared" si="45"/>
        <v>824</v>
      </c>
      <c r="AW138" s="2">
        <f t="shared" si="46"/>
        <v>707</v>
      </c>
      <c r="AX138" s="2">
        <f t="shared" si="47"/>
        <v>561</v>
      </c>
    </row>
    <row r="139" ht="14.25" customHeight="1">
      <c r="A139" s="2" t="str">
        <f t="array" ref="A139">IFERROR(INDEX('Product Price'!A:A,SMALL('Product Price'!$D:$D,137)),"")</f>
        <v>TECNO POVA7 5G 8/256 GB</v>
      </c>
      <c r="B139" s="2">
        <f t="array" ref="B139">IFERROR(INDEX('Product Price'!B:B,SMALL('Product Price'!$D:$D,137)),"")</f>
        <v>7999</v>
      </c>
      <c r="C139" s="2">
        <f t="array" ref="C139">IFERROR(INDEX('Product Price'!C:C,SMALL('Product Price'!$D:$D,137)),"")</f>
        <v>118</v>
      </c>
      <c r="D139" s="2">
        <f t="shared" si="1"/>
        <v>795</v>
      </c>
      <c r="E139" s="2">
        <f t="shared" si="2"/>
        <v>8794</v>
      </c>
      <c r="F139" s="2">
        <f t="shared" si="3"/>
        <v>1600</v>
      </c>
      <c r="G139" s="2">
        <f t="shared" si="4"/>
        <v>6399</v>
      </c>
      <c r="H139" s="2">
        <f t="shared" si="5"/>
        <v>7194</v>
      </c>
      <c r="I139" s="2">
        <f t="shared" si="6"/>
        <v>1372</v>
      </c>
      <c r="J139" s="2">
        <f t="shared" si="7"/>
        <v>944</v>
      </c>
      <c r="K139" s="2">
        <f t="shared" si="8"/>
        <v>730</v>
      </c>
      <c r="L139" s="2">
        <f t="shared" si="9"/>
        <v>602</v>
      </c>
      <c r="M139" s="2">
        <f t="shared" si="10"/>
        <v>517</v>
      </c>
      <c r="N139" s="2">
        <f t="shared" si="11"/>
        <v>410</v>
      </c>
      <c r="O139" s="2">
        <f t="shared" si="12"/>
        <v>2000</v>
      </c>
      <c r="P139" s="2">
        <f t="shared" si="13"/>
        <v>5999</v>
      </c>
      <c r="Q139" s="2">
        <f t="shared" si="14"/>
        <v>6794</v>
      </c>
      <c r="R139" s="2">
        <f t="shared" si="15"/>
        <v>1296</v>
      </c>
      <c r="S139" s="2">
        <f t="shared" si="16"/>
        <v>892</v>
      </c>
      <c r="T139" s="2">
        <f t="shared" si="17"/>
        <v>690</v>
      </c>
      <c r="U139" s="2">
        <f t="shared" si="18"/>
        <v>569</v>
      </c>
      <c r="V139" s="2">
        <f t="shared" si="19"/>
        <v>488</v>
      </c>
      <c r="W139" s="2" t="str">
        <f t="shared" si="20"/>
        <v>-</v>
      </c>
      <c r="X139" s="2">
        <f t="shared" si="21"/>
        <v>2400</v>
      </c>
      <c r="Y139" s="2">
        <f t="shared" si="22"/>
        <v>5599</v>
      </c>
      <c r="Z139" s="2">
        <f t="shared" si="23"/>
        <v>6394</v>
      </c>
      <c r="AA139" s="2">
        <f t="shared" si="24"/>
        <v>1219</v>
      </c>
      <c r="AB139" s="2">
        <f t="shared" si="25"/>
        <v>839</v>
      </c>
      <c r="AC139" s="2">
        <f t="shared" si="26"/>
        <v>649</v>
      </c>
      <c r="AD139" s="2">
        <f t="shared" si="27"/>
        <v>535</v>
      </c>
      <c r="AE139" s="2">
        <f t="shared" si="28"/>
        <v>459</v>
      </c>
      <c r="AF139" s="2" t="str">
        <f t="shared" si="29"/>
        <v>-</v>
      </c>
      <c r="AG139" s="2">
        <f t="shared" si="30"/>
        <v>2800</v>
      </c>
      <c r="AH139" s="2">
        <f t="shared" si="31"/>
        <v>5199</v>
      </c>
      <c r="AI139" s="2">
        <f t="shared" si="32"/>
        <v>5994</v>
      </c>
      <c r="AJ139" s="2">
        <f t="shared" si="33"/>
        <v>1143</v>
      </c>
      <c r="AK139" s="2">
        <f t="shared" si="34"/>
        <v>787</v>
      </c>
      <c r="AL139" s="2">
        <f t="shared" si="35"/>
        <v>609</v>
      </c>
      <c r="AM139" s="2">
        <f t="shared" si="36"/>
        <v>502</v>
      </c>
      <c r="AN139" s="2">
        <f t="shared" si="37"/>
        <v>431</v>
      </c>
      <c r="AO139" s="2" t="str">
        <f t="shared" si="38"/>
        <v>-</v>
      </c>
      <c r="AP139" s="2">
        <f t="shared" si="39"/>
        <v>3200</v>
      </c>
      <c r="AQ139" s="2">
        <f t="shared" si="40"/>
        <v>4799</v>
      </c>
      <c r="AR139" s="2">
        <f t="shared" si="41"/>
        <v>5594</v>
      </c>
      <c r="AS139" s="2">
        <f t="shared" si="42"/>
        <v>1067</v>
      </c>
      <c r="AT139" s="2">
        <f t="shared" si="43"/>
        <v>734</v>
      </c>
      <c r="AU139" s="2">
        <f t="shared" si="44"/>
        <v>568</v>
      </c>
      <c r="AV139" s="2">
        <f t="shared" si="45"/>
        <v>468</v>
      </c>
      <c r="AW139" s="2">
        <f t="shared" si="46"/>
        <v>402</v>
      </c>
      <c r="AX139" s="2" t="str">
        <f t="shared" si="47"/>
        <v>-</v>
      </c>
    </row>
    <row r="140" ht="14.25" customHeight="1">
      <c r="A140" s="2" t="str">
        <f t="array" ref="A140">IFERROR(INDEX('Product Price'!A:A,SMALL('Product Price'!$D:$D,138)),"")</f>
        <v>TECNO SLIM 5G 8/256 GB</v>
      </c>
      <c r="B140" s="2">
        <f t="array" ref="B140">IFERROR(INDEX('Product Price'!B:B,SMALL('Product Price'!$D:$D,138)),"")</f>
        <v>8999</v>
      </c>
      <c r="C140" s="2">
        <f t="array" ref="C140">IFERROR(INDEX('Product Price'!C:C,SMALL('Product Price'!$D:$D,138)),"")</f>
        <v>119</v>
      </c>
      <c r="D140" s="2">
        <f t="shared" si="1"/>
        <v>795</v>
      </c>
      <c r="E140" s="2">
        <f t="shared" si="2"/>
        <v>9794</v>
      </c>
      <c r="F140" s="2">
        <f t="shared" si="3"/>
        <v>1800</v>
      </c>
      <c r="G140" s="2">
        <f t="shared" si="4"/>
        <v>7199</v>
      </c>
      <c r="H140" s="2">
        <f t="shared" si="5"/>
        <v>7994</v>
      </c>
      <c r="I140" s="2">
        <f t="shared" si="6"/>
        <v>1524</v>
      </c>
      <c r="J140" s="2">
        <f t="shared" si="7"/>
        <v>1049</v>
      </c>
      <c r="K140" s="2">
        <f t="shared" si="8"/>
        <v>812</v>
      </c>
      <c r="L140" s="2">
        <f t="shared" si="9"/>
        <v>669</v>
      </c>
      <c r="M140" s="2">
        <f t="shared" si="10"/>
        <v>574</v>
      </c>
      <c r="N140" s="2">
        <f t="shared" si="11"/>
        <v>455</v>
      </c>
      <c r="O140" s="2">
        <f t="shared" si="12"/>
        <v>2250</v>
      </c>
      <c r="P140" s="2">
        <f t="shared" si="13"/>
        <v>6749</v>
      </c>
      <c r="Q140" s="2">
        <f t="shared" si="14"/>
        <v>7544</v>
      </c>
      <c r="R140" s="2">
        <f t="shared" si="15"/>
        <v>1439</v>
      </c>
      <c r="S140" s="2">
        <f t="shared" si="16"/>
        <v>990</v>
      </c>
      <c r="T140" s="2">
        <f t="shared" si="17"/>
        <v>766</v>
      </c>
      <c r="U140" s="2">
        <f t="shared" si="18"/>
        <v>631</v>
      </c>
      <c r="V140" s="2">
        <f t="shared" si="19"/>
        <v>542</v>
      </c>
      <c r="W140" s="2">
        <f t="shared" si="20"/>
        <v>430</v>
      </c>
      <c r="X140" s="2">
        <f t="shared" si="21"/>
        <v>2700</v>
      </c>
      <c r="Y140" s="2">
        <f t="shared" si="22"/>
        <v>6299</v>
      </c>
      <c r="Z140" s="2">
        <f t="shared" si="23"/>
        <v>7094</v>
      </c>
      <c r="AA140" s="2">
        <f t="shared" si="24"/>
        <v>1353</v>
      </c>
      <c r="AB140" s="2">
        <f t="shared" si="25"/>
        <v>931</v>
      </c>
      <c r="AC140" s="2">
        <f t="shared" si="26"/>
        <v>720</v>
      </c>
      <c r="AD140" s="2">
        <f t="shared" si="27"/>
        <v>594</v>
      </c>
      <c r="AE140" s="2">
        <f t="shared" si="28"/>
        <v>509</v>
      </c>
      <c r="AF140" s="2">
        <f t="shared" si="29"/>
        <v>404</v>
      </c>
      <c r="AG140" s="2">
        <f t="shared" si="30"/>
        <v>3150</v>
      </c>
      <c r="AH140" s="2">
        <f t="shared" si="31"/>
        <v>5849</v>
      </c>
      <c r="AI140" s="2">
        <f t="shared" si="32"/>
        <v>6644</v>
      </c>
      <c r="AJ140" s="2">
        <f t="shared" si="33"/>
        <v>1267</v>
      </c>
      <c r="AK140" s="2">
        <f t="shared" si="34"/>
        <v>872</v>
      </c>
      <c r="AL140" s="2">
        <f t="shared" si="35"/>
        <v>675</v>
      </c>
      <c r="AM140" s="2">
        <f t="shared" si="36"/>
        <v>556</v>
      </c>
      <c r="AN140" s="2">
        <f t="shared" si="37"/>
        <v>477</v>
      </c>
      <c r="AO140" s="2" t="str">
        <f t="shared" si="38"/>
        <v>-</v>
      </c>
      <c r="AP140" s="2">
        <f t="shared" si="39"/>
        <v>3600</v>
      </c>
      <c r="AQ140" s="2">
        <f t="shared" si="40"/>
        <v>5399</v>
      </c>
      <c r="AR140" s="2">
        <f t="shared" si="41"/>
        <v>6194</v>
      </c>
      <c r="AS140" s="2">
        <f t="shared" si="42"/>
        <v>1181</v>
      </c>
      <c r="AT140" s="2">
        <f t="shared" si="43"/>
        <v>813</v>
      </c>
      <c r="AU140" s="2">
        <f t="shared" si="44"/>
        <v>629</v>
      </c>
      <c r="AV140" s="2">
        <f t="shared" si="45"/>
        <v>519</v>
      </c>
      <c r="AW140" s="2">
        <f t="shared" si="46"/>
        <v>445</v>
      </c>
      <c r="AX140" s="2" t="str">
        <f t="shared" si="47"/>
        <v>-</v>
      </c>
    </row>
    <row r="141" ht="14.25" customHeight="1">
      <c r="A141" s="2" t="str">
        <f t="array" ref="A141">IFERROR(INDEX('Product Price'!A:A,SMALL('Product Price'!$D:$D,139)),"")</f>
        <v>TECNO SPARK 50 5G 4/128 GB</v>
      </c>
      <c r="B141" s="2">
        <f t="array" ref="B141">IFERROR(INDEX('Product Price'!B:B,SMALL('Product Price'!$D:$D,139)),"")</f>
        <v>6999</v>
      </c>
      <c r="C141" s="2">
        <f t="array" ref="C141">IFERROR(INDEX('Product Price'!C:C,SMALL('Product Price'!$D:$D,139)),"")</f>
        <v>120</v>
      </c>
      <c r="D141" s="2">
        <f t="shared" si="1"/>
        <v>795</v>
      </c>
      <c r="E141" s="2">
        <f t="shared" si="2"/>
        <v>7794</v>
      </c>
      <c r="F141" s="2">
        <f t="shared" si="3"/>
        <v>1400</v>
      </c>
      <c r="G141" s="2">
        <f t="shared" si="4"/>
        <v>5599</v>
      </c>
      <c r="H141" s="2">
        <f t="shared" si="5"/>
        <v>6394</v>
      </c>
      <c r="I141" s="2">
        <f t="shared" si="6"/>
        <v>1219</v>
      </c>
      <c r="J141" s="2">
        <f t="shared" si="7"/>
        <v>839</v>
      </c>
      <c r="K141" s="2">
        <f t="shared" si="8"/>
        <v>649</v>
      </c>
      <c r="L141" s="2">
        <f t="shared" si="9"/>
        <v>535</v>
      </c>
      <c r="M141" s="2">
        <f t="shared" si="10"/>
        <v>459</v>
      </c>
      <c r="N141" s="2" t="str">
        <f t="shared" si="11"/>
        <v>-</v>
      </c>
      <c r="O141" s="2">
        <f t="shared" si="12"/>
        <v>1750</v>
      </c>
      <c r="P141" s="2">
        <f t="shared" si="13"/>
        <v>5249</v>
      </c>
      <c r="Q141" s="2">
        <f t="shared" si="14"/>
        <v>6044</v>
      </c>
      <c r="R141" s="2">
        <f t="shared" si="15"/>
        <v>1153</v>
      </c>
      <c r="S141" s="2">
        <f t="shared" si="16"/>
        <v>793</v>
      </c>
      <c r="T141" s="2">
        <f t="shared" si="17"/>
        <v>614</v>
      </c>
      <c r="U141" s="2">
        <f t="shared" si="18"/>
        <v>506</v>
      </c>
      <c r="V141" s="2">
        <f t="shared" si="19"/>
        <v>434</v>
      </c>
      <c r="W141" s="2" t="str">
        <f t="shared" si="20"/>
        <v>-</v>
      </c>
      <c r="X141" s="2">
        <f t="shared" si="21"/>
        <v>2100</v>
      </c>
      <c r="Y141" s="2">
        <f t="shared" si="22"/>
        <v>4899</v>
      </c>
      <c r="Z141" s="2">
        <f t="shared" si="23"/>
        <v>5694</v>
      </c>
      <c r="AA141" s="2">
        <f t="shared" si="24"/>
        <v>1086</v>
      </c>
      <c r="AB141" s="2">
        <f t="shared" si="25"/>
        <v>748</v>
      </c>
      <c r="AC141" s="2">
        <f t="shared" si="26"/>
        <v>578</v>
      </c>
      <c r="AD141" s="2">
        <f t="shared" si="27"/>
        <v>477</v>
      </c>
      <c r="AE141" s="2">
        <f t="shared" si="28"/>
        <v>409</v>
      </c>
      <c r="AF141" s="2" t="str">
        <f t="shared" si="29"/>
        <v>-</v>
      </c>
      <c r="AG141" s="2">
        <f t="shared" si="30"/>
        <v>2450</v>
      </c>
      <c r="AH141" s="2">
        <f t="shared" si="31"/>
        <v>4549</v>
      </c>
      <c r="AI141" s="2">
        <f t="shared" si="32"/>
        <v>5344</v>
      </c>
      <c r="AJ141" s="2">
        <f t="shared" si="33"/>
        <v>1019</v>
      </c>
      <c r="AK141" s="2">
        <f t="shared" si="34"/>
        <v>702</v>
      </c>
      <c r="AL141" s="2">
        <f t="shared" si="35"/>
        <v>543</v>
      </c>
      <c r="AM141" s="2">
        <f t="shared" si="36"/>
        <v>447</v>
      </c>
      <c r="AN141" s="2" t="str">
        <f t="shared" si="37"/>
        <v>-</v>
      </c>
      <c r="AO141" s="2" t="str">
        <f t="shared" si="38"/>
        <v>-</v>
      </c>
      <c r="AP141" s="2">
        <f t="shared" si="39"/>
        <v>2800</v>
      </c>
      <c r="AQ141" s="2">
        <f t="shared" si="40"/>
        <v>4199</v>
      </c>
      <c r="AR141" s="2">
        <f t="shared" si="41"/>
        <v>4994</v>
      </c>
      <c r="AS141" s="2">
        <f t="shared" si="42"/>
        <v>953</v>
      </c>
      <c r="AT141" s="2">
        <f t="shared" si="43"/>
        <v>656</v>
      </c>
      <c r="AU141" s="2">
        <f t="shared" si="44"/>
        <v>507</v>
      </c>
      <c r="AV141" s="2">
        <f t="shared" si="45"/>
        <v>418</v>
      </c>
      <c r="AW141" s="2" t="str">
        <f t="shared" si="46"/>
        <v>-</v>
      </c>
      <c r="AX141" s="2" t="str">
        <f t="shared" si="47"/>
        <v>-</v>
      </c>
    </row>
    <row r="142" ht="14.25" customHeight="1">
      <c r="A142" s="2" t="str">
        <f t="array" ref="A142">IFERROR(INDEX('Product Price'!A:A,SMALL('Product Price'!$D:$D,140)),"")</f>
        <v>TECNO SPARK 50 5G 6/128 GB</v>
      </c>
      <c r="B142" s="2">
        <f t="array" ref="B142">IFERROR(INDEX('Product Price'!B:B,SMALL('Product Price'!$D:$D,140)),"")</f>
        <v>7499</v>
      </c>
      <c r="C142" s="2">
        <f t="array" ref="C142">IFERROR(INDEX('Product Price'!C:C,SMALL('Product Price'!$D:$D,140)),"")</f>
        <v>121</v>
      </c>
      <c r="D142" s="2">
        <f t="shared" si="1"/>
        <v>795</v>
      </c>
      <c r="E142" s="2">
        <f t="shared" si="2"/>
        <v>8294</v>
      </c>
      <c r="F142" s="2">
        <f t="shared" si="3"/>
        <v>1500</v>
      </c>
      <c r="G142" s="2">
        <f t="shared" si="4"/>
        <v>5999</v>
      </c>
      <c r="H142" s="2">
        <f t="shared" si="5"/>
        <v>6794</v>
      </c>
      <c r="I142" s="2">
        <f t="shared" si="6"/>
        <v>1296</v>
      </c>
      <c r="J142" s="2">
        <f t="shared" si="7"/>
        <v>892</v>
      </c>
      <c r="K142" s="2">
        <f t="shared" si="8"/>
        <v>690</v>
      </c>
      <c r="L142" s="2">
        <f t="shared" si="9"/>
        <v>569</v>
      </c>
      <c r="M142" s="2">
        <f t="shared" si="10"/>
        <v>488</v>
      </c>
      <c r="N142" s="2" t="str">
        <f t="shared" si="11"/>
        <v>-</v>
      </c>
      <c r="O142" s="2">
        <f t="shared" si="12"/>
        <v>1875</v>
      </c>
      <c r="P142" s="2">
        <f t="shared" si="13"/>
        <v>5624</v>
      </c>
      <c r="Q142" s="2">
        <f t="shared" si="14"/>
        <v>6419</v>
      </c>
      <c r="R142" s="2">
        <f t="shared" si="15"/>
        <v>1224</v>
      </c>
      <c r="S142" s="2">
        <f t="shared" si="16"/>
        <v>843</v>
      </c>
      <c r="T142" s="2">
        <f t="shared" si="17"/>
        <v>652</v>
      </c>
      <c r="U142" s="2">
        <f t="shared" si="18"/>
        <v>537</v>
      </c>
      <c r="V142" s="2">
        <f t="shared" si="19"/>
        <v>461</v>
      </c>
      <c r="W142" s="2" t="str">
        <f t="shared" si="20"/>
        <v>-</v>
      </c>
      <c r="X142" s="2">
        <f t="shared" si="21"/>
        <v>2250</v>
      </c>
      <c r="Y142" s="2">
        <f t="shared" si="22"/>
        <v>5249</v>
      </c>
      <c r="Z142" s="2">
        <f t="shared" si="23"/>
        <v>6044</v>
      </c>
      <c r="AA142" s="2">
        <f t="shared" si="24"/>
        <v>1153</v>
      </c>
      <c r="AB142" s="2">
        <f t="shared" si="25"/>
        <v>793</v>
      </c>
      <c r="AC142" s="2">
        <f t="shared" si="26"/>
        <v>614</v>
      </c>
      <c r="AD142" s="2">
        <f t="shared" si="27"/>
        <v>506</v>
      </c>
      <c r="AE142" s="2">
        <f t="shared" si="28"/>
        <v>434</v>
      </c>
      <c r="AF142" s="2" t="str">
        <f t="shared" si="29"/>
        <v>-</v>
      </c>
      <c r="AG142" s="2">
        <f t="shared" si="30"/>
        <v>2625</v>
      </c>
      <c r="AH142" s="2">
        <f t="shared" si="31"/>
        <v>4874</v>
      </c>
      <c r="AI142" s="2">
        <f t="shared" si="32"/>
        <v>5669</v>
      </c>
      <c r="AJ142" s="2">
        <f t="shared" si="33"/>
        <v>1081</v>
      </c>
      <c r="AK142" s="2">
        <f t="shared" si="34"/>
        <v>744</v>
      </c>
      <c r="AL142" s="2">
        <f t="shared" si="35"/>
        <v>576</v>
      </c>
      <c r="AM142" s="2">
        <f t="shared" si="36"/>
        <v>475</v>
      </c>
      <c r="AN142" s="2">
        <f t="shared" si="37"/>
        <v>407</v>
      </c>
      <c r="AO142" s="2" t="str">
        <f t="shared" si="38"/>
        <v>-</v>
      </c>
      <c r="AP142" s="2">
        <f t="shared" si="39"/>
        <v>3000</v>
      </c>
      <c r="AQ142" s="2">
        <f t="shared" si="40"/>
        <v>4499</v>
      </c>
      <c r="AR142" s="2">
        <f t="shared" si="41"/>
        <v>5294</v>
      </c>
      <c r="AS142" s="2">
        <f t="shared" si="42"/>
        <v>1010</v>
      </c>
      <c r="AT142" s="2">
        <f t="shared" si="43"/>
        <v>695</v>
      </c>
      <c r="AU142" s="2">
        <f t="shared" si="44"/>
        <v>538</v>
      </c>
      <c r="AV142" s="2">
        <f t="shared" si="45"/>
        <v>443</v>
      </c>
      <c r="AW142" s="2" t="str">
        <f t="shared" si="46"/>
        <v>-</v>
      </c>
      <c r="AX142" s="2" t="str">
        <f t="shared" si="47"/>
        <v>-</v>
      </c>
    </row>
    <row r="143" ht="14.25" customHeight="1">
      <c r="A143" s="2" t="str">
        <f t="array" ref="A143">IFERROR(INDEX('Product Price'!A:A,SMALL('Product Price'!$D:$D,141)),"")</f>
        <v>TECNO MEGAPAD Pro 8/256 GB</v>
      </c>
      <c r="B143" s="2">
        <f t="array" ref="B143">IFERROR(INDEX('Product Price'!B:B,SMALL('Product Price'!$D:$D,141)),"")</f>
        <v>9999</v>
      </c>
      <c r="C143" s="2">
        <f t="array" ref="C143">IFERROR(INDEX('Product Price'!C:C,SMALL('Product Price'!$D:$D,141)),"")</f>
        <v>128</v>
      </c>
      <c r="D143" s="2">
        <f t="shared" si="1"/>
        <v>795</v>
      </c>
      <c r="E143" s="2">
        <f t="shared" si="2"/>
        <v>10794</v>
      </c>
      <c r="F143" s="2">
        <f t="shared" si="3"/>
        <v>2000</v>
      </c>
      <c r="G143" s="2">
        <f t="shared" si="4"/>
        <v>7999</v>
      </c>
      <c r="H143" s="2">
        <f t="shared" si="5"/>
        <v>8794</v>
      </c>
      <c r="I143" s="2">
        <f t="shared" si="6"/>
        <v>1677</v>
      </c>
      <c r="J143" s="2">
        <f t="shared" si="7"/>
        <v>1154</v>
      </c>
      <c r="K143" s="2">
        <f t="shared" si="8"/>
        <v>893</v>
      </c>
      <c r="L143" s="2">
        <f t="shared" si="9"/>
        <v>736</v>
      </c>
      <c r="M143" s="2">
        <f t="shared" si="10"/>
        <v>631</v>
      </c>
      <c r="N143" s="2">
        <f t="shared" si="11"/>
        <v>501</v>
      </c>
      <c r="O143" s="2">
        <f t="shared" si="12"/>
        <v>2500</v>
      </c>
      <c r="P143" s="2">
        <f t="shared" si="13"/>
        <v>7499</v>
      </c>
      <c r="Q143" s="2">
        <f t="shared" si="14"/>
        <v>8294</v>
      </c>
      <c r="R143" s="2">
        <f t="shared" si="15"/>
        <v>1582</v>
      </c>
      <c r="S143" s="2">
        <f t="shared" si="16"/>
        <v>1089</v>
      </c>
      <c r="T143" s="2">
        <f t="shared" si="17"/>
        <v>842</v>
      </c>
      <c r="U143" s="2">
        <f t="shared" si="18"/>
        <v>694</v>
      </c>
      <c r="V143" s="2">
        <f t="shared" si="19"/>
        <v>596</v>
      </c>
      <c r="W143" s="2">
        <f t="shared" si="20"/>
        <v>472</v>
      </c>
      <c r="X143" s="2">
        <f t="shared" si="21"/>
        <v>3000</v>
      </c>
      <c r="Y143" s="2">
        <f t="shared" si="22"/>
        <v>6999</v>
      </c>
      <c r="Z143" s="2">
        <f t="shared" si="23"/>
        <v>7794</v>
      </c>
      <c r="AA143" s="2">
        <f t="shared" si="24"/>
        <v>1486</v>
      </c>
      <c r="AB143" s="2">
        <f t="shared" si="25"/>
        <v>1023</v>
      </c>
      <c r="AC143" s="2">
        <f t="shared" si="26"/>
        <v>791</v>
      </c>
      <c r="AD143" s="2">
        <f t="shared" si="27"/>
        <v>652</v>
      </c>
      <c r="AE143" s="2">
        <f t="shared" si="28"/>
        <v>560</v>
      </c>
      <c r="AF143" s="2">
        <f t="shared" si="29"/>
        <v>444</v>
      </c>
      <c r="AG143" s="2">
        <f t="shared" si="30"/>
        <v>3500</v>
      </c>
      <c r="AH143" s="2">
        <f t="shared" si="31"/>
        <v>6499</v>
      </c>
      <c r="AI143" s="2">
        <f t="shared" si="32"/>
        <v>7294</v>
      </c>
      <c r="AJ143" s="2">
        <f t="shared" si="33"/>
        <v>1391</v>
      </c>
      <c r="AK143" s="2">
        <f t="shared" si="34"/>
        <v>957</v>
      </c>
      <c r="AL143" s="2">
        <f t="shared" si="35"/>
        <v>741</v>
      </c>
      <c r="AM143" s="2">
        <f t="shared" si="36"/>
        <v>611</v>
      </c>
      <c r="AN143" s="2">
        <f t="shared" si="37"/>
        <v>524</v>
      </c>
      <c r="AO143" s="2">
        <f t="shared" si="38"/>
        <v>415</v>
      </c>
      <c r="AP143" s="2">
        <f t="shared" si="39"/>
        <v>4000</v>
      </c>
      <c r="AQ143" s="2">
        <f t="shared" si="40"/>
        <v>5999</v>
      </c>
      <c r="AR143" s="2">
        <f t="shared" si="41"/>
        <v>6794</v>
      </c>
      <c r="AS143" s="2">
        <f t="shared" si="42"/>
        <v>1296</v>
      </c>
      <c r="AT143" s="2">
        <f t="shared" si="43"/>
        <v>892</v>
      </c>
      <c r="AU143" s="2">
        <f t="shared" si="44"/>
        <v>690</v>
      </c>
      <c r="AV143" s="2">
        <f t="shared" si="45"/>
        <v>569</v>
      </c>
      <c r="AW143" s="2">
        <f t="shared" si="46"/>
        <v>488</v>
      </c>
      <c r="AX143" s="2" t="str">
        <f t="shared" si="47"/>
        <v>-</v>
      </c>
    </row>
    <row r="144" ht="14.25" customHeight="1">
      <c r="A144" s="2" t="str">
        <f t="array" ref="A144">IFERROR(INDEX('Product Price'!A:A,SMALL('Product Price'!$D:$D,142)),"")</f>
        <v>TECNO MEGAPAD Pro 8/128 GB</v>
      </c>
      <c r="B144" s="2">
        <f t="array" ref="B144">IFERROR(INDEX('Product Price'!B:B,SMALL('Product Price'!$D:$D,142)),"")</f>
        <v>9499</v>
      </c>
      <c r="C144" s="2">
        <f t="array" ref="C144">IFERROR(INDEX('Product Price'!C:C,SMALL('Product Price'!$D:$D,142)),"")</f>
        <v>129</v>
      </c>
      <c r="D144" s="2">
        <f t="shared" si="1"/>
        <v>795</v>
      </c>
      <c r="E144" s="2">
        <f t="shared" si="2"/>
        <v>10294</v>
      </c>
      <c r="F144" s="2">
        <f t="shared" si="3"/>
        <v>1900</v>
      </c>
      <c r="G144" s="2">
        <f t="shared" si="4"/>
        <v>7599</v>
      </c>
      <c r="H144" s="2">
        <f t="shared" si="5"/>
        <v>8394</v>
      </c>
      <c r="I144" s="2">
        <f t="shared" si="6"/>
        <v>1601</v>
      </c>
      <c r="J144" s="2">
        <f t="shared" si="7"/>
        <v>1102</v>
      </c>
      <c r="K144" s="2">
        <f t="shared" si="8"/>
        <v>852</v>
      </c>
      <c r="L144" s="2">
        <f t="shared" si="9"/>
        <v>703</v>
      </c>
      <c r="M144" s="2">
        <f t="shared" si="10"/>
        <v>603</v>
      </c>
      <c r="N144" s="2">
        <f t="shared" si="11"/>
        <v>478</v>
      </c>
      <c r="O144" s="2">
        <f t="shared" si="12"/>
        <v>2375</v>
      </c>
      <c r="P144" s="2">
        <f t="shared" si="13"/>
        <v>7124</v>
      </c>
      <c r="Q144" s="2">
        <f t="shared" si="14"/>
        <v>7919</v>
      </c>
      <c r="R144" s="2">
        <f t="shared" si="15"/>
        <v>1510</v>
      </c>
      <c r="S144" s="2">
        <f t="shared" si="16"/>
        <v>1039</v>
      </c>
      <c r="T144" s="2">
        <f t="shared" si="17"/>
        <v>804</v>
      </c>
      <c r="U144" s="2">
        <f t="shared" si="18"/>
        <v>663</v>
      </c>
      <c r="V144" s="2">
        <f t="shared" si="19"/>
        <v>569</v>
      </c>
      <c r="W144" s="2">
        <f t="shared" si="20"/>
        <v>451</v>
      </c>
      <c r="X144" s="2">
        <f t="shared" si="21"/>
        <v>2850</v>
      </c>
      <c r="Y144" s="2">
        <f t="shared" si="22"/>
        <v>6649</v>
      </c>
      <c r="Z144" s="2">
        <f t="shared" si="23"/>
        <v>7444</v>
      </c>
      <c r="AA144" s="2">
        <f t="shared" si="24"/>
        <v>1420</v>
      </c>
      <c r="AB144" s="2">
        <f t="shared" si="25"/>
        <v>977</v>
      </c>
      <c r="AC144" s="2">
        <f t="shared" si="26"/>
        <v>756</v>
      </c>
      <c r="AD144" s="2">
        <f t="shared" si="27"/>
        <v>623</v>
      </c>
      <c r="AE144" s="2">
        <f t="shared" si="28"/>
        <v>535</v>
      </c>
      <c r="AF144" s="2">
        <f t="shared" si="29"/>
        <v>424</v>
      </c>
      <c r="AG144" s="2">
        <f t="shared" si="30"/>
        <v>3325</v>
      </c>
      <c r="AH144" s="2">
        <f t="shared" si="31"/>
        <v>6174</v>
      </c>
      <c r="AI144" s="2">
        <f t="shared" si="32"/>
        <v>6969</v>
      </c>
      <c r="AJ144" s="2">
        <f t="shared" si="33"/>
        <v>1329</v>
      </c>
      <c r="AK144" s="2">
        <f t="shared" si="34"/>
        <v>915</v>
      </c>
      <c r="AL144" s="2">
        <f t="shared" si="35"/>
        <v>708</v>
      </c>
      <c r="AM144" s="2">
        <f t="shared" si="36"/>
        <v>583</v>
      </c>
      <c r="AN144" s="2">
        <f t="shared" si="37"/>
        <v>501</v>
      </c>
      <c r="AO144" s="2" t="str">
        <f t="shared" si="38"/>
        <v>-</v>
      </c>
      <c r="AP144" s="2">
        <f t="shared" si="39"/>
        <v>3800</v>
      </c>
      <c r="AQ144" s="2">
        <f t="shared" si="40"/>
        <v>5699</v>
      </c>
      <c r="AR144" s="2">
        <f t="shared" si="41"/>
        <v>6494</v>
      </c>
      <c r="AS144" s="2">
        <f t="shared" si="42"/>
        <v>1239</v>
      </c>
      <c r="AT144" s="2">
        <f t="shared" si="43"/>
        <v>852</v>
      </c>
      <c r="AU144" s="2">
        <f t="shared" si="44"/>
        <v>659</v>
      </c>
      <c r="AV144" s="2">
        <f t="shared" si="45"/>
        <v>544</v>
      </c>
      <c r="AW144" s="2">
        <f t="shared" si="46"/>
        <v>466</v>
      </c>
      <c r="AX144" s="2" t="str">
        <f t="shared" si="47"/>
        <v>-</v>
      </c>
    </row>
    <row r="145" ht="14.25" customHeight="1">
      <c r="A145" s="2" t="str">
        <f t="array" ref="A145">IFERROR(INDEX('Product Price'!A:A,SMALL('Product Price'!$D:$D,143)),"")</f>
        <v>TECNO MEGAPAD SE 4/128 GB</v>
      </c>
      <c r="B145" s="2">
        <f t="array" ref="B145">IFERROR(INDEX('Product Price'!B:B,SMALL('Product Price'!$D:$D,143)),"")</f>
        <v>6499</v>
      </c>
      <c r="C145" s="2">
        <f t="array" ref="C145">IFERROR(INDEX('Product Price'!C:C,SMALL('Product Price'!$D:$D,143)),"")</f>
        <v>130</v>
      </c>
      <c r="D145" s="2">
        <f t="shared" si="1"/>
        <v>795</v>
      </c>
      <c r="E145" s="2">
        <f t="shared" si="2"/>
        <v>7294</v>
      </c>
      <c r="F145" s="2">
        <f t="shared" si="3"/>
        <v>1300</v>
      </c>
      <c r="G145" s="2">
        <f t="shared" si="4"/>
        <v>5199</v>
      </c>
      <c r="H145" s="2">
        <f t="shared" si="5"/>
        <v>5994</v>
      </c>
      <c r="I145" s="2">
        <f t="shared" si="6"/>
        <v>1143</v>
      </c>
      <c r="J145" s="2">
        <f t="shared" si="7"/>
        <v>787</v>
      </c>
      <c r="K145" s="2">
        <f t="shared" si="8"/>
        <v>609</v>
      </c>
      <c r="L145" s="2">
        <f t="shared" si="9"/>
        <v>502</v>
      </c>
      <c r="M145" s="2">
        <f t="shared" si="10"/>
        <v>431</v>
      </c>
      <c r="N145" s="2" t="str">
        <f t="shared" si="11"/>
        <v>-</v>
      </c>
      <c r="O145" s="2">
        <f t="shared" si="12"/>
        <v>1625</v>
      </c>
      <c r="P145" s="2">
        <f t="shared" si="13"/>
        <v>4874</v>
      </c>
      <c r="Q145" s="2">
        <f t="shared" si="14"/>
        <v>5669</v>
      </c>
      <c r="R145" s="2">
        <f t="shared" si="15"/>
        <v>1081</v>
      </c>
      <c r="S145" s="2">
        <f t="shared" si="16"/>
        <v>744</v>
      </c>
      <c r="T145" s="2">
        <f t="shared" si="17"/>
        <v>576</v>
      </c>
      <c r="U145" s="2">
        <f t="shared" si="18"/>
        <v>475</v>
      </c>
      <c r="V145" s="2">
        <f t="shared" si="19"/>
        <v>407</v>
      </c>
      <c r="W145" s="2" t="str">
        <f t="shared" si="20"/>
        <v>-</v>
      </c>
      <c r="X145" s="2">
        <f t="shared" si="21"/>
        <v>1950</v>
      </c>
      <c r="Y145" s="2">
        <f t="shared" si="22"/>
        <v>4549</v>
      </c>
      <c r="Z145" s="2">
        <f t="shared" si="23"/>
        <v>5344</v>
      </c>
      <c r="AA145" s="2">
        <f t="shared" si="24"/>
        <v>1019</v>
      </c>
      <c r="AB145" s="2">
        <f t="shared" si="25"/>
        <v>702</v>
      </c>
      <c r="AC145" s="2">
        <f t="shared" si="26"/>
        <v>543</v>
      </c>
      <c r="AD145" s="2">
        <f t="shared" si="27"/>
        <v>447</v>
      </c>
      <c r="AE145" s="2" t="str">
        <f t="shared" si="28"/>
        <v>-</v>
      </c>
      <c r="AF145" s="2" t="str">
        <f t="shared" si="29"/>
        <v>-</v>
      </c>
      <c r="AG145" s="2">
        <f t="shared" si="30"/>
        <v>2275</v>
      </c>
      <c r="AH145" s="2">
        <f t="shared" si="31"/>
        <v>4224</v>
      </c>
      <c r="AI145" s="2">
        <f t="shared" si="32"/>
        <v>5019</v>
      </c>
      <c r="AJ145" s="2">
        <f t="shared" si="33"/>
        <v>957</v>
      </c>
      <c r="AK145" s="2">
        <f t="shared" si="34"/>
        <v>659</v>
      </c>
      <c r="AL145" s="2">
        <f t="shared" si="35"/>
        <v>510</v>
      </c>
      <c r="AM145" s="2">
        <f t="shared" si="36"/>
        <v>420</v>
      </c>
      <c r="AN145" s="2" t="str">
        <f t="shared" si="37"/>
        <v>-</v>
      </c>
      <c r="AO145" s="2" t="str">
        <f t="shared" si="38"/>
        <v>-</v>
      </c>
      <c r="AP145" s="2">
        <f t="shared" si="39"/>
        <v>2600</v>
      </c>
      <c r="AQ145" s="2">
        <f t="shared" si="40"/>
        <v>3899</v>
      </c>
      <c r="AR145" s="2">
        <f t="shared" si="41"/>
        <v>4694</v>
      </c>
      <c r="AS145" s="2">
        <f t="shared" si="42"/>
        <v>895</v>
      </c>
      <c r="AT145" s="2">
        <f t="shared" si="43"/>
        <v>616</v>
      </c>
      <c r="AU145" s="2">
        <f t="shared" si="44"/>
        <v>477</v>
      </c>
      <c r="AV145" s="2" t="str">
        <f t="shared" si="45"/>
        <v>-</v>
      </c>
      <c r="AW145" s="2" t="str">
        <f t="shared" si="46"/>
        <v>-</v>
      </c>
      <c r="AX145" s="2" t="str">
        <f t="shared" si="47"/>
        <v>-</v>
      </c>
    </row>
    <row r="146" ht="14.25" customHeight="1">
      <c r="A146" s="2" t="str">
        <f t="array" ref="A146">IFERROR(INDEX('Product Price'!A:A,SMALL('Product Price'!$D:$D,144)),"")</f>
        <v>REDMI Note 17 Pro Max 5G 8/512 GB</v>
      </c>
      <c r="B146" s="2">
        <f t="array" ref="B146">IFERROR(INDEX('Product Price'!B:B,SMALL('Product Price'!$D:$D,144)),"")</f>
        <v>19999</v>
      </c>
      <c r="C146" s="2">
        <f t="array" ref="C146">IFERROR(INDEX('Product Price'!C:C,SMALL('Product Price'!$D:$D,144)),"")</f>
        <v>163</v>
      </c>
      <c r="D146" s="2">
        <f t="shared" si="1"/>
        <v>1450</v>
      </c>
      <c r="E146" s="2">
        <f t="shared" si="2"/>
        <v>21449</v>
      </c>
      <c r="F146" s="2">
        <f t="shared" si="3"/>
        <v>4000</v>
      </c>
      <c r="G146" s="2">
        <f t="shared" si="4"/>
        <v>15999</v>
      </c>
      <c r="H146" s="2">
        <f t="shared" si="5"/>
        <v>17449</v>
      </c>
      <c r="I146" s="2">
        <f t="shared" si="6"/>
        <v>3327</v>
      </c>
      <c r="J146" s="2">
        <f t="shared" si="7"/>
        <v>2290</v>
      </c>
      <c r="K146" s="2">
        <f t="shared" si="8"/>
        <v>1771</v>
      </c>
      <c r="L146" s="2">
        <f t="shared" si="9"/>
        <v>1460</v>
      </c>
      <c r="M146" s="2">
        <f t="shared" si="10"/>
        <v>1252</v>
      </c>
      <c r="N146" s="2">
        <f t="shared" si="11"/>
        <v>993</v>
      </c>
      <c r="O146" s="2">
        <f t="shared" si="12"/>
        <v>5000</v>
      </c>
      <c r="P146" s="2">
        <f t="shared" si="13"/>
        <v>14999</v>
      </c>
      <c r="Q146" s="2">
        <f t="shared" si="14"/>
        <v>16449</v>
      </c>
      <c r="R146" s="2">
        <f t="shared" si="15"/>
        <v>3136</v>
      </c>
      <c r="S146" s="2">
        <f t="shared" si="16"/>
        <v>2159</v>
      </c>
      <c r="T146" s="2">
        <f t="shared" si="17"/>
        <v>1670</v>
      </c>
      <c r="U146" s="2">
        <f t="shared" si="18"/>
        <v>1376</v>
      </c>
      <c r="V146" s="2">
        <f t="shared" si="19"/>
        <v>1181</v>
      </c>
      <c r="W146" s="2">
        <f t="shared" si="20"/>
        <v>936</v>
      </c>
      <c r="X146" s="2">
        <f t="shared" si="21"/>
        <v>6000</v>
      </c>
      <c r="Y146" s="2">
        <f t="shared" si="22"/>
        <v>13999</v>
      </c>
      <c r="Z146" s="2">
        <f t="shared" si="23"/>
        <v>15449</v>
      </c>
      <c r="AA146" s="2">
        <f t="shared" si="24"/>
        <v>2946</v>
      </c>
      <c r="AB146" s="2">
        <f t="shared" si="25"/>
        <v>2027</v>
      </c>
      <c r="AC146" s="2">
        <f t="shared" si="26"/>
        <v>1568</v>
      </c>
      <c r="AD146" s="2">
        <f t="shared" si="27"/>
        <v>1293</v>
      </c>
      <c r="AE146" s="2">
        <f t="shared" si="28"/>
        <v>1109</v>
      </c>
      <c r="AF146" s="2">
        <f t="shared" si="29"/>
        <v>879</v>
      </c>
      <c r="AG146" s="2">
        <f t="shared" si="30"/>
        <v>7000</v>
      </c>
      <c r="AH146" s="2">
        <f t="shared" si="31"/>
        <v>12999</v>
      </c>
      <c r="AI146" s="2">
        <f t="shared" si="32"/>
        <v>14449</v>
      </c>
      <c r="AJ146" s="2">
        <f t="shared" si="33"/>
        <v>2755</v>
      </c>
      <c r="AK146" s="2">
        <f t="shared" si="34"/>
        <v>1896</v>
      </c>
      <c r="AL146" s="2">
        <f t="shared" si="35"/>
        <v>1467</v>
      </c>
      <c r="AM146" s="2">
        <f t="shared" si="36"/>
        <v>1209</v>
      </c>
      <c r="AN146" s="2">
        <f t="shared" si="37"/>
        <v>1037</v>
      </c>
      <c r="AO146" s="2">
        <f t="shared" si="38"/>
        <v>822</v>
      </c>
      <c r="AP146" s="2">
        <f t="shared" si="39"/>
        <v>8000</v>
      </c>
      <c r="AQ146" s="2">
        <f t="shared" si="40"/>
        <v>11999</v>
      </c>
      <c r="AR146" s="2">
        <f t="shared" si="41"/>
        <v>13449</v>
      </c>
      <c r="AS146" s="2">
        <f t="shared" si="42"/>
        <v>2564</v>
      </c>
      <c r="AT146" s="2">
        <f t="shared" si="43"/>
        <v>1765</v>
      </c>
      <c r="AU146" s="2">
        <f t="shared" si="44"/>
        <v>1365</v>
      </c>
      <c r="AV146" s="2">
        <f t="shared" si="45"/>
        <v>1125</v>
      </c>
      <c r="AW146" s="2">
        <f t="shared" si="46"/>
        <v>965</v>
      </c>
      <c r="AX146" s="2">
        <f t="shared" si="47"/>
        <v>766</v>
      </c>
    </row>
    <row r="147" ht="14.25" customHeight="1">
      <c r="A147" s="2" t="str">
        <f t="array" ref="A147">IFERROR(INDEX('Product Price'!A:A,SMALL('Product Price'!$D:$D,145)),"")</f>
        <v>REDMI Note 17 Pro Max 5G 8/256 GB</v>
      </c>
      <c r="B147" s="2">
        <f t="array" ref="B147">IFERROR(INDEX('Product Price'!B:B,SMALL('Product Price'!$D:$D,145)),"")</f>
        <v>17999</v>
      </c>
      <c r="C147" s="2">
        <f t="array" ref="C147">IFERROR(INDEX('Product Price'!C:C,SMALL('Product Price'!$D:$D,145)),"")</f>
        <v>164</v>
      </c>
      <c r="D147" s="2">
        <f t="shared" si="1"/>
        <v>1450</v>
      </c>
      <c r="E147" s="2">
        <f t="shared" si="2"/>
        <v>19449</v>
      </c>
      <c r="F147" s="2">
        <f t="shared" si="3"/>
        <v>3600</v>
      </c>
      <c r="G147" s="2">
        <f t="shared" si="4"/>
        <v>14399</v>
      </c>
      <c r="H147" s="2">
        <f t="shared" si="5"/>
        <v>15849</v>
      </c>
      <c r="I147" s="2">
        <f t="shared" si="6"/>
        <v>3022</v>
      </c>
      <c r="J147" s="2">
        <f t="shared" si="7"/>
        <v>2080</v>
      </c>
      <c r="K147" s="2">
        <f t="shared" si="8"/>
        <v>1609</v>
      </c>
      <c r="L147" s="2">
        <f t="shared" si="9"/>
        <v>1326</v>
      </c>
      <c r="M147" s="2">
        <f t="shared" si="10"/>
        <v>1138</v>
      </c>
      <c r="N147" s="2">
        <f t="shared" si="11"/>
        <v>902</v>
      </c>
      <c r="O147" s="2">
        <f t="shared" si="12"/>
        <v>4500</v>
      </c>
      <c r="P147" s="2">
        <f t="shared" si="13"/>
        <v>13499</v>
      </c>
      <c r="Q147" s="2">
        <f t="shared" si="14"/>
        <v>14949</v>
      </c>
      <c r="R147" s="2">
        <f t="shared" si="15"/>
        <v>2850</v>
      </c>
      <c r="S147" s="2">
        <f t="shared" si="16"/>
        <v>1962</v>
      </c>
      <c r="T147" s="2">
        <f t="shared" si="17"/>
        <v>1517</v>
      </c>
      <c r="U147" s="2">
        <f t="shared" si="18"/>
        <v>1251</v>
      </c>
      <c r="V147" s="2">
        <f t="shared" si="19"/>
        <v>1073</v>
      </c>
      <c r="W147" s="2">
        <f t="shared" si="20"/>
        <v>851</v>
      </c>
      <c r="X147" s="2">
        <f t="shared" si="21"/>
        <v>5400</v>
      </c>
      <c r="Y147" s="2">
        <f t="shared" si="22"/>
        <v>12599</v>
      </c>
      <c r="Z147" s="2">
        <f t="shared" si="23"/>
        <v>14049</v>
      </c>
      <c r="AA147" s="2">
        <f t="shared" si="24"/>
        <v>2679</v>
      </c>
      <c r="AB147" s="2">
        <f t="shared" si="25"/>
        <v>1844</v>
      </c>
      <c r="AC147" s="2">
        <f t="shared" si="26"/>
        <v>1426</v>
      </c>
      <c r="AD147" s="2">
        <f t="shared" si="27"/>
        <v>1176</v>
      </c>
      <c r="AE147" s="2">
        <f t="shared" si="28"/>
        <v>1009</v>
      </c>
      <c r="AF147" s="2">
        <f t="shared" si="29"/>
        <v>800</v>
      </c>
      <c r="AG147" s="2">
        <f t="shared" si="30"/>
        <v>6300</v>
      </c>
      <c r="AH147" s="2">
        <f t="shared" si="31"/>
        <v>11699</v>
      </c>
      <c r="AI147" s="2">
        <f t="shared" si="32"/>
        <v>13149</v>
      </c>
      <c r="AJ147" s="2">
        <f t="shared" si="33"/>
        <v>2507</v>
      </c>
      <c r="AK147" s="2">
        <f t="shared" si="34"/>
        <v>1726</v>
      </c>
      <c r="AL147" s="2">
        <f t="shared" si="35"/>
        <v>1335</v>
      </c>
      <c r="AM147" s="2">
        <f t="shared" si="36"/>
        <v>1100</v>
      </c>
      <c r="AN147" s="2">
        <f t="shared" si="37"/>
        <v>944</v>
      </c>
      <c r="AO147" s="2">
        <f t="shared" si="38"/>
        <v>749</v>
      </c>
      <c r="AP147" s="2">
        <f t="shared" si="39"/>
        <v>7200</v>
      </c>
      <c r="AQ147" s="2">
        <f t="shared" si="40"/>
        <v>10799</v>
      </c>
      <c r="AR147" s="2">
        <f t="shared" si="41"/>
        <v>12249</v>
      </c>
      <c r="AS147" s="2">
        <f t="shared" si="42"/>
        <v>2336</v>
      </c>
      <c r="AT147" s="2">
        <f t="shared" si="43"/>
        <v>1607</v>
      </c>
      <c r="AU147" s="2">
        <f t="shared" si="44"/>
        <v>1243</v>
      </c>
      <c r="AV147" s="2">
        <f t="shared" si="45"/>
        <v>1025</v>
      </c>
      <c r="AW147" s="2">
        <f t="shared" si="46"/>
        <v>879</v>
      </c>
      <c r="AX147" s="2">
        <f t="shared" si="47"/>
        <v>697</v>
      </c>
    </row>
    <row r="148" ht="14.25" customHeight="1">
      <c r="A148" s="2" t="str">
        <f t="array" ref="A148">IFERROR(INDEX('Product Price'!A:A,SMALL('Product Price'!$D:$D,146)),"")</f>
        <v>REDMI Note 17 Pro 5G 8/256 GB</v>
      </c>
      <c r="B148" s="2">
        <f t="array" ref="B148">IFERROR(INDEX('Product Price'!B:B,SMALL('Product Price'!$D:$D,146)),"")</f>
        <v>15999</v>
      </c>
      <c r="C148" s="2">
        <f t="array" ref="C148">IFERROR(INDEX('Product Price'!C:C,SMALL('Product Price'!$D:$D,146)),"")</f>
        <v>165</v>
      </c>
      <c r="D148" s="2">
        <f t="shared" si="1"/>
        <v>1450</v>
      </c>
      <c r="E148" s="2">
        <f t="shared" si="2"/>
        <v>17449</v>
      </c>
      <c r="F148" s="2">
        <f t="shared" si="3"/>
        <v>3200</v>
      </c>
      <c r="G148" s="2">
        <f t="shared" si="4"/>
        <v>12799</v>
      </c>
      <c r="H148" s="2">
        <f t="shared" si="5"/>
        <v>14249</v>
      </c>
      <c r="I148" s="2">
        <f t="shared" si="6"/>
        <v>2717</v>
      </c>
      <c r="J148" s="2">
        <f t="shared" si="7"/>
        <v>1870</v>
      </c>
      <c r="K148" s="2">
        <f t="shared" si="8"/>
        <v>1446</v>
      </c>
      <c r="L148" s="2">
        <f t="shared" si="9"/>
        <v>1192</v>
      </c>
      <c r="M148" s="2">
        <f t="shared" si="10"/>
        <v>1023</v>
      </c>
      <c r="N148" s="2">
        <f t="shared" si="11"/>
        <v>811</v>
      </c>
      <c r="O148" s="2">
        <f t="shared" si="12"/>
        <v>4000</v>
      </c>
      <c r="P148" s="2">
        <f t="shared" si="13"/>
        <v>11999</v>
      </c>
      <c r="Q148" s="2">
        <f t="shared" si="14"/>
        <v>13449</v>
      </c>
      <c r="R148" s="2">
        <f t="shared" si="15"/>
        <v>2564</v>
      </c>
      <c r="S148" s="2">
        <f t="shared" si="16"/>
        <v>1765</v>
      </c>
      <c r="T148" s="2">
        <f t="shared" si="17"/>
        <v>1365</v>
      </c>
      <c r="U148" s="2">
        <f t="shared" si="18"/>
        <v>1125</v>
      </c>
      <c r="V148" s="2">
        <f t="shared" si="19"/>
        <v>965</v>
      </c>
      <c r="W148" s="2">
        <f t="shared" si="20"/>
        <v>766</v>
      </c>
      <c r="X148" s="2">
        <f t="shared" si="21"/>
        <v>4800</v>
      </c>
      <c r="Y148" s="2">
        <f t="shared" si="22"/>
        <v>11199</v>
      </c>
      <c r="Z148" s="2">
        <f t="shared" si="23"/>
        <v>12649</v>
      </c>
      <c r="AA148" s="2">
        <f t="shared" si="24"/>
        <v>2412</v>
      </c>
      <c r="AB148" s="2">
        <f t="shared" si="25"/>
        <v>1660</v>
      </c>
      <c r="AC148" s="2">
        <f t="shared" si="26"/>
        <v>1284</v>
      </c>
      <c r="AD148" s="2">
        <f t="shared" si="27"/>
        <v>1058</v>
      </c>
      <c r="AE148" s="2">
        <f t="shared" si="28"/>
        <v>908</v>
      </c>
      <c r="AF148" s="2">
        <f t="shared" si="29"/>
        <v>720</v>
      </c>
      <c r="AG148" s="2">
        <f t="shared" si="30"/>
        <v>5600</v>
      </c>
      <c r="AH148" s="2">
        <f t="shared" si="31"/>
        <v>10399</v>
      </c>
      <c r="AI148" s="2">
        <f t="shared" si="32"/>
        <v>11849</v>
      </c>
      <c r="AJ148" s="2">
        <f t="shared" si="33"/>
        <v>2259</v>
      </c>
      <c r="AK148" s="2">
        <f t="shared" si="34"/>
        <v>1555</v>
      </c>
      <c r="AL148" s="2">
        <f t="shared" si="35"/>
        <v>1203</v>
      </c>
      <c r="AM148" s="2">
        <f t="shared" si="36"/>
        <v>992</v>
      </c>
      <c r="AN148" s="2">
        <f t="shared" si="37"/>
        <v>851</v>
      </c>
      <c r="AO148" s="2">
        <f t="shared" si="38"/>
        <v>675</v>
      </c>
      <c r="AP148" s="2">
        <f t="shared" si="39"/>
        <v>6400</v>
      </c>
      <c r="AQ148" s="2">
        <f t="shared" si="40"/>
        <v>9599</v>
      </c>
      <c r="AR148" s="2">
        <f t="shared" si="41"/>
        <v>11049</v>
      </c>
      <c r="AS148" s="2">
        <f t="shared" si="42"/>
        <v>2107</v>
      </c>
      <c r="AT148" s="2">
        <f t="shared" si="43"/>
        <v>1450</v>
      </c>
      <c r="AU148" s="2">
        <f t="shared" si="44"/>
        <v>1122</v>
      </c>
      <c r="AV148" s="2">
        <f t="shared" si="45"/>
        <v>925</v>
      </c>
      <c r="AW148" s="2">
        <f t="shared" si="46"/>
        <v>793</v>
      </c>
      <c r="AX148" s="2">
        <f t="shared" si="47"/>
        <v>629</v>
      </c>
    </row>
    <row r="149" ht="14.25" customHeight="1">
      <c r="A149" s="2" t="str">
        <f t="array" ref="A149">IFERROR(INDEX('Product Price'!A:A,SMALL('Product Price'!$D:$D,147)),"")</f>
        <v>REDMI Note 17 Pro 5G 6/256 GB</v>
      </c>
      <c r="B149" s="2">
        <f t="array" ref="B149">IFERROR(INDEX('Product Price'!B:B,SMALL('Product Price'!$D:$D,147)),"")</f>
        <v>14999</v>
      </c>
      <c r="C149" s="2">
        <f t="array" ref="C149">IFERROR(INDEX('Product Price'!C:C,SMALL('Product Price'!$D:$D,147)),"")</f>
        <v>166</v>
      </c>
      <c r="D149" s="2">
        <f t="shared" si="1"/>
        <v>1450</v>
      </c>
      <c r="E149" s="2">
        <f t="shared" si="2"/>
        <v>16449</v>
      </c>
      <c r="F149" s="2">
        <f t="shared" si="3"/>
        <v>3000</v>
      </c>
      <c r="G149" s="2">
        <f t="shared" si="4"/>
        <v>11999</v>
      </c>
      <c r="H149" s="2">
        <f t="shared" si="5"/>
        <v>13449</v>
      </c>
      <c r="I149" s="2">
        <f t="shared" si="6"/>
        <v>2564</v>
      </c>
      <c r="J149" s="2">
        <f t="shared" si="7"/>
        <v>1765</v>
      </c>
      <c r="K149" s="2">
        <f t="shared" si="8"/>
        <v>1365</v>
      </c>
      <c r="L149" s="2">
        <f t="shared" si="9"/>
        <v>1125</v>
      </c>
      <c r="M149" s="2">
        <f t="shared" si="10"/>
        <v>965</v>
      </c>
      <c r="N149" s="2">
        <f t="shared" si="11"/>
        <v>766</v>
      </c>
      <c r="O149" s="2">
        <f t="shared" si="12"/>
        <v>3750</v>
      </c>
      <c r="P149" s="2">
        <f t="shared" si="13"/>
        <v>11249</v>
      </c>
      <c r="Q149" s="2">
        <f t="shared" si="14"/>
        <v>12699</v>
      </c>
      <c r="R149" s="2">
        <f t="shared" si="15"/>
        <v>2421</v>
      </c>
      <c r="S149" s="2">
        <f t="shared" si="16"/>
        <v>1667</v>
      </c>
      <c r="T149" s="2">
        <f t="shared" si="17"/>
        <v>1289</v>
      </c>
      <c r="U149" s="2">
        <f t="shared" si="18"/>
        <v>1063</v>
      </c>
      <c r="V149" s="2">
        <f t="shared" si="19"/>
        <v>912</v>
      </c>
      <c r="W149" s="2">
        <f t="shared" si="20"/>
        <v>723</v>
      </c>
      <c r="X149" s="2">
        <f t="shared" si="21"/>
        <v>4500</v>
      </c>
      <c r="Y149" s="2">
        <f t="shared" si="22"/>
        <v>10499</v>
      </c>
      <c r="Z149" s="2">
        <f t="shared" si="23"/>
        <v>11949</v>
      </c>
      <c r="AA149" s="2">
        <f t="shared" si="24"/>
        <v>2278</v>
      </c>
      <c r="AB149" s="2">
        <f t="shared" si="25"/>
        <v>1568</v>
      </c>
      <c r="AC149" s="2">
        <f t="shared" si="26"/>
        <v>1213</v>
      </c>
      <c r="AD149" s="2">
        <f t="shared" si="27"/>
        <v>1000</v>
      </c>
      <c r="AE149" s="2">
        <f t="shared" si="28"/>
        <v>858</v>
      </c>
      <c r="AF149" s="2">
        <f t="shared" si="29"/>
        <v>680</v>
      </c>
      <c r="AG149" s="2">
        <f t="shared" si="30"/>
        <v>5250</v>
      </c>
      <c r="AH149" s="2">
        <f t="shared" si="31"/>
        <v>9749</v>
      </c>
      <c r="AI149" s="2">
        <f t="shared" si="32"/>
        <v>11199</v>
      </c>
      <c r="AJ149" s="2">
        <f t="shared" si="33"/>
        <v>2135</v>
      </c>
      <c r="AK149" s="2">
        <f t="shared" si="34"/>
        <v>1470</v>
      </c>
      <c r="AL149" s="2">
        <f t="shared" si="35"/>
        <v>1137</v>
      </c>
      <c r="AM149" s="2">
        <f t="shared" si="36"/>
        <v>937</v>
      </c>
      <c r="AN149" s="2">
        <f t="shared" si="37"/>
        <v>804</v>
      </c>
      <c r="AO149" s="2">
        <f t="shared" si="38"/>
        <v>638</v>
      </c>
      <c r="AP149" s="2">
        <f t="shared" si="39"/>
        <v>6000</v>
      </c>
      <c r="AQ149" s="2">
        <f t="shared" si="40"/>
        <v>8999</v>
      </c>
      <c r="AR149" s="2">
        <f t="shared" si="41"/>
        <v>10449</v>
      </c>
      <c r="AS149" s="2">
        <f t="shared" si="42"/>
        <v>1992</v>
      </c>
      <c r="AT149" s="2">
        <f t="shared" si="43"/>
        <v>1371</v>
      </c>
      <c r="AU149" s="2">
        <f t="shared" si="44"/>
        <v>1061</v>
      </c>
      <c r="AV149" s="2">
        <f t="shared" si="45"/>
        <v>874</v>
      </c>
      <c r="AW149" s="2">
        <f t="shared" si="46"/>
        <v>750</v>
      </c>
      <c r="AX149" s="2">
        <f t="shared" si="47"/>
        <v>595</v>
      </c>
    </row>
    <row r="150" ht="14.25" customHeight="1">
      <c r="A150" s="2" t="str">
        <f t="array" ref="A150">IFERROR(INDEX('Product Price'!A:A,SMALL('Product Price'!$D:$D,148)),"")</f>
        <v>REDMI Note 17 5G 8/256 GB</v>
      </c>
      <c r="B150" s="2">
        <f t="array" ref="B150">IFERROR(INDEX('Product Price'!B:B,SMALL('Product Price'!$D:$D,148)),"")</f>
        <v>12999</v>
      </c>
      <c r="C150" s="2">
        <f t="array" ref="C150">IFERROR(INDEX('Product Price'!C:C,SMALL('Product Price'!$D:$D,148)),"")</f>
        <v>167</v>
      </c>
      <c r="D150" s="2">
        <f t="shared" si="1"/>
        <v>1450</v>
      </c>
      <c r="E150" s="2">
        <f t="shared" si="2"/>
        <v>14449</v>
      </c>
      <c r="F150" s="2">
        <f t="shared" si="3"/>
        <v>2600</v>
      </c>
      <c r="G150" s="2">
        <f t="shared" si="4"/>
        <v>10399</v>
      </c>
      <c r="H150" s="2">
        <f t="shared" si="5"/>
        <v>11849</v>
      </c>
      <c r="I150" s="2">
        <f t="shared" si="6"/>
        <v>2259</v>
      </c>
      <c r="J150" s="2">
        <f t="shared" si="7"/>
        <v>1555</v>
      </c>
      <c r="K150" s="2">
        <f t="shared" si="8"/>
        <v>1203</v>
      </c>
      <c r="L150" s="2">
        <f t="shared" si="9"/>
        <v>992</v>
      </c>
      <c r="M150" s="2">
        <f t="shared" si="10"/>
        <v>851</v>
      </c>
      <c r="N150" s="2">
        <f t="shared" si="11"/>
        <v>675</v>
      </c>
      <c r="O150" s="2">
        <f t="shared" si="12"/>
        <v>3250</v>
      </c>
      <c r="P150" s="2">
        <f t="shared" si="13"/>
        <v>9749</v>
      </c>
      <c r="Q150" s="2">
        <f t="shared" si="14"/>
        <v>11199</v>
      </c>
      <c r="R150" s="2">
        <f t="shared" si="15"/>
        <v>2135</v>
      </c>
      <c r="S150" s="2">
        <f t="shared" si="16"/>
        <v>1470</v>
      </c>
      <c r="T150" s="2">
        <f t="shared" si="17"/>
        <v>1137</v>
      </c>
      <c r="U150" s="2">
        <f t="shared" si="18"/>
        <v>937</v>
      </c>
      <c r="V150" s="2">
        <f t="shared" si="19"/>
        <v>804</v>
      </c>
      <c r="W150" s="2">
        <f t="shared" si="20"/>
        <v>638</v>
      </c>
      <c r="X150" s="2">
        <f t="shared" si="21"/>
        <v>3900</v>
      </c>
      <c r="Y150" s="2">
        <f t="shared" si="22"/>
        <v>9099</v>
      </c>
      <c r="Z150" s="2">
        <f t="shared" si="23"/>
        <v>10549</v>
      </c>
      <c r="AA150" s="2">
        <f t="shared" si="24"/>
        <v>2012</v>
      </c>
      <c r="AB150" s="2">
        <f t="shared" si="25"/>
        <v>1384</v>
      </c>
      <c r="AC150" s="2">
        <f t="shared" si="26"/>
        <v>1071</v>
      </c>
      <c r="AD150" s="2">
        <f t="shared" si="27"/>
        <v>883</v>
      </c>
      <c r="AE150" s="2">
        <f t="shared" si="28"/>
        <v>757</v>
      </c>
      <c r="AF150" s="2">
        <f t="shared" si="29"/>
        <v>601</v>
      </c>
      <c r="AG150" s="2">
        <f t="shared" si="30"/>
        <v>4550</v>
      </c>
      <c r="AH150" s="2">
        <f t="shared" si="31"/>
        <v>8449</v>
      </c>
      <c r="AI150" s="2">
        <f t="shared" si="32"/>
        <v>9899</v>
      </c>
      <c r="AJ150" s="2">
        <f t="shared" si="33"/>
        <v>1888</v>
      </c>
      <c r="AK150" s="2">
        <f t="shared" si="34"/>
        <v>1299</v>
      </c>
      <c r="AL150" s="2">
        <f t="shared" si="35"/>
        <v>1005</v>
      </c>
      <c r="AM150" s="2">
        <f t="shared" si="36"/>
        <v>828</v>
      </c>
      <c r="AN150" s="2">
        <f t="shared" si="37"/>
        <v>711</v>
      </c>
      <c r="AO150" s="2">
        <f t="shared" si="38"/>
        <v>564</v>
      </c>
      <c r="AP150" s="2">
        <f t="shared" si="39"/>
        <v>5200</v>
      </c>
      <c r="AQ150" s="2">
        <f t="shared" si="40"/>
        <v>7799</v>
      </c>
      <c r="AR150" s="2">
        <f t="shared" si="41"/>
        <v>9249</v>
      </c>
      <c r="AS150" s="2">
        <f t="shared" si="42"/>
        <v>1764</v>
      </c>
      <c r="AT150" s="2">
        <f t="shared" si="43"/>
        <v>1214</v>
      </c>
      <c r="AU150" s="2">
        <f t="shared" si="44"/>
        <v>939</v>
      </c>
      <c r="AV150" s="2">
        <f t="shared" si="45"/>
        <v>774</v>
      </c>
      <c r="AW150" s="2">
        <f t="shared" si="46"/>
        <v>664</v>
      </c>
      <c r="AX150" s="2">
        <f t="shared" si="47"/>
        <v>527</v>
      </c>
    </row>
    <row r="151" ht="14.25" customHeight="1">
      <c r="A151" s="2" t="str">
        <f t="array" ref="A151">IFERROR(INDEX('Product Price'!A:A,SMALL('Product Price'!$D:$D,149)),"")</f>
        <v>REDMI Note 17 5G 6/256 GB</v>
      </c>
      <c r="B151" s="2">
        <f t="array" ref="B151">IFERROR(INDEX('Product Price'!B:B,SMALL('Product Price'!$D:$D,149)),"")</f>
        <v>11999</v>
      </c>
      <c r="C151" s="2">
        <f t="array" ref="C151">IFERROR(INDEX('Product Price'!C:C,SMALL('Product Price'!$D:$D,149)),"")</f>
        <v>168</v>
      </c>
      <c r="D151" s="2">
        <f t="shared" si="1"/>
        <v>1450</v>
      </c>
      <c r="E151" s="2">
        <f t="shared" si="2"/>
        <v>13449</v>
      </c>
      <c r="F151" s="2">
        <f t="shared" si="3"/>
        <v>2400</v>
      </c>
      <c r="G151" s="2">
        <f t="shared" si="4"/>
        <v>9599</v>
      </c>
      <c r="H151" s="2">
        <f t="shared" si="5"/>
        <v>11049</v>
      </c>
      <c r="I151" s="2">
        <f t="shared" si="6"/>
        <v>2107</v>
      </c>
      <c r="J151" s="2">
        <f t="shared" si="7"/>
        <v>1450</v>
      </c>
      <c r="K151" s="2">
        <f t="shared" si="8"/>
        <v>1122</v>
      </c>
      <c r="L151" s="2">
        <f t="shared" si="9"/>
        <v>925</v>
      </c>
      <c r="M151" s="2">
        <f t="shared" si="10"/>
        <v>793</v>
      </c>
      <c r="N151" s="2">
        <f t="shared" si="11"/>
        <v>629</v>
      </c>
      <c r="O151" s="2">
        <f t="shared" si="12"/>
        <v>3000</v>
      </c>
      <c r="P151" s="2">
        <f t="shared" si="13"/>
        <v>8999</v>
      </c>
      <c r="Q151" s="2">
        <f t="shared" si="14"/>
        <v>10449</v>
      </c>
      <c r="R151" s="2">
        <f t="shared" si="15"/>
        <v>1992</v>
      </c>
      <c r="S151" s="2">
        <f t="shared" si="16"/>
        <v>1371</v>
      </c>
      <c r="T151" s="2">
        <f t="shared" si="17"/>
        <v>1061</v>
      </c>
      <c r="U151" s="2">
        <f t="shared" si="18"/>
        <v>874</v>
      </c>
      <c r="V151" s="2">
        <f t="shared" si="19"/>
        <v>750</v>
      </c>
      <c r="W151" s="2">
        <f t="shared" si="20"/>
        <v>595</v>
      </c>
      <c r="X151" s="2">
        <f t="shared" si="21"/>
        <v>3600</v>
      </c>
      <c r="Y151" s="2">
        <f t="shared" si="22"/>
        <v>8399</v>
      </c>
      <c r="Z151" s="2">
        <f t="shared" si="23"/>
        <v>9849</v>
      </c>
      <c r="AA151" s="2">
        <f t="shared" si="24"/>
        <v>1878</v>
      </c>
      <c r="AB151" s="2">
        <f t="shared" si="25"/>
        <v>1293</v>
      </c>
      <c r="AC151" s="2">
        <f t="shared" si="26"/>
        <v>1000</v>
      </c>
      <c r="AD151" s="2">
        <f t="shared" si="27"/>
        <v>824</v>
      </c>
      <c r="AE151" s="2">
        <f t="shared" si="28"/>
        <v>707</v>
      </c>
      <c r="AF151" s="2">
        <f t="shared" si="29"/>
        <v>561</v>
      </c>
      <c r="AG151" s="2">
        <f t="shared" si="30"/>
        <v>4200</v>
      </c>
      <c r="AH151" s="2">
        <f t="shared" si="31"/>
        <v>7799</v>
      </c>
      <c r="AI151" s="2">
        <f t="shared" si="32"/>
        <v>9249</v>
      </c>
      <c r="AJ151" s="2">
        <f t="shared" si="33"/>
        <v>1764</v>
      </c>
      <c r="AK151" s="2">
        <f t="shared" si="34"/>
        <v>1214</v>
      </c>
      <c r="AL151" s="2">
        <f t="shared" si="35"/>
        <v>939</v>
      </c>
      <c r="AM151" s="2">
        <f t="shared" si="36"/>
        <v>774</v>
      </c>
      <c r="AN151" s="2">
        <f t="shared" si="37"/>
        <v>664</v>
      </c>
      <c r="AO151" s="2">
        <f t="shared" si="38"/>
        <v>527</v>
      </c>
      <c r="AP151" s="2">
        <f t="shared" si="39"/>
        <v>4800</v>
      </c>
      <c r="AQ151" s="2">
        <f t="shared" si="40"/>
        <v>7199</v>
      </c>
      <c r="AR151" s="2">
        <f t="shared" si="41"/>
        <v>8649</v>
      </c>
      <c r="AS151" s="2">
        <f t="shared" si="42"/>
        <v>1649</v>
      </c>
      <c r="AT151" s="2">
        <f t="shared" si="43"/>
        <v>1135</v>
      </c>
      <c r="AU151" s="2">
        <f t="shared" si="44"/>
        <v>878</v>
      </c>
      <c r="AV151" s="2">
        <f t="shared" si="45"/>
        <v>724</v>
      </c>
      <c r="AW151" s="2">
        <f t="shared" si="46"/>
        <v>621</v>
      </c>
      <c r="AX151" s="2">
        <f t="shared" si="47"/>
        <v>493</v>
      </c>
    </row>
    <row r="152" ht="14.25" customHeight="1">
      <c r="A152" s="2" t="str">
        <f t="array" ref="A152">IFERROR(INDEX('Product Price'!A:A,SMALL('Product Price'!$D:$D,150)),"")</f>
        <v>REDMI Note 17 6/128 GB</v>
      </c>
      <c r="B152" s="2">
        <f t="array" ref="B152">IFERROR(INDEX('Product Price'!B:B,SMALL('Product Price'!$D:$D,150)),"")</f>
        <v>8499</v>
      </c>
      <c r="C152" s="2">
        <f t="array" ref="C152">IFERROR(INDEX('Product Price'!C:C,SMALL('Product Price'!$D:$D,150)),"")</f>
        <v>169</v>
      </c>
      <c r="D152" s="2">
        <f t="shared" si="1"/>
        <v>795</v>
      </c>
      <c r="E152" s="2">
        <f t="shared" si="2"/>
        <v>9294</v>
      </c>
      <c r="F152" s="2">
        <f t="shared" si="3"/>
        <v>1700</v>
      </c>
      <c r="G152" s="2">
        <f t="shared" si="4"/>
        <v>6799</v>
      </c>
      <c r="H152" s="2">
        <f t="shared" si="5"/>
        <v>7594</v>
      </c>
      <c r="I152" s="2">
        <f t="shared" si="6"/>
        <v>1448</v>
      </c>
      <c r="J152" s="2">
        <f t="shared" si="7"/>
        <v>997</v>
      </c>
      <c r="K152" s="2">
        <f t="shared" si="8"/>
        <v>771</v>
      </c>
      <c r="L152" s="2">
        <f t="shared" si="9"/>
        <v>636</v>
      </c>
      <c r="M152" s="2">
        <f t="shared" si="10"/>
        <v>545</v>
      </c>
      <c r="N152" s="2">
        <f t="shared" si="11"/>
        <v>433</v>
      </c>
      <c r="O152" s="2">
        <f t="shared" si="12"/>
        <v>2125</v>
      </c>
      <c r="P152" s="2">
        <f t="shared" si="13"/>
        <v>6374</v>
      </c>
      <c r="Q152" s="2">
        <f t="shared" si="14"/>
        <v>7169</v>
      </c>
      <c r="R152" s="2">
        <f t="shared" si="15"/>
        <v>1367</v>
      </c>
      <c r="S152" s="2">
        <f t="shared" si="16"/>
        <v>941</v>
      </c>
      <c r="T152" s="2">
        <f t="shared" si="17"/>
        <v>728</v>
      </c>
      <c r="U152" s="2">
        <f t="shared" si="18"/>
        <v>600</v>
      </c>
      <c r="V152" s="2">
        <f t="shared" si="19"/>
        <v>515</v>
      </c>
      <c r="W152" s="2">
        <f t="shared" si="20"/>
        <v>408</v>
      </c>
      <c r="X152" s="2">
        <f t="shared" si="21"/>
        <v>2550</v>
      </c>
      <c r="Y152" s="2">
        <f t="shared" si="22"/>
        <v>5949</v>
      </c>
      <c r="Z152" s="2">
        <f t="shared" si="23"/>
        <v>6744</v>
      </c>
      <c r="AA152" s="2">
        <f t="shared" si="24"/>
        <v>1286</v>
      </c>
      <c r="AB152" s="2">
        <f t="shared" si="25"/>
        <v>885</v>
      </c>
      <c r="AC152" s="2">
        <f t="shared" si="26"/>
        <v>685</v>
      </c>
      <c r="AD152" s="2">
        <f t="shared" si="27"/>
        <v>565</v>
      </c>
      <c r="AE152" s="2">
        <f t="shared" si="28"/>
        <v>484</v>
      </c>
      <c r="AF152" s="2" t="str">
        <f t="shared" si="29"/>
        <v>-</v>
      </c>
      <c r="AG152" s="2">
        <f t="shared" si="30"/>
        <v>2975</v>
      </c>
      <c r="AH152" s="2">
        <f t="shared" si="31"/>
        <v>5524</v>
      </c>
      <c r="AI152" s="2">
        <f t="shared" si="32"/>
        <v>6319</v>
      </c>
      <c r="AJ152" s="2">
        <f t="shared" si="33"/>
        <v>1205</v>
      </c>
      <c r="AK152" s="2">
        <f t="shared" si="34"/>
        <v>830</v>
      </c>
      <c r="AL152" s="2">
        <f t="shared" si="35"/>
        <v>642</v>
      </c>
      <c r="AM152" s="2">
        <f t="shared" si="36"/>
        <v>529</v>
      </c>
      <c r="AN152" s="2">
        <f t="shared" si="37"/>
        <v>454</v>
      </c>
      <c r="AO152" s="2" t="str">
        <f t="shared" si="38"/>
        <v>-</v>
      </c>
      <c r="AP152" s="2">
        <f t="shared" si="39"/>
        <v>3400</v>
      </c>
      <c r="AQ152" s="2">
        <f t="shared" si="40"/>
        <v>5099</v>
      </c>
      <c r="AR152" s="2">
        <f t="shared" si="41"/>
        <v>5894</v>
      </c>
      <c r="AS152" s="2">
        <f t="shared" si="42"/>
        <v>1124</v>
      </c>
      <c r="AT152" s="2">
        <f t="shared" si="43"/>
        <v>774</v>
      </c>
      <c r="AU152" s="2">
        <f t="shared" si="44"/>
        <v>599</v>
      </c>
      <c r="AV152" s="2">
        <f t="shared" si="45"/>
        <v>493</v>
      </c>
      <c r="AW152" s="2">
        <f t="shared" si="46"/>
        <v>423</v>
      </c>
      <c r="AX152" s="2" t="str">
        <f t="shared" si="47"/>
        <v>-</v>
      </c>
    </row>
    <row r="153" ht="14.25" customHeight="1">
      <c r="A153" s="2" t="str">
        <f t="array" ref="A153">IFERROR(INDEX('Product Price'!A:A,SMALL('Product Price'!$D:$D,151)),"")</f>
        <v>REDMI Note 15 Pro+ 5G 12/512 GB</v>
      </c>
      <c r="B153" s="2">
        <f t="array" ref="B153">IFERROR(INDEX('Product Price'!B:B,SMALL('Product Price'!$D:$D,151)),"")</f>
        <v>16990</v>
      </c>
      <c r="C153" s="2">
        <f t="array" ref="C153">IFERROR(INDEX('Product Price'!C:C,SMALL('Product Price'!$D:$D,151)),"")</f>
        <v>131</v>
      </c>
      <c r="D153" s="2">
        <f t="shared" si="1"/>
        <v>1450</v>
      </c>
      <c r="E153" s="2">
        <f t="shared" si="2"/>
        <v>18440</v>
      </c>
      <c r="F153" s="2">
        <f t="shared" si="3"/>
        <v>3398</v>
      </c>
      <c r="G153" s="2">
        <f t="shared" si="4"/>
        <v>13592</v>
      </c>
      <c r="H153" s="2">
        <f t="shared" si="5"/>
        <v>15042</v>
      </c>
      <c r="I153" s="2">
        <f t="shared" si="6"/>
        <v>2868</v>
      </c>
      <c r="J153" s="2">
        <f t="shared" si="7"/>
        <v>1974</v>
      </c>
      <c r="K153" s="2">
        <f t="shared" si="8"/>
        <v>1527</v>
      </c>
      <c r="L153" s="2">
        <f t="shared" si="9"/>
        <v>1259</v>
      </c>
      <c r="M153" s="2">
        <f t="shared" si="10"/>
        <v>1080</v>
      </c>
      <c r="N153" s="2">
        <f t="shared" si="11"/>
        <v>856</v>
      </c>
      <c r="O153" s="2">
        <f t="shared" si="12"/>
        <v>4248</v>
      </c>
      <c r="P153" s="2">
        <f t="shared" si="13"/>
        <v>12742</v>
      </c>
      <c r="Q153" s="2">
        <f t="shared" si="14"/>
        <v>14192</v>
      </c>
      <c r="R153" s="2">
        <f t="shared" si="15"/>
        <v>2706</v>
      </c>
      <c r="S153" s="2">
        <f t="shared" si="16"/>
        <v>1862</v>
      </c>
      <c r="T153" s="2">
        <f t="shared" si="17"/>
        <v>1441</v>
      </c>
      <c r="U153" s="2">
        <f t="shared" si="18"/>
        <v>1187</v>
      </c>
      <c r="V153" s="2">
        <f t="shared" si="19"/>
        <v>1019</v>
      </c>
      <c r="W153" s="2">
        <f t="shared" si="20"/>
        <v>808</v>
      </c>
      <c r="X153" s="2">
        <f t="shared" si="21"/>
        <v>5097</v>
      </c>
      <c r="Y153" s="2">
        <f t="shared" si="22"/>
        <v>11893</v>
      </c>
      <c r="Z153" s="2">
        <f t="shared" si="23"/>
        <v>13343</v>
      </c>
      <c r="AA153" s="2">
        <f t="shared" si="24"/>
        <v>2544</v>
      </c>
      <c r="AB153" s="2">
        <f t="shared" si="25"/>
        <v>1751</v>
      </c>
      <c r="AC153" s="2">
        <f t="shared" si="26"/>
        <v>1354</v>
      </c>
      <c r="AD153" s="2">
        <f t="shared" si="27"/>
        <v>1116</v>
      </c>
      <c r="AE153" s="2">
        <f t="shared" si="28"/>
        <v>958</v>
      </c>
      <c r="AF153" s="2">
        <f t="shared" si="29"/>
        <v>760</v>
      </c>
      <c r="AG153" s="2">
        <f t="shared" si="30"/>
        <v>5947</v>
      </c>
      <c r="AH153" s="2">
        <f t="shared" si="31"/>
        <v>11043</v>
      </c>
      <c r="AI153" s="2">
        <f t="shared" si="32"/>
        <v>12493</v>
      </c>
      <c r="AJ153" s="2">
        <f t="shared" si="33"/>
        <v>2382</v>
      </c>
      <c r="AK153" s="2">
        <f t="shared" si="34"/>
        <v>1640</v>
      </c>
      <c r="AL153" s="2">
        <f t="shared" si="35"/>
        <v>1268</v>
      </c>
      <c r="AM153" s="2">
        <f t="shared" si="36"/>
        <v>1045</v>
      </c>
      <c r="AN153" s="2">
        <f t="shared" si="37"/>
        <v>897</v>
      </c>
      <c r="AO153" s="2">
        <f t="shared" si="38"/>
        <v>711</v>
      </c>
      <c r="AP153" s="2">
        <f t="shared" si="39"/>
        <v>6796</v>
      </c>
      <c r="AQ153" s="2">
        <f t="shared" si="40"/>
        <v>10194</v>
      </c>
      <c r="AR153" s="2">
        <f t="shared" si="41"/>
        <v>11644</v>
      </c>
      <c r="AS153" s="2">
        <f t="shared" si="42"/>
        <v>2220</v>
      </c>
      <c r="AT153" s="2">
        <f t="shared" si="43"/>
        <v>1528</v>
      </c>
      <c r="AU153" s="2">
        <f t="shared" si="44"/>
        <v>1182</v>
      </c>
      <c r="AV153" s="2">
        <f t="shared" si="45"/>
        <v>974</v>
      </c>
      <c r="AW153" s="2">
        <f t="shared" si="46"/>
        <v>836</v>
      </c>
      <c r="AX153" s="2">
        <f t="shared" si="47"/>
        <v>663</v>
      </c>
    </row>
    <row r="154" ht="14.25" customHeight="1">
      <c r="A154" s="2" t="str">
        <f t="array" ref="A154">IFERROR(INDEX('Product Price'!A:A,SMALL('Product Price'!$D:$D,152)),"")</f>
        <v>REDMI Note 15 Pro+ 5G 12/256 GB</v>
      </c>
      <c r="B154" s="2">
        <f t="array" ref="B154">IFERROR(INDEX('Product Price'!B:B,SMALL('Product Price'!$D:$D,152)),"")</f>
        <v>14990</v>
      </c>
      <c r="C154" s="2">
        <f t="array" ref="C154">IFERROR(INDEX('Product Price'!C:C,SMALL('Product Price'!$D:$D,152)),"")</f>
        <v>132</v>
      </c>
      <c r="D154" s="2">
        <f t="shared" si="1"/>
        <v>1450</v>
      </c>
      <c r="E154" s="2">
        <f t="shared" si="2"/>
        <v>16440</v>
      </c>
      <c r="F154" s="2">
        <f t="shared" si="3"/>
        <v>2998</v>
      </c>
      <c r="G154" s="2">
        <f t="shared" si="4"/>
        <v>11992</v>
      </c>
      <c r="H154" s="2">
        <f t="shared" si="5"/>
        <v>13442</v>
      </c>
      <c r="I154" s="2">
        <f t="shared" si="6"/>
        <v>2563</v>
      </c>
      <c r="J154" s="2">
        <f t="shared" si="7"/>
        <v>1764</v>
      </c>
      <c r="K154" s="2">
        <f t="shared" si="8"/>
        <v>1364</v>
      </c>
      <c r="L154" s="2">
        <f t="shared" si="9"/>
        <v>1125</v>
      </c>
      <c r="M154" s="2">
        <f t="shared" si="10"/>
        <v>965</v>
      </c>
      <c r="N154" s="2">
        <f t="shared" si="11"/>
        <v>765</v>
      </c>
      <c r="O154" s="2">
        <f t="shared" si="12"/>
        <v>3748</v>
      </c>
      <c r="P154" s="2">
        <f t="shared" si="13"/>
        <v>11242</v>
      </c>
      <c r="Q154" s="2">
        <f t="shared" si="14"/>
        <v>12692</v>
      </c>
      <c r="R154" s="2">
        <f t="shared" si="15"/>
        <v>2420</v>
      </c>
      <c r="S154" s="2">
        <f t="shared" si="16"/>
        <v>1666</v>
      </c>
      <c r="T154" s="2">
        <f t="shared" si="17"/>
        <v>1288</v>
      </c>
      <c r="U154" s="2">
        <f t="shared" si="18"/>
        <v>1062</v>
      </c>
      <c r="V154" s="2">
        <f t="shared" si="19"/>
        <v>911</v>
      </c>
      <c r="W154" s="2">
        <f t="shared" si="20"/>
        <v>723</v>
      </c>
      <c r="X154" s="2">
        <f t="shared" si="21"/>
        <v>4497</v>
      </c>
      <c r="Y154" s="2">
        <f t="shared" si="22"/>
        <v>10493</v>
      </c>
      <c r="Z154" s="2">
        <f t="shared" si="23"/>
        <v>11943</v>
      </c>
      <c r="AA154" s="2">
        <f t="shared" si="24"/>
        <v>2277</v>
      </c>
      <c r="AB154" s="2">
        <f t="shared" si="25"/>
        <v>1567</v>
      </c>
      <c r="AC154" s="2">
        <f t="shared" si="26"/>
        <v>1212</v>
      </c>
      <c r="AD154" s="2">
        <f t="shared" si="27"/>
        <v>999</v>
      </c>
      <c r="AE154" s="2">
        <f t="shared" si="28"/>
        <v>857</v>
      </c>
      <c r="AF154" s="2">
        <f t="shared" si="29"/>
        <v>680</v>
      </c>
      <c r="AG154" s="2">
        <f t="shared" si="30"/>
        <v>5247</v>
      </c>
      <c r="AH154" s="2">
        <f t="shared" si="31"/>
        <v>9743</v>
      </c>
      <c r="AI154" s="2">
        <f t="shared" si="32"/>
        <v>11193</v>
      </c>
      <c r="AJ154" s="2">
        <f t="shared" si="33"/>
        <v>2134</v>
      </c>
      <c r="AK154" s="2">
        <f t="shared" si="34"/>
        <v>1469</v>
      </c>
      <c r="AL154" s="2">
        <f t="shared" si="35"/>
        <v>1136</v>
      </c>
      <c r="AM154" s="2">
        <f t="shared" si="36"/>
        <v>937</v>
      </c>
      <c r="AN154" s="2">
        <f t="shared" si="37"/>
        <v>804</v>
      </c>
      <c r="AO154" s="2">
        <f t="shared" si="38"/>
        <v>637</v>
      </c>
      <c r="AP154" s="2">
        <f t="shared" si="39"/>
        <v>5996</v>
      </c>
      <c r="AQ154" s="2">
        <f t="shared" si="40"/>
        <v>8994</v>
      </c>
      <c r="AR154" s="2">
        <f t="shared" si="41"/>
        <v>10444</v>
      </c>
      <c r="AS154" s="2">
        <f t="shared" si="42"/>
        <v>1992</v>
      </c>
      <c r="AT154" s="2">
        <f t="shared" si="43"/>
        <v>1371</v>
      </c>
      <c r="AU154" s="2">
        <f t="shared" si="44"/>
        <v>1060</v>
      </c>
      <c r="AV154" s="2">
        <f t="shared" si="45"/>
        <v>874</v>
      </c>
      <c r="AW154" s="2">
        <f t="shared" si="46"/>
        <v>750</v>
      </c>
      <c r="AX154" s="2">
        <f t="shared" si="47"/>
        <v>595</v>
      </c>
    </row>
    <row r="155" ht="14.25" customHeight="1">
      <c r="A155" s="2" t="str">
        <f t="array" ref="A155">IFERROR(INDEX('Product Price'!A:A,SMALL('Product Price'!$D:$D,153)),"")</f>
        <v>REDMI Note 15 Pro 5G 12/512 GB</v>
      </c>
      <c r="B155" s="2">
        <f t="array" ref="B155">IFERROR(INDEX('Product Price'!B:B,SMALL('Product Price'!$D:$D,153)),"")</f>
        <v>14990</v>
      </c>
      <c r="C155" s="2">
        <f t="array" ref="C155">IFERROR(INDEX('Product Price'!C:C,SMALL('Product Price'!$D:$D,153)),"")</f>
        <v>133</v>
      </c>
      <c r="D155" s="2">
        <f t="shared" si="1"/>
        <v>1450</v>
      </c>
      <c r="E155" s="2">
        <f t="shared" si="2"/>
        <v>16440</v>
      </c>
      <c r="F155" s="2">
        <f t="shared" si="3"/>
        <v>2998</v>
      </c>
      <c r="G155" s="2">
        <f t="shared" si="4"/>
        <v>11992</v>
      </c>
      <c r="H155" s="2">
        <f t="shared" si="5"/>
        <v>13442</v>
      </c>
      <c r="I155" s="2">
        <f t="shared" si="6"/>
        <v>2563</v>
      </c>
      <c r="J155" s="2">
        <f t="shared" si="7"/>
        <v>1764</v>
      </c>
      <c r="K155" s="2">
        <f t="shared" si="8"/>
        <v>1364</v>
      </c>
      <c r="L155" s="2">
        <f t="shared" si="9"/>
        <v>1125</v>
      </c>
      <c r="M155" s="2">
        <f t="shared" si="10"/>
        <v>965</v>
      </c>
      <c r="N155" s="2">
        <f t="shared" si="11"/>
        <v>765</v>
      </c>
      <c r="O155" s="2">
        <f t="shared" si="12"/>
        <v>3748</v>
      </c>
      <c r="P155" s="2">
        <f t="shared" si="13"/>
        <v>11242</v>
      </c>
      <c r="Q155" s="2">
        <f t="shared" si="14"/>
        <v>12692</v>
      </c>
      <c r="R155" s="2">
        <f t="shared" si="15"/>
        <v>2420</v>
      </c>
      <c r="S155" s="2">
        <f t="shared" si="16"/>
        <v>1666</v>
      </c>
      <c r="T155" s="2">
        <f t="shared" si="17"/>
        <v>1288</v>
      </c>
      <c r="U155" s="2">
        <f t="shared" si="18"/>
        <v>1062</v>
      </c>
      <c r="V155" s="2">
        <f t="shared" si="19"/>
        <v>911</v>
      </c>
      <c r="W155" s="2">
        <f t="shared" si="20"/>
        <v>723</v>
      </c>
      <c r="X155" s="2">
        <f t="shared" si="21"/>
        <v>4497</v>
      </c>
      <c r="Y155" s="2">
        <f t="shared" si="22"/>
        <v>10493</v>
      </c>
      <c r="Z155" s="2">
        <f t="shared" si="23"/>
        <v>11943</v>
      </c>
      <c r="AA155" s="2">
        <f t="shared" si="24"/>
        <v>2277</v>
      </c>
      <c r="AB155" s="2">
        <f t="shared" si="25"/>
        <v>1567</v>
      </c>
      <c r="AC155" s="2">
        <f t="shared" si="26"/>
        <v>1212</v>
      </c>
      <c r="AD155" s="2">
        <f t="shared" si="27"/>
        <v>999</v>
      </c>
      <c r="AE155" s="2">
        <f t="shared" si="28"/>
        <v>857</v>
      </c>
      <c r="AF155" s="2">
        <f t="shared" si="29"/>
        <v>680</v>
      </c>
      <c r="AG155" s="2">
        <f t="shared" si="30"/>
        <v>5247</v>
      </c>
      <c r="AH155" s="2">
        <f t="shared" si="31"/>
        <v>9743</v>
      </c>
      <c r="AI155" s="2">
        <f t="shared" si="32"/>
        <v>11193</v>
      </c>
      <c r="AJ155" s="2">
        <f t="shared" si="33"/>
        <v>2134</v>
      </c>
      <c r="AK155" s="2">
        <f t="shared" si="34"/>
        <v>1469</v>
      </c>
      <c r="AL155" s="2">
        <f t="shared" si="35"/>
        <v>1136</v>
      </c>
      <c r="AM155" s="2">
        <f t="shared" si="36"/>
        <v>937</v>
      </c>
      <c r="AN155" s="2">
        <f t="shared" si="37"/>
        <v>804</v>
      </c>
      <c r="AO155" s="2">
        <f t="shared" si="38"/>
        <v>637</v>
      </c>
      <c r="AP155" s="2">
        <f t="shared" si="39"/>
        <v>5996</v>
      </c>
      <c r="AQ155" s="2">
        <f t="shared" si="40"/>
        <v>8994</v>
      </c>
      <c r="AR155" s="2">
        <f t="shared" si="41"/>
        <v>10444</v>
      </c>
      <c r="AS155" s="2">
        <f t="shared" si="42"/>
        <v>1992</v>
      </c>
      <c r="AT155" s="2">
        <f t="shared" si="43"/>
        <v>1371</v>
      </c>
      <c r="AU155" s="2">
        <f t="shared" si="44"/>
        <v>1060</v>
      </c>
      <c r="AV155" s="2">
        <f t="shared" si="45"/>
        <v>874</v>
      </c>
      <c r="AW155" s="2">
        <f t="shared" si="46"/>
        <v>750</v>
      </c>
      <c r="AX155" s="2">
        <f t="shared" si="47"/>
        <v>595</v>
      </c>
    </row>
    <row r="156" ht="14.25" customHeight="1">
      <c r="A156" s="2" t="str">
        <f t="array" ref="A156">IFERROR(INDEX('Product Price'!A:A,SMALL('Product Price'!$D:$D,154)),"")</f>
        <v>REDMI Note 15 Pro 5G 8/256 GB</v>
      </c>
      <c r="B156" s="2">
        <f t="array" ref="B156">IFERROR(INDEX('Product Price'!B:B,SMALL('Product Price'!$D:$D,154)),"")</f>
        <v>11990</v>
      </c>
      <c r="C156" s="2">
        <f t="array" ref="C156">IFERROR(INDEX('Product Price'!C:C,SMALL('Product Price'!$D:$D,154)),"")</f>
        <v>134</v>
      </c>
      <c r="D156" s="2">
        <f t="shared" si="1"/>
        <v>1450</v>
      </c>
      <c r="E156" s="2">
        <f t="shared" si="2"/>
        <v>13440</v>
      </c>
      <c r="F156" s="2">
        <f t="shared" si="3"/>
        <v>2398</v>
      </c>
      <c r="G156" s="2">
        <f t="shared" si="4"/>
        <v>9592</v>
      </c>
      <c r="H156" s="2">
        <f t="shared" si="5"/>
        <v>11042</v>
      </c>
      <c r="I156" s="2">
        <f t="shared" si="6"/>
        <v>2106</v>
      </c>
      <c r="J156" s="2">
        <f t="shared" si="7"/>
        <v>1449</v>
      </c>
      <c r="K156" s="2">
        <f t="shared" si="8"/>
        <v>1121</v>
      </c>
      <c r="L156" s="2">
        <f t="shared" si="9"/>
        <v>924</v>
      </c>
      <c r="M156" s="2">
        <f t="shared" si="10"/>
        <v>793</v>
      </c>
      <c r="N156" s="2">
        <f t="shared" si="11"/>
        <v>629</v>
      </c>
      <c r="O156" s="2">
        <f t="shared" si="12"/>
        <v>2998</v>
      </c>
      <c r="P156" s="2">
        <f t="shared" si="13"/>
        <v>8992</v>
      </c>
      <c r="Q156" s="2">
        <f t="shared" si="14"/>
        <v>10442</v>
      </c>
      <c r="R156" s="2">
        <f t="shared" si="15"/>
        <v>1991</v>
      </c>
      <c r="S156" s="2">
        <f t="shared" si="16"/>
        <v>1370</v>
      </c>
      <c r="T156" s="2">
        <f t="shared" si="17"/>
        <v>1060</v>
      </c>
      <c r="U156" s="2">
        <f t="shared" si="18"/>
        <v>874</v>
      </c>
      <c r="V156" s="2">
        <f t="shared" si="19"/>
        <v>750</v>
      </c>
      <c r="W156" s="2">
        <f t="shared" si="20"/>
        <v>595</v>
      </c>
      <c r="X156" s="2">
        <f t="shared" si="21"/>
        <v>3597</v>
      </c>
      <c r="Y156" s="2">
        <f t="shared" si="22"/>
        <v>8393</v>
      </c>
      <c r="Z156" s="2">
        <f t="shared" si="23"/>
        <v>9843</v>
      </c>
      <c r="AA156" s="2">
        <f t="shared" si="24"/>
        <v>1877</v>
      </c>
      <c r="AB156" s="2">
        <f t="shared" si="25"/>
        <v>1292</v>
      </c>
      <c r="AC156" s="2">
        <f t="shared" si="26"/>
        <v>999</v>
      </c>
      <c r="AD156" s="2">
        <f t="shared" si="27"/>
        <v>824</v>
      </c>
      <c r="AE156" s="2">
        <f t="shared" si="28"/>
        <v>707</v>
      </c>
      <c r="AF156" s="2">
        <f t="shared" si="29"/>
        <v>560</v>
      </c>
      <c r="AG156" s="2">
        <f t="shared" si="30"/>
        <v>4197</v>
      </c>
      <c r="AH156" s="2">
        <f t="shared" si="31"/>
        <v>7793</v>
      </c>
      <c r="AI156" s="2">
        <f t="shared" si="32"/>
        <v>9243</v>
      </c>
      <c r="AJ156" s="2">
        <f t="shared" si="33"/>
        <v>1763</v>
      </c>
      <c r="AK156" s="2">
        <f t="shared" si="34"/>
        <v>1213</v>
      </c>
      <c r="AL156" s="2">
        <f t="shared" si="35"/>
        <v>938</v>
      </c>
      <c r="AM156" s="2">
        <f t="shared" si="36"/>
        <v>774</v>
      </c>
      <c r="AN156" s="2">
        <f t="shared" si="37"/>
        <v>664</v>
      </c>
      <c r="AO156" s="2">
        <f t="shared" si="38"/>
        <v>526</v>
      </c>
      <c r="AP156" s="2">
        <f t="shared" si="39"/>
        <v>4796</v>
      </c>
      <c r="AQ156" s="2">
        <f t="shared" si="40"/>
        <v>7194</v>
      </c>
      <c r="AR156" s="2">
        <f t="shared" si="41"/>
        <v>8644</v>
      </c>
      <c r="AS156" s="2">
        <f t="shared" si="42"/>
        <v>1648</v>
      </c>
      <c r="AT156" s="2">
        <f t="shared" si="43"/>
        <v>1135</v>
      </c>
      <c r="AU156" s="2">
        <f t="shared" si="44"/>
        <v>878</v>
      </c>
      <c r="AV156" s="2">
        <f t="shared" si="45"/>
        <v>723</v>
      </c>
      <c r="AW156" s="2">
        <f t="shared" si="46"/>
        <v>621</v>
      </c>
      <c r="AX156" s="2">
        <f t="shared" si="47"/>
        <v>492</v>
      </c>
    </row>
    <row r="157" ht="14.25" customHeight="1">
      <c r="A157" s="2" t="str">
        <f t="array" ref="A157">IFERROR(INDEX('Product Price'!A:A,SMALL('Product Price'!$D:$D,155)),"")</f>
        <v>REDMI Note 15 5G 8/256 GB</v>
      </c>
      <c r="B157" s="2">
        <f t="array" ref="B157">IFERROR(INDEX('Product Price'!B:B,SMALL('Product Price'!$D:$D,155)),"")</f>
        <v>8499</v>
      </c>
      <c r="C157" s="2">
        <f t="array" ref="C157">IFERROR(INDEX('Product Price'!C:C,SMALL('Product Price'!$D:$D,155)),"")</f>
        <v>135</v>
      </c>
      <c r="D157" s="2">
        <f t="shared" si="1"/>
        <v>795</v>
      </c>
      <c r="E157" s="2">
        <f t="shared" si="2"/>
        <v>9294</v>
      </c>
      <c r="F157" s="2">
        <f t="shared" si="3"/>
        <v>1700</v>
      </c>
      <c r="G157" s="2">
        <f t="shared" si="4"/>
        <v>6799</v>
      </c>
      <c r="H157" s="2">
        <f t="shared" si="5"/>
        <v>7594</v>
      </c>
      <c r="I157" s="2">
        <f t="shared" si="6"/>
        <v>1448</v>
      </c>
      <c r="J157" s="2">
        <f t="shared" si="7"/>
        <v>997</v>
      </c>
      <c r="K157" s="2">
        <f t="shared" si="8"/>
        <v>771</v>
      </c>
      <c r="L157" s="2">
        <f t="shared" si="9"/>
        <v>636</v>
      </c>
      <c r="M157" s="2">
        <f t="shared" si="10"/>
        <v>545</v>
      </c>
      <c r="N157" s="2">
        <f t="shared" si="11"/>
        <v>433</v>
      </c>
      <c r="O157" s="2">
        <f t="shared" si="12"/>
        <v>2125</v>
      </c>
      <c r="P157" s="2">
        <f t="shared" si="13"/>
        <v>6374</v>
      </c>
      <c r="Q157" s="2">
        <f t="shared" si="14"/>
        <v>7169</v>
      </c>
      <c r="R157" s="2">
        <f t="shared" si="15"/>
        <v>1367</v>
      </c>
      <c r="S157" s="2">
        <f t="shared" si="16"/>
        <v>941</v>
      </c>
      <c r="T157" s="2">
        <f t="shared" si="17"/>
        <v>728</v>
      </c>
      <c r="U157" s="2">
        <f t="shared" si="18"/>
        <v>600</v>
      </c>
      <c r="V157" s="2">
        <f t="shared" si="19"/>
        <v>515</v>
      </c>
      <c r="W157" s="2">
        <f t="shared" si="20"/>
        <v>408</v>
      </c>
      <c r="X157" s="2">
        <f t="shared" si="21"/>
        <v>2550</v>
      </c>
      <c r="Y157" s="2">
        <f t="shared" si="22"/>
        <v>5949</v>
      </c>
      <c r="Z157" s="2">
        <f t="shared" si="23"/>
        <v>6744</v>
      </c>
      <c r="AA157" s="2">
        <f t="shared" si="24"/>
        <v>1286</v>
      </c>
      <c r="AB157" s="2">
        <f t="shared" si="25"/>
        <v>885</v>
      </c>
      <c r="AC157" s="2">
        <f t="shared" si="26"/>
        <v>685</v>
      </c>
      <c r="AD157" s="2">
        <f t="shared" si="27"/>
        <v>565</v>
      </c>
      <c r="AE157" s="2">
        <f t="shared" si="28"/>
        <v>484</v>
      </c>
      <c r="AF157" s="2" t="str">
        <f t="shared" si="29"/>
        <v>-</v>
      </c>
      <c r="AG157" s="2">
        <f t="shared" si="30"/>
        <v>2975</v>
      </c>
      <c r="AH157" s="2">
        <f t="shared" si="31"/>
        <v>5524</v>
      </c>
      <c r="AI157" s="2">
        <f t="shared" si="32"/>
        <v>6319</v>
      </c>
      <c r="AJ157" s="2">
        <f t="shared" si="33"/>
        <v>1205</v>
      </c>
      <c r="AK157" s="2">
        <f t="shared" si="34"/>
        <v>830</v>
      </c>
      <c r="AL157" s="2">
        <f t="shared" si="35"/>
        <v>642</v>
      </c>
      <c r="AM157" s="2">
        <f t="shared" si="36"/>
        <v>529</v>
      </c>
      <c r="AN157" s="2">
        <f t="shared" si="37"/>
        <v>454</v>
      </c>
      <c r="AO157" s="2" t="str">
        <f t="shared" si="38"/>
        <v>-</v>
      </c>
      <c r="AP157" s="2">
        <f t="shared" si="39"/>
        <v>3400</v>
      </c>
      <c r="AQ157" s="2">
        <f t="shared" si="40"/>
        <v>5099</v>
      </c>
      <c r="AR157" s="2">
        <f t="shared" si="41"/>
        <v>5894</v>
      </c>
      <c r="AS157" s="2">
        <f t="shared" si="42"/>
        <v>1124</v>
      </c>
      <c r="AT157" s="2">
        <f t="shared" si="43"/>
        <v>774</v>
      </c>
      <c r="AU157" s="2">
        <f t="shared" si="44"/>
        <v>599</v>
      </c>
      <c r="AV157" s="2">
        <f t="shared" si="45"/>
        <v>493</v>
      </c>
      <c r="AW157" s="2">
        <f t="shared" si="46"/>
        <v>423</v>
      </c>
      <c r="AX157" s="2" t="str">
        <f t="shared" si="47"/>
        <v>-</v>
      </c>
    </row>
    <row r="158" ht="14.25" customHeight="1">
      <c r="A158" s="2" t="str">
        <f t="array" ref="A158">IFERROR(INDEX('Product Price'!A:A,SMALL('Product Price'!$D:$D,156)),"")</f>
        <v>REDMI Note 15 4G 8/256 GB</v>
      </c>
      <c r="B158" s="2">
        <f t="array" ref="B158">IFERROR(INDEX('Product Price'!B:B,SMALL('Product Price'!$D:$D,156)),"")</f>
        <v>6699</v>
      </c>
      <c r="C158" s="2">
        <f t="array" ref="C158">IFERROR(INDEX('Product Price'!C:C,SMALL('Product Price'!$D:$D,156)),"")</f>
        <v>136</v>
      </c>
      <c r="D158" s="2">
        <f t="shared" si="1"/>
        <v>795</v>
      </c>
      <c r="E158" s="2">
        <f t="shared" si="2"/>
        <v>7494</v>
      </c>
      <c r="F158" s="2">
        <f t="shared" si="3"/>
        <v>1340</v>
      </c>
      <c r="G158" s="2">
        <f t="shared" si="4"/>
        <v>5359</v>
      </c>
      <c r="H158" s="2">
        <f t="shared" si="5"/>
        <v>6154</v>
      </c>
      <c r="I158" s="2">
        <f t="shared" si="6"/>
        <v>1174</v>
      </c>
      <c r="J158" s="2">
        <f t="shared" si="7"/>
        <v>808</v>
      </c>
      <c r="K158" s="2">
        <f t="shared" si="8"/>
        <v>625</v>
      </c>
      <c r="L158" s="2">
        <f t="shared" si="9"/>
        <v>515</v>
      </c>
      <c r="M158" s="2">
        <f t="shared" si="10"/>
        <v>442</v>
      </c>
      <c r="N158" s="2" t="str">
        <f t="shared" si="11"/>
        <v>-</v>
      </c>
      <c r="O158" s="2">
        <f t="shared" si="12"/>
        <v>1675</v>
      </c>
      <c r="P158" s="2">
        <f t="shared" si="13"/>
        <v>5024</v>
      </c>
      <c r="Q158" s="2">
        <f t="shared" si="14"/>
        <v>5819</v>
      </c>
      <c r="R158" s="2">
        <f t="shared" si="15"/>
        <v>1110</v>
      </c>
      <c r="S158" s="2">
        <f t="shared" si="16"/>
        <v>764</v>
      </c>
      <c r="T158" s="2">
        <f t="shared" si="17"/>
        <v>591</v>
      </c>
      <c r="U158" s="2">
        <f t="shared" si="18"/>
        <v>487</v>
      </c>
      <c r="V158" s="2">
        <f t="shared" si="19"/>
        <v>418</v>
      </c>
      <c r="W158" s="2" t="str">
        <f t="shared" si="20"/>
        <v>-</v>
      </c>
      <c r="X158" s="2">
        <f t="shared" si="21"/>
        <v>2010</v>
      </c>
      <c r="Y158" s="2">
        <f t="shared" si="22"/>
        <v>4689</v>
      </c>
      <c r="Z158" s="2">
        <f t="shared" si="23"/>
        <v>5484</v>
      </c>
      <c r="AA158" s="2">
        <f t="shared" si="24"/>
        <v>1046</v>
      </c>
      <c r="AB158" s="2">
        <f t="shared" si="25"/>
        <v>720</v>
      </c>
      <c r="AC158" s="2">
        <f t="shared" si="26"/>
        <v>557</v>
      </c>
      <c r="AD158" s="2">
        <f t="shared" si="27"/>
        <v>459</v>
      </c>
      <c r="AE158" s="2" t="str">
        <f t="shared" si="28"/>
        <v>-</v>
      </c>
      <c r="AF158" s="2" t="str">
        <f t="shared" si="29"/>
        <v>-</v>
      </c>
      <c r="AG158" s="2">
        <f t="shared" si="30"/>
        <v>2345</v>
      </c>
      <c r="AH158" s="2">
        <f t="shared" si="31"/>
        <v>4354</v>
      </c>
      <c r="AI158" s="2">
        <f t="shared" si="32"/>
        <v>5149</v>
      </c>
      <c r="AJ158" s="2">
        <f t="shared" si="33"/>
        <v>982</v>
      </c>
      <c r="AK158" s="2">
        <f t="shared" si="34"/>
        <v>676</v>
      </c>
      <c r="AL158" s="2">
        <f t="shared" si="35"/>
        <v>523</v>
      </c>
      <c r="AM158" s="2">
        <f t="shared" si="36"/>
        <v>431</v>
      </c>
      <c r="AN158" s="2" t="str">
        <f t="shared" si="37"/>
        <v>-</v>
      </c>
      <c r="AO158" s="2" t="str">
        <f t="shared" si="38"/>
        <v>-</v>
      </c>
      <c r="AP158" s="2">
        <f t="shared" si="39"/>
        <v>2680</v>
      </c>
      <c r="AQ158" s="2">
        <f t="shared" si="40"/>
        <v>4019</v>
      </c>
      <c r="AR158" s="2">
        <f t="shared" si="41"/>
        <v>4814</v>
      </c>
      <c r="AS158" s="2">
        <f t="shared" si="42"/>
        <v>918</v>
      </c>
      <c r="AT158" s="2">
        <f t="shared" si="43"/>
        <v>632</v>
      </c>
      <c r="AU158" s="2">
        <f t="shared" si="44"/>
        <v>489</v>
      </c>
      <c r="AV158" s="2">
        <f t="shared" si="45"/>
        <v>403</v>
      </c>
      <c r="AW158" s="2" t="str">
        <f t="shared" si="46"/>
        <v>-</v>
      </c>
      <c r="AX158" s="2" t="str">
        <f t="shared" si="47"/>
        <v>-</v>
      </c>
    </row>
    <row r="159" ht="14.25" customHeight="1">
      <c r="A159" s="2" t="str">
        <f t="array" ref="A159">IFERROR(INDEX('Product Price'!A:A,SMALL('Product Price'!$D:$D,157)),"")</f>
        <v>XIAOMI 17T Pro 12/512 GB</v>
      </c>
      <c r="B159" s="2">
        <f t="array" ref="B159">IFERROR(INDEX('Product Price'!B:B,SMALL('Product Price'!$D:$D,157)),"")</f>
        <v>27999</v>
      </c>
      <c r="C159" s="2">
        <f t="array" ref="C159">IFERROR(INDEX('Product Price'!C:C,SMALL('Product Price'!$D:$D,157)),"")</f>
        <v>137</v>
      </c>
      <c r="D159" s="2">
        <f t="shared" si="1"/>
        <v>1900</v>
      </c>
      <c r="E159" s="2">
        <f t="shared" si="2"/>
        <v>29899</v>
      </c>
      <c r="F159" s="2">
        <f t="shared" si="3"/>
        <v>5600</v>
      </c>
      <c r="G159" s="2">
        <f t="shared" si="4"/>
        <v>22399</v>
      </c>
      <c r="H159" s="2">
        <f t="shared" si="5"/>
        <v>24299</v>
      </c>
      <c r="I159" s="2">
        <f t="shared" si="6"/>
        <v>4633</v>
      </c>
      <c r="J159" s="2">
        <f t="shared" si="7"/>
        <v>3188</v>
      </c>
      <c r="K159" s="2">
        <f t="shared" si="8"/>
        <v>2466</v>
      </c>
      <c r="L159" s="2">
        <f t="shared" si="9"/>
        <v>2033</v>
      </c>
      <c r="M159" s="2">
        <f t="shared" si="10"/>
        <v>1744</v>
      </c>
      <c r="N159" s="2">
        <f t="shared" si="11"/>
        <v>1383</v>
      </c>
      <c r="O159" s="2">
        <f t="shared" si="12"/>
        <v>7000</v>
      </c>
      <c r="P159" s="2">
        <f t="shared" si="13"/>
        <v>20999</v>
      </c>
      <c r="Q159" s="2">
        <f t="shared" si="14"/>
        <v>22899</v>
      </c>
      <c r="R159" s="2">
        <f t="shared" si="15"/>
        <v>4366</v>
      </c>
      <c r="S159" s="2">
        <f t="shared" si="16"/>
        <v>3005</v>
      </c>
      <c r="T159" s="2">
        <f t="shared" si="17"/>
        <v>2324</v>
      </c>
      <c r="U159" s="2">
        <f t="shared" si="18"/>
        <v>1916</v>
      </c>
      <c r="V159" s="2">
        <f t="shared" si="19"/>
        <v>1643</v>
      </c>
      <c r="W159" s="2">
        <f t="shared" si="20"/>
        <v>1303</v>
      </c>
      <c r="X159" s="2">
        <f t="shared" si="21"/>
        <v>8400</v>
      </c>
      <c r="Y159" s="2">
        <f t="shared" si="22"/>
        <v>19599</v>
      </c>
      <c r="Z159" s="2">
        <f t="shared" si="23"/>
        <v>21499</v>
      </c>
      <c r="AA159" s="2">
        <f t="shared" si="24"/>
        <v>4099</v>
      </c>
      <c r="AB159" s="2">
        <f t="shared" si="25"/>
        <v>2821</v>
      </c>
      <c r="AC159" s="2">
        <f t="shared" si="26"/>
        <v>2182</v>
      </c>
      <c r="AD159" s="2">
        <f t="shared" si="27"/>
        <v>1799</v>
      </c>
      <c r="AE159" s="2">
        <f t="shared" si="28"/>
        <v>1543</v>
      </c>
      <c r="AF159" s="2">
        <f t="shared" si="29"/>
        <v>1224</v>
      </c>
      <c r="AG159" s="2">
        <f t="shared" si="30"/>
        <v>9800</v>
      </c>
      <c r="AH159" s="2">
        <f t="shared" si="31"/>
        <v>18199</v>
      </c>
      <c r="AI159" s="2">
        <f t="shared" si="32"/>
        <v>20099</v>
      </c>
      <c r="AJ159" s="2">
        <f t="shared" si="33"/>
        <v>3832</v>
      </c>
      <c r="AK159" s="2">
        <f t="shared" si="34"/>
        <v>2637</v>
      </c>
      <c r="AL159" s="2">
        <f t="shared" si="35"/>
        <v>2040</v>
      </c>
      <c r="AM159" s="2">
        <f t="shared" si="36"/>
        <v>1682</v>
      </c>
      <c r="AN159" s="2">
        <f t="shared" si="37"/>
        <v>1443</v>
      </c>
      <c r="AO159" s="2">
        <f t="shared" si="38"/>
        <v>1144</v>
      </c>
      <c r="AP159" s="2">
        <f t="shared" si="39"/>
        <v>11200</v>
      </c>
      <c r="AQ159" s="2">
        <f t="shared" si="40"/>
        <v>16799</v>
      </c>
      <c r="AR159" s="2">
        <f t="shared" si="41"/>
        <v>18699</v>
      </c>
      <c r="AS159" s="2">
        <f t="shared" si="42"/>
        <v>3565</v>
      </c>
      <c r="AT159" s="2">
        <f t="shared" si="43"/>
        <v>2454</v>
      </c>
      <c r="AU159" s="2">
        <f t="shared" si="44"/>
        <v>1898</v>
      </c>
      <c r="AV159" s="2">
        <f t="shared" si="45"/>
        <v>1564</v>
      </c>
      <c r="AW159" s="2">
        <f t="shared" si="46"/>
        <v>1342</v>
      </c>
      <c r="AX159" s="2">
        <f t="shared" si="47"/>
        <v>1064</v>
      </c>
    </row>
    <row r="160" ht="14.25" customHeight="1">
      <c r="A160" s="2" t="str">
        <f t="array" ref="A160">IFERROR(INDEX('Product Price'!A:A,SMALL('Product Price'!$D:$D,158)),"")</f>
        <v>XIAOMI 17T Pro 12/256 GB</v>
      </c>
      <c r="B160" s="2">
        <f t="array" ref="B160">IFERROR(INDEX('Product Price'!B:B,SMALL('Product Price'!$D:$D,158)),"")</f>
        <v>25999</v>
      </c>
      <c r="C160" s="2">
        <f t="array" ref="C160">IFERROR(INDEX('Product Price'!C:C,SMALL('Product Price'!$D:$D,158)),"")</f>
        <v>138</v>
      </c>
      <c r="D160" s="2">
        <f t="shared" si="1"/>
        <v>1900</v>
      </c>
      <c r="E160" s="2">
        <f t="shared" si="2"/>
        <v>27899</v>
      </c>
      <c r="F160" s="2">
        <f t="shared" si="3"/>
        <v>5200</v>
      </c>
      <c r="G160" s="2">
        <f t="shared" si="4"/>
        <v>20799</v>
      </c>
      <c r="H160" s="2">
        <f t="shared" si="5"/>
        <v>22699</v>
      </c>
      <c r="I160" s="2">
        <f t="shared" si="6"/>
        <v>4328</v>
      </c>
      <c r="J160" s="2">
        <f t="shared" si="7"/>
        <v>2978</v>
      </c>
      <c r="K160" s="2">
        <f t="shared" si="8"/>
        <v>2304</v>
      </c>
      <c r="L160" s="2">
        <f t="shared" si="9"/>
        <v>1899</v>
      </c>
      <c r="M160" s="2">
        <f t="shared" si="10"/>
        <v>1629</v>
      </c>
      <c r="N160" s="2">
        <f t="shared" si="11"/>
        <v>1292</v>
      </c>
      <c r="O160" s="2">
        <f t="shared" si="12"/>
        <v>6500</v>
      </c>
      <c r="P160" s="2">
        <f t="shared" si="13"/>
        <v>19499</v>
      </c>
      <c r="Q160" s="2">
        <f t="shared" si="14"/>
        <v>21399</v>
      </c>
      <c r="R160" s="2">
        <f t="shared" si="15"/>
        <v>4080</v>
      </c>
      <c r="S160" s="2">
        <f t="shared" si="16"/>
        <v>2808</v>
      </c>
      <c r="T160" s="2">
        <f t="shared" si="17"/>
        <v>2172</v>
      </c>
      <c r="U160" s="2">
        <f t="shared" si="18"/>
        <v>1790</v>
      </c>
      <c r="V160" s="2">
        <f t="shared" si="19"/>
        <v>1536</v>
      </c>
      <c r="W160" s="2">
        <f t="shared" si="20"/>
        <v>1218</v>
      </c>
      <c r="X160" s="2">
        <f t="shared" si="21"/>
        <v>7800</v>
      </c>
      <c r="Y160" s="2">
        <f t="shared" si="22"/>
        <v>18199</v>
      </c>
      <c r="Z160" s="2">
        <f t="shared" si="23"/>
        <v>20099</v>
      </c>
      <c r="AA160" s="2">
        <f t="shared" si="24"/>
        <v>3832</v>
      </c>
      <c r="AB160" s="2">
        <f t="shared" si="25"/>
        <v>2637</v>
      </c>
      <c r="AC160" s="2">
        <f t="shared" si="26"/>
        <v>2040</v>
      </c>
      <c r="AD160" s="2">
        <f t="shared" si="27"/>
        <v>1682</v>
      </c>
      <c r="AE160" s="2">
        <f t="shared" si="28"/>
        <v>1443</v>
      </c>
      <c r="AF160" s="2">
        <f t="shared" si="29"/>
        <v>1144</v>
      </c>
      <c r="AG160" s="2">
        <f t="shared" si="30"/>
        <v>9100</v>
      </c>
      <c r="AH160" s="2">
        <f t="shared" si="31"/>
        <v>16899</v>
      </c>
      <c r="AI160" s="2">
        <f t="shared" si="32"/>
        <v>18799</v>
      </c>
      <c r="AJ160" s="2">
        <f t="shared" si="33"/>
        <v>3584</v>
      </c>
      <c r="AK160" s="2">
        <f t="shared" si="34"/>
        <v>2467</v>
      </c>
      <c r="AL160" s="2">
        <f t="shared" si="35"/>
        <v>1908</v>
      </c>
      <c r="AM160" s="2">
        <f t="shared" si="36"/>
        <v>1573</v>
      </c>
      <c r="AN160" s="2">
        <f t="shared" si="37"/>
        <v>1349</v>
      </c>
      <c r="AO160" s="2">
        <f t="shared" si="38"/>
        <v>1070</v>
      </c>
      <c r="AP160" s="2">
        <f t="shared" si="39"/>
        <v>10400</v>
      </c>
      <c r="AQ160" s="2">
        <f t="shared" si="40"/>
        <v>15599</v>
      </c>
      <c r="AR160" s="2">
        <f t="shared" si="41"/>
        <v>17499</v>
      </c>
      <c r="AS160" s="2">
        <f t="shared" si="42"/>
        <v>3336</v>
      </c>
      <c r="AT160" s="2">
        <f t="shared" si="43"/>
        <v>2296</v>
      </c>
      <c r="AU160" s="2">
        <f t="shared" si="44"/>
        <v>1776</v>
      </c>
      <c r="AV160" s="2">
        <f t="shared" si="45"/>
        <v>1464</v>
      </c>
      <c r="AW160" s="2">
        <f t="shared" si="46"/>
        <v>1256</v>
      </c>
      <c r="AX160" s="2">
        <f t="shared" si="47"/>
        <v>996</v>
      </c>
    </row>
    <row r="161" ht="14.25" customHeight="1">
      <c r="A161" s="2" t="str">
        <f t="array" ref="A161">IFERROR(INDEX('Product Price'!A:A,SMALL('Product Price'!$D:$D,159)),"")</f>
        <v>XIAOMI 17T 12/512 GB</v>
      </c>
      <c r="B161" s="2">
        <f t="array" ref="B161">IFERROR(INDEX('Product Price'!B:B,SMALL('Product Price'!$D:$D,159)),"")</f>
        <v>22999</v>
      </c>
      <c r="C161" s="2">
        <f t="array" ref="C161">IFERROR(INDEX('Product Price'!C:C,SMALL('Product Price'!$D:$D,159)),"")</f>
        <v>139</v>
      </c>
      <c r="D161" s="2">
        <f t="shared" si="1"/>
        <v>1900</v>
      </c>
      <c r="E161" s="2">
        <f t="shared" si="2"/>
        <v>24899</v>
      </c>
      <c r="F161" s="2">
        <f t="shared" si="3"/>
        <v>4600</v>
      </c>
      <c r="G161" s="2">
        <f t="shared" si="4"/>
        <v>18399</v>
      </c>
      <c r="H161" s="2">
        <f t="shared" si="5"/>
        <v>20299</v>
      </c>
      <c r="I161" s="2">
        <f t="shared" si="6"/>
        <v>3870</v>
      </c>
      <c r="J161" s="2">
        <f t="shared" si="7"/>
        <v>2664</v>
      </c>
      <c r="K161" s="2">
        <f t="shared" si="8"/>
        <v>2060</v>
      </c>
      <c r="L161" s="2">
        <f t="shared" si="9"/>
        <v>1698</v>
      </c>
      <c r="M161" s="2">
        <f t="shared" si="10"/>
        <v>1457</v>
      </c>
      <c r="N161" s="2">
        <f t="shared" si="11"/>
        <v>1155</v>
      </c>
      <c r="O161" s="2">
        <f t="shared" si="12"/>
        <v>5750</v>
      </c>
      <c r="P161" s="2">
        <f t="shared" si="13"/>
        <v>17249</v>
      </c>
      <c r="Q161" s="2">
        <f t="shared" si="14"/>
        <v>19149</v>
      </c>
      <c r="R161" s="2">
        <f t="shared" si="15"/>
        <v>3651</v>
      </c>
      <c r="S161" s="2">
        <f t="shared" si="16"/>
        <v>2513</v>
      </c>
      <c r="T161" s="2">
        <f t="shared" si="17"/>
        <v>1944</v>
      </c>
      <c r="U161" s="2">
        <f t="shared" si="18"/>
        <v>1602</v>
      </c>
      <c r="V161" s="2">
        <f t="shared" si="19"/>
        <v>1374</v>
      </c>
      <c r="W161" s="2">
        <f t="shared" si="20"/>
        <v>1090</v>
      </c>
      <c r="X161" s="2">
        <f t="shared" si="21"/>
        <v>6900</v>
      </c>
      <c r="Y161" s="2">
        <f t="shared" si="22"/>
        <v>16099</v>
      </c>
      <c r="Z161" s="2">
        <f t="shared" si="23"/>
        <v>17999</v>
      </c>
      <c r="AA161" s="2">
        <f t="shared" si="24"/>
        <v>3432</v>
      </c>
      <c r="AB161" s="2">
        <f t="shared" si="25"/>
        <v>2362</v>
      </c>
      <c r="AC161" s="2">
        <f t="shared" si="26"/>
        <v>1827</v>
      </c>
      <c r="AD161" s="2">
        <f t="shared" si="27"/>
        <v>1506</v>
      </c>
      <c r="AE161" s="2">
        <f t="shared" si="28"/>
        <v>1292</v>
      </c>
      <c r="AF161" s="2">
        <f t="shared" si="29"/>
        <v>1024</v>
      </c>
      <c r="AG161" s="2">
        <f t="shared" si="30"/>
        <v>8050</v>
      </c>
      <c r="AH161" s="2">
        <f t="shared" si="31"/>
        <v>14949</v>
      </c>
      <c r="AI161" s="2">
        <f t="shared" si="32"/>
        <v>16849</v>
      </c>
      <c r="AJ161" s="2">
        <f t="shared" si="33"/>
        <v>3213</v>
      </c>
      <c r="AK161" s="2">
        <f t="shared" si="34"/>
        <v>2211</v>
      </c>
      <c r="AL161" s="2">
        <f t="shared" si="35"/>
        <v>1710</v>
      </c>
      <c r="AM161" s="2">
        <f t="shared" si="36"/>
        <v>1410</v>
      </c>
      <c r="AN161" s="2">
        <f t="shared" si="37"/>
        <v>1209</v>
      </c>
      <c r="AO161" s="2">
        <f t="shared" si="38"/>
        <v>959</v>
      </c>
      <c r="AP161" s="2">
        <f t="shared" si="39"/>
        <v>9200</v>
      </c>
      <c r="AQ161" s="2">
        <f t="shared" si="40"/>
        <v>13799</v>
      </c>
      <c r="AR161" s="2">
        <f t="shared" si="41"/>
        <v>15699</v>
      </c>
      <c r="AS161" s="2">
        <f t="shared" si="42"/>
        <v>2993</v>
      </c>
      <c r="AT161" s="2">
        <f t="shared" si="43"/>
        <v>2060</v>
      </c>
      <c r="AU161" s="2">
        <f t="shared" si="44"/>
        <v>1594</v>
      </c>
      <c r="AV161" s="2">
        <f t="shared" si="45"/>
        <v>1314</v>
      </c>
      <c r="AW161" s="2">
        <f t="shared" si="46"/>
        <v>1127</v>
      </c>
      <c r="AX161" s="2">
        <f t="shared" si="47"/>
        <v>894</v>
      </c>
    </row>
    <row r="162" ht="14.25" customHeight="1">
      <c r="A162" s="2" t="str">
        <f t="array" ref="A162">IFERROR(INDEX('Product Price'!A:A,SMALL('Product Price'!$D:$D,160)),"")</f>
        <v>XIAOMI 17T 12/256 GB</v>
      </c>
      <c r="B162" s="2">
        <f t="array" ref="B162">IFERROR(INDEX('Product Price'!B:B,SMALL('Product Price'!$D:$D,160)),"")</f>
        <v>19999</v>
      </c>
      <c r="C162" s="2">
        <f t="array" ref="C162">IFERROR(INDEX('Product Price'!C:C,SMALL('Product Price'!$D:$D,160)),"")</f>
        <v>140</v>
      </c>
      <c r="D162" s="2">
        <f t="shared" si="1"/>
        <v>1450</v>
      </c>
      <c r="E162" s="2">
        <f t="shared" si="2"/>
        <v>21449</v>
      </c>
      <c r="F162" s="2">
        <f t="shared" si="3"/>
        <v>4000</v>
      </c>
      <c r="G162" s="2">
        <f t="shared" si="4"/>
        <v>15999</v>
      </c>
      <c r="H162" s="2">
        <f t="shared" si="5"/>
        <v>17449</v>
      </c>
      <c r="I162" s="2">
        <f t="shared" si="6"/>
        <v>3327</v>
      </c>
      <c r="J162" s="2">
        <f t="shared" si="7"/>
        <v>2290</v>
      </c>
      <c r="K162" s="2">
        <f t="shared" si="8"/>
        <v>1771</v>
      </c>
      <c r="L162" s="2">
        <f t="shared" si="9"/>
        <v>1460</v>
      </c>
      <c r="M162" s="2">
        <f t="shared" si="10"/>
        <v>1252</v>
      </c>
      <c r="N162" s="2">
        <f t="shared" si="11"/>
        <v>993</v>
      </c>
      <c r="O162" s="2">
        <f t="shared" si="12"/>
        <v>5000</v>
      </c>
      <c r="P162" s="2">
        <f t="shared" si="13"/>
        <v>14999</v>
      </c>
      <c r="Q162" s="2">
        <f t="shared" si="14"/>
        <v>16449</v>
      </c>
      <c r="R162" s="2">
        <f t="shared" si="15"/>
        <v>3136</v>
      </c>
      <c r="S162" s="2">
        <f t="shared" si="16"/>
        <v>2159</v>
      </c>
      <c r="T162" s="2">
        <f t="shared" si="17"/>
        <v>1670</v>
      </c>
      <c r="U162" s="2">
        <f t="shared" si="18"/>
        <v>1376</v>
      </c>
      <c r="V162" s="2">
        <f t="shared" si="19"/>
        <v>1181</v>
      </c>
      <c r="W162" s="2">
        <f t="shared" si="20"/>
        <v>936</v>
      </c>
      <c r="X162" s="2">
        <f t="shared" si="21"/>
        <v>6000</v>
      </c>
      <c r="Y162" s="2">
        <f t="shared" si="22"/>
        <v>13999</v>
      </c>
      <c r="Z162" s="2">
        <f t="shared" si="23"/>
        <v>15449</v>
      </c>
      <c r="AA162" s="2">
        <f t="shared" si="24"/>
        <v>2946</v>
      </c>
      <c r="AB162" s="2">
        <f t="shared" si="25"/>
        <v>2027</v>
      </c>
      <c r="AC162" s="2">
        <f t="shared" si="26"/>
        <v>1568</v>
      </c>
      <c r="AD162" s="2">
        <f t="shared" si="27"/>
        <v>1293</v>
      </c>
      <c r="AE162" s="2">
        <f t="shared" si="28"/>
        <v>1109</v>
      </c>
      <c r="AF162" s="2">
        <f t="shared" si="29"/>
        <v>879</v>
      </c>
      <c r="AG162" s="2">
        <f t="shared" si="30"/>
        <v>7000</v>
      </c>
      <c r="AH162" s="2">
        <f t="shared" si="31"/>
        <v>12999</v>
      </c>
      <c r="AI162" s="2">
        <f t="shared" si="32"/>
        <v>14449</v>
      </c>
      <c r="AJ162" s="2">
        <f t="shared" si="33"/>
        <v>2755</v>
      </c>
      <c r="AK162" s="2">
        <f t="shared" si="34"/>
        <v>1896</v>
      </c>
      <c r="AL162" s="2">
        <f t="shared" si="35"/>
        <v>1467</v>
      </c>
      <c r="AM162" s="2">
        <f t="shared" si="36"/>
        <v>1209</v>
      </c>
      <c r="AN162" s="2">
        <f t="shared" si="37"/>
        <v>1037</v>
      </c>
      <c r="AO162" s="2">
        <f t="shared" si="38"/>
        <v>822</v>
      </c>
      <c r="AP162" s="2">
        <f t="shared" si="39"/>
        <v>8000</v>
      </c>
      <c r="AQ162" s="2">
        <f t="shared" si="40"/>
        <v>11999</v>
      </c>
      <c r="AR162" s="2">
        <f t="shared" si="41"/>
        <v>13449</v>
      </c>
      <c r="AS162" s="2">
        <f t="shared" si="42"/>
        <v>2564</v>
      </c>
      <c r="AT162" s="2">
        <f t="shared" si="43"/>
        <v>1765</v>
      </c>
      <c r="AU162" s="2">
        <f t="shared" si="44"/>
        <v>1365</v>
      </c>
      <c r="AV162" s="2">
        <f t="shared" si="45"/>
        <v>1125</v>
      </c>
      <c r="AW162" s="2">
        <f t="shared" si="46"/>
        <v>965</v>
      </c>
      <c r="AX162" s="2">
        <f t="shared" si="47"/>
        <v>766</v>
      </c>
    </row>
    <row r="163" ht="14.25" customHeight="1">
      <c r="A163" s="2" t="str">
        <f t="array" ref="A163">IFERROR(INDEX('Product Price'!A:A,SMALL('Product Price'!$D:$D,161)),"")</f>
        <v>REDMI Pad 2 9.7 4G 4/128 GB</v>
      </c>
      <c r="B163" s="2">
        <f t="array" ref="B163">IFERROR(INDEX('Product Price'!B:B,SMALL('Product Price'!$D:$D,161)),"")</f>
        <v>5999</v>
      </c>
      <c r="C163" s="2">
        <f t="array" ref="C163">IFERROR(INDEX('Product Price'!C:C,SMALL('Product Price'!$D:$D,161)),"")</f>
        <v>141</v>
      </c>
      <c r="D163" s="2">
        <f t="shared" si="1"/>
        <v>795</v>
      </c>
      <c r="E163" s="2">
        <f t="shared" si="2"/>
        <v>6794</v>
      </c>
      <c r="F163" s="2">
        <f t="shared" si="3"/>
        <v>1200</v>
      </c>
      <c r="G163" s="2">
        <f t="shared" si="4"/>
        <v>4799</v>
      </c>
      <c r="H163" s="2">
        <f t="shared" si="5"/>
        <v>5594</v>
      </c>
      <c r="I163" s="2">
        <f t="shared" si="6"/>
        <v>1067</v>
      </c>
      <c r="J163" s="2">
        <f t="shared" si="7"/>
        <v>734</v>
      </c>
      <c r="K163" s="2">
        <f t="shared" si="8"/>
        <v>568</v>
      </c>
      <c r="L163" s="2">
        <f t="shared" si="9"/>
        <v>468</v>
      </c>
      <c r="M163" s="2">
        <f t="shared" si="10"/>
        <v>402</v>
      </c>
      <c r="N163" s="2" t="str">
        <f t="shared" si="11"/>
        <v>-</v>
      </c>
      <c r="O163" s="2">
        <f t="shared" si="12"/>
        <v>1500</v>
      </c>
      <c r="P163" s="2">
        <f t="shared" si="13"/>
        <v>4499</v>
      </c>
      <c r="Q163" s="2">
        <f t="shared" si="14"/>
        <v>5294</v>
      </c>
      <c r="R163" s="2">
        <f t="shared" si="15"/>
        <v>1010</v>
      </c>
      <c r="S163" s="2">
        <f t="shared" si="16"/>
        <v>695</v>
      </c>
      <c r="T163" s="2">
        <f t="shared" si="17"/>
        <v>538</v>
      </c>
      <c r="U163" s="2">
        <f t="shared" si="18"/>
        <v>443</v>
      </c>
      <c r="V163" s="2" t="str">
        <f t="shared" si="19"/>
        <v>-</v>
      </c>
      <c r="W163" s="2" t="str">
        <f t="shared" si="20"/>
        <v>-</v>
      </c>
      <c r="X163" s="2">
        <f t="shared" si="21"/>
        <v>1800</v>
      </c>
      <c r="Y163" s="2">
        <f t="shared" si="22"/>
        <v>4199</v>
      </c>
      <c r="Z163" s="2">
        <f t="shared" si="23"/>
        <v>4994</v>
      </c>
      <c r="AA163" s="2">
        <f t="shared" si="24"/>
        <v>953</v>
      </c>
      <c r="AB163" s="2">
        <f t="shared" si="25"/>
        <v>656</v>
      </c>
      <c r="AC163" s="2">
        <f t="shared" si="26"/>
        <v>507</v>
      </c>
      <c r="AD163" s="2">
        <f t="shared" si="27"/>
        <v>418</v>
      </c>
      <c r="AE163" s="2" t="str">
        <f t="shared" si="28"/>
        <v>-</v>
      </c>
      <c r="AF163" s="2" t="str">
        <f t="shared" si="29"/>
        <v>-</v>
      </c>
      <c r="AG163" s="2">
        <f t="shared" si="30"/>
        <v>2100</v>
      </c>
      <c r="AH163" s="2">
        <f t="shared" si="31"/>
        <v>3899</v>
      </c>
      <c r="AI163" s="2">
        <f t="shared" si="32"/>
        <v>4694</v>
      </c>
      <c r="AJ163" s="2">
        <f t="shared" si="33"/>
        <v>895</v>
      </c>
      <c r="AK163" s="2">
        <f t="shared" si="34"/>
        <v>616</v>
      </c>
      <c r="AL163" s="2">
        <f t="shared" si="35"/>
        <v>477</v>
      </c>
      <c r="AM163" s="2" t="str">
        <f t="shared" si="36"/>
        <v>-</v>
      </c>
      <c r="AN163" s="2" t="str">
        <f t="shared" si="37"/>
        <v>-</v>
      </c>
      <c r="AO163" s="2" t="str">
        <f t="shared" si="38"/>
        <v>-</v>
      </c>
      <c r="AP163" s="2">
        <f t="shared" si="39"/>
        <v>2400</v>
      </c>
      <c r="AQ163" s="2">
        <f t="shared" si="40"/>
        <v>3599</v>
      </c>
      <c r="AR163" s="2">
        <f t="shared" si="41"/>
        <v>4394</v>
      </c>
      <c r="AS163" s="2">
        <f t="shared" si="42"/>
        <v>838</v>
      </c>
      <c r="AT163" s="2">
        <f t="shared" si="43"/>
        <v>577</v>
      </c>
      <c r="AU163" s="2">
        <f t="shared" si="44"/>
        <v>446</v>
      </c>
      <c r="AV163" s="2" t="str">
        <f t="shared" si="45"/>
        <v>-</v>
      </c>
      <c r="AW163" s="2" t="str">
        <f t="shared" si="46"/>
        <v>-</v>
      </c>
      <c r="AX163" s="2" t="str">
        <f t="shared" si="47"/>
        <v>-</v>
      </c>
    </row>
    <row r="164" ht="14.25" customHeight="1">
      <c r="A164" s="2" t="str">
        <f t="array" ref="A164">IFERROR(INDEX('Product Price'!A:A,SMALL('Product Price'!$D:$D,162)),"")</f>
        <v>REDMI Pad 2 9.7 4G 4/64 GB</v>
      </c>
      <c r="B164" s="2">
        <f t="array" ref="B164">IFERROR(INDEX('Product Price'!B:B,SMALL('Product Price'!$D:$D,162)),"")</f>
        <v>5499</v>
      </c>
      <c r="C164" s="2">
        <f t="array" ref="C164">IFERROR(INDEX('Product Price'!C:C,SMALL('Product Price'!$D:$D,162)),"")</f>
        <v>142</v>
      </c>
      <c r="D164" s="2">
        <f t="shared" si="1"/>
        <v>795</v>
      </c>
      <c r="E164" s="2">
        <f t="shared" si="2"/>
        <v>6294</v>
      </c>
      <c r="F164" s="2">
        <f t="shared" si="3"/>
        <v>1100</v>
      </c>
      <c r="G164" s="2">
        <f t="shared" si="4"/>
        <v>4399</v>
      </c>
      <c r="H164" s="2">
        <f t="shared" si="5"/>
        <v>5194</v>
      </c>
      <c r="I164" s="2">
        <f t="shared" si="6"/>
        <v>991</v>
      </c>
      <c r="J164" s="2">
        <f t="shared" si="7"/>
        <v>682</v>
      </c>
      <c r="K164" s="2">
        <f t="shared" si="8"/>
        <v>528</v>
      </c>
      <c r="L164" s="2">
        <f t="shared" si="9"/>
        <v>435</v>
      </c>
      <c r="M164" s="2" t="str">
        <f t="shared" si="10"/>
        <v>-</v>
      </c>
      <c r="N164" s="2" t="str">
        <f t="shared" si="11"/>
        <v>-</v>
      </c>
      <c r="O164" s="2">
        <f t="shared" si="12"/>
        <v>1375</v>
      </c>
      <c r="P164" s="2">
        <f t="shared" si="13"/>
        <v>4124</v>
      </c>
      <c r="Q164" s="2">
        <f t="shared" si="14"/>
        <v>4919</v>
      </c>
      <c r="R164" s="2">
        <f t="shared" si="15"/>
        <v>938</v>
      </c>
      <c r="S164" s="2">
        <f t="shared" si="16"/>
        <v>646</v>
      </c>
      <c r="T164" s="2">
        <f t="shared" si="17"/>
        <v>500</v>
      </c>
      <c r="U164" s="2">
        <f t="shared" si="18"/>
        <v>412</v>
      </c>
      <c r="V164" s="2" t="str">
        <f t="shared" si="19"/>
        <v>-</v>
      </c>
      <c r="W164" s="2" t="str">
        <f t="shared" si="20"/>
        <v>-</v>
      </c>
      <c r="X164" s="2">
        <f t="shared" si="21"/>
        <v>1650</v>
      </c>
      <c r="Y164" s="2">
        <f t="shared" si="22"/>
        <v>3849</v>
      </c>
      <c r="Z164" s="2">
        <f t="shared" si="23"/>
        <v>4644</v>
      </c>
      <c r="AA164" s="2">
        <f t="shared" si="24"/>
        <v>886</v>
      </c>
      <c r="AB164" s="2">
        <f t="shared" si="25"/>
        <v>610</v>
      </c>
      <c r="AC164" s="2">
        <f t="shared" si="26"/>
        <v>472</v>
      </c>
      <c r="AD164" s="2" t="str">
        <f t="shared" si="27"/>
        <v>-</v>
      </c>
      <c r="AE164" s="2" t="str">
        <f t="shared" si="28"/>
        <v>-</v>
      </c>
      <c r="AF164" s="2" t="str">
        <f t="shared" si="29"/>
        <v>-</v>
      </c>
      <c r="AG164" s="2">
        <f t="shared" si="30"/>
        <v>1925</v>
      </c>
      <c r="AH164" s="2">
        <f t="shared" si="31"/>
        <v>3574</v>
      </c>
      <c r="AI164" s="2">
        <f t="shared" si="32"/>
        <v>4369</v>
      </c>
      <c r="AJ164" s="2">
        <f t="shared" si="33"/>
        <v>833</v>
      </c>
      <c r="AK164" s="2">
        <f t="shared" si="34"/>
        <v>574</v>
      </c>
      <c r="AL164" s="2">
        <f t="shared" si="35"/>
        <v>444</v>
      </c>
      <c r="AM164" s="2" t="str">
        <f t="shared" si="36"/>
        <v>-</v>
      </c>
      <c r="AN164" s="2" t="str">
        <f t="shared" si="37"/>
        <v>-</v>
      </c>
      <c r="AO164" s="2" t="str">
        <f t="shared" si="38"/>
        <v>-</v>
      </c>
      <c r="AP164" s="2">
        <f t="shared" si="39"/>
        <v>2200</v>
      </c>
      <c r="AQ164" s="2">
        <f t="shared" si="40"/>
        <v>3299</v>
      </c>
      <c r="AR164" s="2">
        <f t="shared" si="41"/>
        <v>4094</v>
      </c>
      <c r="AS164" s="2">
        <f t="shared" si="42"/>
        <v>781</v>
      </c>
      <c r="AT164" s="2">
        <f t="shared" si="43"/>
        <v>538</v>
      </c>
      <c r="AU164" s="2">
        <f t="shared" si="44"/>
        <v>416</v>
      </c>
      <c r="AV164" s="2" t="str">
        <f t="shared" si="45"/>
        <v>-</v>
      </c>
      <c r="AW164" s="2" t="str">
        <f t="shared" si="46"/>
        <v>-</v>
      </c>
      <c r="AX164" s="2" t="str">
        <f t="shared" si="47"/>
        <v>-</v>
      </c>
    </row>
    <row r="165" ht="14.25" customHeight="1">
      <c r="A165" s="2" t="str">
        <f t="array" ref="A165">IFERROR(INDEX('Product Price'!A:A,SMALL('Product Price'!$D:$D,163)),"")</f>
        <v>REDMI 17 5G 4/256 GB</v>
      </c>
      <c r="B165" s="2">
        <f t="array" ref="B165">IFERROR(INDEX('Product Price'!B:B,SMALL('Product Price'!$D:$D,163)),"")</f>
        <v>8999</v>
      </c>
      <c r="C165" s="2">
        <f t="array" ref="C165">IFERROR(INDEX('Product Price'!C:C,SMALL('Product Price'!$D:$D,163)),"")</f>
        <v>150</v>
      </c>
      <c r="D165" s="2">
        <f t="shared" si="1"/>
        <v>795</v>
      </c>
      <c r="E165" s="2">
        <f t="shared" si="2"/>
        <v>9794</v>
      </c>
      <c r="F165" s="2">
        <f t="shared" si="3"/>
        <v>1800</v>
      </c>
      <c r="G165" s="2">
        <f t="shared" si="4"/>
        <v>7199</v>
      </c>
      <c r="H165" s="2">
        <f t="shared" si="5"/>
        <v>7994</v>
      </c>
      <c r="I165" s="2">
        <f t="shared" si="6"/>
        <v>1524</v>
      </c>
      <c r="J165" s="2">
        <f t="shared" si="7"/>
        <v>1049</v>
      </c>
      <c r="K165" s="2">
        <f t="shared" si="8"/>
        <v>812</v>
      </c>
      <c r="L165" s="2">
        <f t="shared" si="9"/>
        <v>669</v>
      </c>
      <c r="M165" s="2">
        <f t="shared" si="10"/>
        <v>574</v>
      </c>
      <c r="N165" s="2">
        <f t="shared" si="11"/>
        <v>455</v>
      </c>
      <c r="O165" s="2">
        <f t="shared" si="12"/>
        <v>2250</v>
      </c>
      <c r="P165" s="2">
        <f t="shared" si="13"/>
        <v>6749</v>
      </c>
      <c r="Q165" s="2">
        <f t="shared" si="14"/>
        <v>7544</v>
      </c>
      <c r="R165" s="2">
        <f t="shared" si="15"/>
        <v>1439</v>
      </c>
      <c r="S165" s="2">
        <f t="shared" si="16"/>
        <v>990</v>
      </c>
      <c r="T165" s="2">
        <f t="shared" si="17"/>
        <v>766</v>
      </c>
      <c r="U165" s="2">
        <f t="shared" si="18"/>
        <v>631</v>
      </c>
      <c r="V165" s="2">
        <f t="shared" si="19"/>
        <v>542</v>
      </c>
      <c r="W165" s="2">
        <f t="shared" si="20"/>
        <v>430</v>
      </c>
      <c r="X165" s="2">
        <f t="shared" si="21"/>
        <v>2700</v>
      </c>
      <c r="Y165" s="2">
        <f t="shared" si="22"/>
        <v>6299</v>
      </c>
      <c r="Z165" s="2">
        <f t="shared" si="23"/>
        <v>7094</v>
      </c>
      <c r="AA165" s="2">
        <f t="shared" si="24"/>
        <v>1353</v>
      </c>
      <c r="AB165" s="2">
        <f t="shared" si="25"/>
        <v>931</v>
      </c>
      <c r="AC165" s="2">
        <f t="shared" si="26"/>
        <v>720</v>
      </c>
      <c r="AD165" s="2">
        <f t="shared" si="27"/>
        <v>594</v>
      </c>
      <c r="AE165" s="2">
        <f t="shared" si="28"/>
        <v>509</v>
      </c>
      <c r="AF165" s="2">
        <f t="shared" si="29"/>
        <v>404</v>
      </c>
      <c r="AG165" s="2">
        <f t="shared" si="30"/>
        <v>3150</v>
      </c>
      <c r="AH165" s="2">
        <f t="shared" si="31"/>
        <v>5849</v>
      </c>
      <c r="AI165" s="2">
        <f t="shared" si="32"/>
        <v>6644</v>
      </c>
      <c r="AJ165" s="2">
        <f t="shared" si="33"/>
        <v>1267</v>
      </c>
      <c r="AK165" s="2">
        <f t="shared" si="34"/>
        <v>872</v>
      </c>
      <c r="AL165" s="2">
        <f t="shared" si="35"/>
        <v>675</v>
      </c>
      <c r="AM165" s="2">
        <f t="shared" si="36"/>
        <v>556</v>
      </c>
      <c r="AN165" s="2">
        <f t="shared" si="37"/>
        <v>477</v>
      </c>
      <c r="AO165" s="2" t="str">
        <f t="shared" si="38"/>
        <v>-</v>
      </c>
      <c r="AP165" s="2">
        <f t="shared" si="39"/>
        <v>3600</v>
      </c>
      <c r="AQ165" s="2">
        <f t="shared" si="40"/>
        <v>5399</v>
      </c>
      <c r="AR165" s="2">
        <f t="shared" si="41"/>
        <v>6194</v>
      </c>
      <c r="AS165" s="2">
        <f t="shared" si="42"/>
        <v>1181</v>
      </c>
      <c r="AT165" s="2">
        <f t="shared" si="43"/>
        <v>813</v>
      </c>
      <c r="AU165" s="2">
        <f t="shared" si="44"/>
        <v>629</v>
      </c>
      <c r="AV165" s="2">
        <f t="shared" si="45"/>
        <v>519</v>
      </c>
      <c r="AW165" s="2">
        <f t="shared" si="46"/>
        <v>445</v>
      </c>
      <c r="AX165" s="2" t="str">
        <f t="shared" si="47"/>
        <v>-</v>
      </c>
    </row>
    <row r="166" ht="14.25" customHeight="1">
      <c r="A166" s="2" t="str">
        <f t="array" ref="A166">IFERROR(INDEX('Product Price'!A:A,SMALL('Product Price'!$D:$D,164)),"")</f>
        <v>REDMI 17 5G 4/128 GB</v>
      </c>
      <c r="B166" s="2">
        <f t="array" ref="B166">IFERROR(INDEX('Product Price'!B:B,SMALL('Product Price'!$D:$D,164)),"")</f>
        <v>7999</v>
      </c>
      <c r="C166" s="2">
        <f t="array" ref="C166">IFERROR(INDEX('Product Price'!C:C,SMALL('Product Price'!$D:$D,164)),"")</f>
        <v>151</v>
      </c>
      <c r="D166" s="2">
        <f t="shared" si="1"/>
        <v>795</v>
      </c>
      <c r="E166" s="2">
        <f t="shared" si="2"/>
        <v>8794</v>
      </c>
      <c r="F166" s="2">
        <f t="shared" si="3"/>
        <v>1600</v>
      </c>
      <c r="G166" s="2">
        <f t="shared" si="4"/>
        <v>6399</v>
      </c>
      <c r="H166" s="2">
        <f t="shared" si="5"/>
        <v>7194</v>
      </c>
      <c r="I166" s="2">
        <f t="shared" si="6"/>
        <v>1372</v>
      </c>
      <c r="J166" s="2">
        <f t="shared" si="7"/>
        <v>944</v>
      </c>
      <c r="K166" s="2">
        <f t="shared" si="8"/>
        <v>730</v>
      </c>
      <c r="L166" s="2">
        <f t="shared" si="9"/>
        <v>602</v>
      </c>
      <c r="M166" s="2">
        <f t="shared" si="10"/>
        <v>517</v>
      </c>
      <c r="N166" s="2">
        <f t="shared" si="11"/>
        <v>410</v>
      </c>
      <c r="O166" s="2">
        <f t="shared" si="12"/>
        <v>2000</v>
      </c>
      <c r="P166" s="2">
        <f t="shared" si="13"/>
        <v>5999</v>
      </c>
      <c r="Q166" s="2">
        <f t="shared" si="14"/>
        <v>6794</v>
      </c>
      <c r="R166" s="2">
        <f t="shared" si="15"/>
        <v>1296</v>
      </c>
      <c r="S166" s="2">
        <f t="shared" si="16"/>
        <v>892</v>
      </c>
      <c r="T166" s="2">
        <f t="shared" si="17"/>
        <v>690</v>
      </c>
      <c r="U166" s="2">
        <f t="shared" si="18"/>
        <v>569</v>
      </c>
      <c r="V166" s="2">
        <f t="shared" si="19"/>
        <v>488</v>
      </c>
      <c r="W166" s="2" t="str">
        <f t="shared" si="20"/>
        <v>-</v>
      </c>
      <c r="X166" s="2">
        <f t="shared" si="21"/>
        <v>2400</v>
      </c>
      <c r="Y166" s="2">
        <f t="shared" si="22"/>
        <v>5599</v>
      </c>
      <c r="Z166" s="2">
        <f t="shared" si="23"/>
        <v>6394</v>
      </c>
      <c r="AA166" s="2">
        <f t="shared" si="24"/>
        <v>1219</v>
      </c>
      <c r="AB166" s="2">
        <f t="shared" si="25"/>
        <v>839</v>
      </c>
      <c r="AC166" s="2">
        <f t="shared" si="26"/>
        <v>649</v>
      </c>
      <c r="AD166" s="2">
        <f t="shared" si="27"/>
        <v>535</v>
      </c>
      <c r="AE166" s="2">
        <f t="shared" si="28"/>
        <v>459</v>
      </c>
      <c r="AF166" s="2" t="str">
        <f t="shared" si="29"/>
        <v>-</v>
      </c>
      <c r="AG166" s="2">
        <f t="shared" si="30"/>
        <v>2800</v>
      </c>
      <c r="AH166" s="2">
        <f t="shared" si="31"/>
        <v>5199</v>
      </c>
      <c r="AI166" s="2">
        <f t="shared" si="32"/>
        <v>5994</v>
      </c>
      <c r="AJ166" s="2">
        <f t="shared" si="33"/>
        <v>1143</v>
      </c>
      <c r="AK166" s="2">
        <f t="shared" si="34"/>
        <v>787</v>
      </c>
      <c r="AL166" s="2">
        <f t="shared" si="35"/>
        <v>609</v>
      </c>
      <c r="AM166" s="2">
        <f t="shared" si="36"/>
        <v>502</v>
      </c>
      <c r="AN166" s="2">
        <f t="shared" si="37"/>
        <v>431</v>
      </c>
      <c r="AO166" s="2" t="str">
        <f t="shared" si="38"/>
        <v>-</v>
      </c>
      <c r="AP166" s="2">
        <f t="shared" si="39"/>
        <v>3200</v>
      </c>
      <c r="AQ166" s="2">
        <f t="shared" si="40"/>
        <v>4799</v>
      </c>
      <c r="AR166" s="2">
        <f t="shared" si="41"/>
        <v>5594</v>
      </c>
      <c r="AS166" s="2">
        <f t="shared" si="42"/>
        <v>1067</v>
      </c>
      <c r="AT166" s="2">
        <f t="shared" si="43"/>
        <v>734</v>
      </c>
      <c r="AU166" s="2">
        <f t="shared" si="44"/>
        <v>568</v>
      </c>
      <c r="AV166" s="2">
        <f t="shared" si="45"/>
        <v>468</v>
      </c>
      <c r="AW166" s="2">
        <f t="shared" si="46"/>
        <v>402</v>
      </c>
      <c r="AX166" s="2" t="str">
        <f t="shared" si="47"/>
        <v>-</v>
      </c>
    </row>
    <row r="167" ht="14.25" customHeight="1">
      <c r="A167" s="2" t="str">
        <f t="array" ref="A167">IFERROR(INDEX('Product Price'!A:A,SMALL('Product Price'!$D:$D,165)),"")</f>
        <v>REDMI 17 4/256 GB</v>
      </c>
      <c r="B167" s="2">
        <f t="array" ref="B167">IFERROR(INDEX('Product Price'!B:B,SMALL('Product Price'!$D:$D,165)),"")</f>
        <v>7999</v>
      </c>
      <c r="C167" s="2">
        <f t="array" ref="C167">IFERROR(INDEX('Product Price'!C:C,SMALL('Product Price'!$D:$D,165)),"")</f>
        <v>152</v>
      </c>
      <c r="D167" s="2">
        <f t="shared" si="1"/>
        <v>795</v>
      </c>
      <c r="E167" s="2">
        <f t="shared" si="2"/>
        <v>8794</v>
      </c>
      <c r="F167" s="2">
        <f t="shared" si="3"/>
        <v>1600</v>
      </c>
      <c r="G167" s="2">
        <f t="shared" si="4"/>
        <v>6399</v>
      </c>
      <c r="H167" s="2">
        <f t="shared" si="5"/>
        <v>7194</v>
      </c>
      <c r="I167" s="2">
        <f t="shared" si="6"/>
        <v>1372</v>
      </c>
      <c r="J167" s="2">
        <f t="shared" si="7"/>
        <v>944</v>
      </c>
      <c r="K167" s="2">
        <f t="shared" si="8"/>
        <v>730</v>
      </c>
      <c r="L167" s="2">
        <f t="shared" si="9"/>
        <v>602</v>
      </c>
      <c r="M167" s="2">
        <f t="shared" si="10"/>
        <v>517</v>
      </c>
      <c r="N167" s="2">
        <f t="shared" si="11"/>
        <v>410</v>
      </c>
      <c r="O167" s="2">
        <f t="shared" si="12"/>
        <v>2000</v>
      </c>
      <c r="P167" s="2">
        <f t="shared" si="13"/>
        <v>5999</v>
      </c>
      <c r="Q167" s="2">
        <f t="shared" si="14"/>
        <v>6794</v>
      </c>
      <c r="R167" s="2">
        <f t="shared" si="15"/>
        <v>1296</v>
      </c>
      <c r="S167" s="2">
        <f t="shared" si="16"/>
        <v>892</v>
      </c>
      <c r="T167" s="2">
        <f t="shared" si="17"/>
        <v>690</v>
      </c>
      <c r="U167" s="2">
        <f t="shared" si="18"/>
        <v>569</v>
      </c>
      <c r="V167" s="2">
        <f t="shared" si="19"/>
        <v>488</v>
      </c>
      <c r="W167" s="2" t="str">
        <f t="shared" si="20"/>
        <v>-</v>
      </c>
      <c r="X167" s="2">
        <f t="shared" si="21"/>
        <v>2400</v>
      </c>
      <c r="Y167" s="2">
        <f t="shared" si="22"/>
        <v>5599</v>
      </c>
      <c r="Z167" s="2">
        <f t="shared" si="23"/>
        <v>6394</v>
      </c>
      <c r="AA167" s="2">
        <f t="shared" si="24"/>
        <v>1219</v>
      </c>
      <c r="AB167" s="2">
        <f t="shared" si="25"/>
        <v>839</v>
      </c>
      <c r="AC167" s="2">
        <f t="shared" si="26"/>
        <v>649</v>
      </c>
      <c r="AD167" s="2">
        <f t="shared" si="27"/>
        <v>535</v>
      </c>
      <c r="AE167" s="2">
        <f t="shared" si="28"/>
        <v>459</v>
      </c>
      <c r="AF167" s="2" t="str">
        <f t="shared" si="29"/>
        <v>-</v>
      </c>
      <c r="AG167" s="2">
        <f t="shared" si="30"/>
        <v>2800</v>
      </c>
      <c r="AH167" s="2">
        <f t="shared" si="31"/>
        <v>5199</v>
      </c>
      <c r="AI167" s="2">
        <f t="shared" si="32"/>
        <v>5994</v>
      </c>
      <c r="AJ167" s="2">
        <f t="shared" si="33"/>
        <v>1143</v>
      </c>
      <c r="AK167" s="2">
        <f t="shared" si="34"/>
        <v>787</v>
      </c>
      <c r="AL167" s="2">
        <f t="shared" si="35"/>
        <v>609</v>
      </c>
      <c r="AM167" s="2">
        <f t="shared" si="36"/>
        <v>502</v>
      </c>
      <c r="AN167" s="2">
        <f t="shared" si="37"/>
        <v>431</v>
      </c>
      <c r="AO167" s="2" t="str">
        <f t="shared" si="38"/>
        <v>-</v>
      </c>
      <c r="AP167" s="2">
        <f t="shared" si="39"/>
        <v>3200</v>
      </c>
      <c r="AQ167" s="2">
        <f t="shared" si="40"/>
        <v>4799</v>
      </c>
      <c r="AR167" s="2">
        <f t="shared" si="41"/>
        <v>5594</v>
      </c>
      <c r="AS167" s="2">
        <f t="shared" si="42"/>
        <v>1067</v>
      </c>
      <c r="AT167" s="2">
        <f t="shared" si="43"/>
        <v>734</v>
      </c>
      <c r="AU167" s="2">
        <f t="shared" si="44"/>
        <v>568</v>
      </c>
      <c r="AV167" s="2">
        <f t="shared" si="45"/>
        <v>468</v>
      </c>
      <c r="AW167" s="2">
        <f t="shared" si="46"/>
        <v>402</v>
      </c>
      <c r="AX167" s="2" t="str">
        <f t="shared" si="47"/>
        <v>-</v>
      </c>
    </row>
    <row r="168" ht="14.25" customHeight="1">
      <c r="A168" s="2" t="str">
        <f t="array" ref="A168">IFERROR(INDEX('Product Price'!A:A,SMALL('Product Price'!$D:$D,166)),"")</f>
        <v>REDMI 17 4/128 GB</v>
      </c>
      <c r="B168" s="2">
        <f t="array" ref="B168">IFERROR(INDEX('Product Price'!B:B,SMALL('Product Price'!$D:$D,166)),"")</f>
        <v>6999</v>
      </c>
      <c r="C168" s="2">
        <f t="array" ref="C168">IFERROR(INDEX('Product Price'!C:C,SMALL('Product Price'!$D:$D,166)),"")</f>
        <v>153</v>
      </c>
      <c r="D168" s="2">
        <f t="shared" si="1"/>
        <v>795</v>
      </c>
      <c r="E168" s="2">
        <f t="shared" si="2"/>
        <v>7794</v>
      </c>
      <c r="F168" s="2">
        <f t="shared" si="3"/>
        <v>1400</v>
      </c>
      <c r="G168" s="2">
        <f t="shared" si="4"/>
        <v>5599</v>
      </c>
      <c r="H168" s="2">
        <f t="shared" si="5"/>
        <v>6394</v>
      </c>
      <c r="I168" s="2">
        <f t="shared" si="6"/>
        <v>1219</v>
      </c>
      <c r="J168" s="2">
        <f t="shared" si="7"/>
        <v>839</v>
      </c>
      <c r="K168" s="2">
        <f t="shared" si="8"/>
        <v>649</v>
      </c>
      <c r="L168" s="2">
        <f t="shared" si="9"/>
        <v>535</v>
      </c>
      <c r="M168" s="2">
        <f t="shared" si="10"/>
        <v>459</v>
      </c>
      <c r="N168" s="2" t="str">
        <f t="shared" si="11"/>
        <v>-</v>
      </c>
      <c r="O168" s="2">
        <f t="shared" si="12"/>
        <v>1750</v>
      </c>
      <c r="P168" s="2">
        <f t="shared" si="13"/>
        <v>5249</v>
      </c>
      <c r="Q168" s="2">
        <f t="shared" si="14"/>
        <v>6044</v>
      </c>
      <c r="R168" s="2">
        <f t="shared" si="15"/>
        <v>1153</v>
      </c>
      <c r="S168" s="2">
        <f t="shared" si="16"/>
        <v>793</v>
      </c>
      <c r="T168" s="2">
        <f t="shared" si="17"/>
        <v>614</v>
      </c>
      <c r="U168" s="2">
        <f t="shared" si="18"/>
        <v>506</v>
      </c>
      <c r="V168" s="2">
        <f t="shared" si="19"/>
        <v>434</v>
      </c>
      <c r="W168" s="2" t="str">
        <f t="shared" si="20"/>
        <v>-</v>
      </c>
      <c r="X168" s="2">
        <f t="shared" si="21"/>
        <v>2100</v>
      </c>
      <c r="Y168" s="2">
        <f t="shared" si="22"/>
        <v>4899</v>
      </c>
      <c r="Z168" s="2">
        <f t="shared" si="23"/>
        <v>5694</v>
      </c>
      <c r="AA168" s="2">
        <f t="shared" si="24"/>
        <v>1086</v>
      </c>
      <c r="AB168" s="2">
        <f t="shared" si="25"/>
        <v>748</v>
      </c>
      <c r="AC168" s="2">
        <f t="shared" si="26"/>
        <v>578</v>
      </c>
      <c r="AD168" s="2">
        <f t="shared" si="27"/>
        <v>477</v>
      </c>
      <c r="AE168" s="2">
        <f t="shared" si="28"/>
        <v>409</v>
      </c>
      <c r="AF168" s="2" t="str">
        <f t="shared" si="29"/>
        <v>-</v>
      </c>
      <c r="AG168" s="2">
        <f t="shared" si="30"/>
        <v>2450</v>
      </c>
      <c r="AH168" s="2">
        <f t="shared" si="31"/>
        <v>4549</v>
      </c>
      <c r="AI168" s="2">
        <f t="shared" si="32"/>
        <v>5344</v>
      </c>
      <c r="AJ168" s="2">
        <f t="shared" si="33"/>
        <v>1019</v>
      </c>
      <c r="AK168" s="2">
        <f t="shared" si="34"/>
        <v>702</v>
      </c>
      <c r="AL168" s="2">
        <f t="shared" si="35"/>
        <v>543</v>
      </c>
      <c r="AM168" s="2">
        <f t="shared" si="36"/>
        <v>447</v>
      </c>
      <c r="AN168" s="2" t="str">
        <f t="shared" si="37"/>
        <v>-</v>
      </c>
      <c r="AO168" s="2" t="str">
        <f t="shared" si="38"/>
        <v>-</v>
      </c>
      <c r="AP168" s="2">
        <f t="shared" si="39"/>
        <v>2800</v>
      </c>
      <c r="AQ168" s="2">
        <f t="shared" si="40"/>
        <v>4199</v>
      </c>
      <c r="AR168" s="2">
        <f t="shared" si="41"/>
        <v>4994</v>
      </c>
      <c r="AS168" s="2">
        <f t="shared" si="42"/>
        <v>953</v>
      </c>
      <c r="AT168" s="2">
        <f t="shared" si="43"/>
        <v>656</v>
      </c>
      <c r="AU168" s="2">
        <f t="shared" si="44"/>
        <v>507</v>
      </c>
      <c r="AV168" s="2">
        <f t="shared" si="45"/>
        <v>418</v>
      </c>
      <c r="AW168" s="2" t="str">
        <f t="shared" si="46"/>
        <v>-</v>
      </c>
      <c r="AX168" s="2" t="str">
        <f t="shared" si="47"/>
        <v>-</v>
      </c>
    </row>
    <row r="169" ht="14.25" customHeight="1">
      <c r="A169" s="2" t="str">
        <f t="array" ref="A169">IFERROR(INDEX('Product Price'!A:A,SMALL('Product Price'!$D:$D,167)),"")</f>
        <v>XIAOMI Bundle 17T Pro 12/512 GB &amp; Redmi Watch 6</v>
      </c>
      <c r="B169" s="2">
        <f t="array" ref="B169">IFERROR(INDEX('Product Price'!B:B,SMALL('Product Price'!$D:$D,167)),"")</f>
        <v>31189</v>
      </c>
      <c r="C169" s="2">
        <f t="array" ref="C169">IFERROR(INDEX('Product Price'!C:C,SMALL('Product Price'!$D:$D,167)),"")</f>
        <v>154</v>
      </c>
      <c r="D169" s="2">
        <f t="shared" si="1"/>
        <v>1900</v>
      </c>
      <c r="E169" s="2">
        <f t="shared" si="2"/>
        <v>33089</v>
      </c>
      <c r="F169" s="2">
        <f t="shared" si="3"/>
        <v>6238</v>
      </c>
      <c r="G169" s="2">
        <f t="shared" si="4"/>
        <v>24951</v>
      </c>
      <c r="H169" s="2">
        <f t="shared" si="5"/>
        <v>26851</v>
      </c>
      <c r="I169" s="2">
        <f t="shared" si="6"/>
        <v>5119</v>
      </c>
      <c r="J169" s="2">
        <f t="shared" si="7"/>
        <v>3523</v>
      </c>
      <c r="K169" s="2">
        <f t="shared" si="8"/>
        <v>2725</v>
      </c>
      <c r="L169" s="2">
        <f t="shared" si="9"/>
        <v>2246</v>
      </c>
      <c r="M169" s="2">
        <f t="shared" si="10"/>
        <v>1927</v>
      </c>
      <c r="N169" s="2">
        <f t="shared" si="11"/>
        <v>1528</v>
      </c>
      <c r="O169" s="2">
        <f t="shared" si="12"/>
        <v>7798</v>
      </c>
      <c r="P169" s="2">
        <f t="shared" si="13"/>
        <v>23391</v>
      </c>
      <c r="Q169" s="2">
        <f t="shared" si="14"/>
        <v>25291</v>
      </c>
      <c r="R169" s="2">
        <f t="shared" si="15"/>
        <v>4822</v>
      </c>
      <c r="S169" s="2">
        <f t="shared" si="16"/>
        <v>3319</v>
      </c>
      <c r="T169" s="2">
        <f t="shared" si="17"/>
        <v>2567</v>
      </c>
      <c r="U169" s="2">
        <f t="shared" si="18"/>
        <v>2116</v>
      </c>
      <c r="V169" s="2">
        <f t="shared" si="19"/>
        <v>1815</v>
      </c>
      <c r="W169" s="2">
        <f t="shared" si="20"/>
        <v>1439</v>
      </c>
      <c r="X169" s="2">
        <f t="shared" si="21"/>
        <v>9357</v>
      </c>
      <c r="Y169" s="2">
        <f t="shared" si="22"/>
        <v>21832</v>
      </c>
      <c r="Z169" s="2">
        <f t="shared" si="23"/>
        <v>23732</v>
      </c>
      <c r="AA169" s="2">
        <f t="shared" si="24"/>
        <v>4525</v>
      </c>
      <c r="AB169" s="2">
        <f t="shared" si="25"/>
        <v>3114</v>
      </c>
      <c r="AC169" s="2">
        <f t="shared" si="26"/>
        <v>2409</v>
      </c>
      <c r="AD169" s="2">
        <f t="shared" si="27"/>
        <v>1985</v>
      </c>
      <c r="AE169" s="2">
        <f t="shared" si="28"/>
        <v>1703</v>
      </c>
      <c r="AF169" s="2">
        <f t="shared" si="29"/>
        <v>1351</v>
      </c>
      <c r="AG169" s="2">
        <f t="shared" si="30"/>
        <v>10917</v>
      </c>
      <c r="AH169" s="2">
        <f t="shared" si="31"/>
        <v>20272</v>
      </c>
      <c r="AI169" s="2">
        <f t="shared" si="32"/>
        <v>22172</v>
      </c>
      <c r="AJ169" s="2">
        <f t="shared" si="33"/>
        <v>4227</v>
      </c>
      <c r="AK169" s="2">
        <f t="shared" si="34"/>
        <v>2909</v>
      </c>
      <c r="AL169" s="2">
        <f t="shared" si="35"/>
        <v>2250</v>
      </c>
      <c r="AM169" s="2">
        <f t="shared" si="36"/>
        <v>1855</v>
      </c>
      <c r="AN169" s="2">
        <f t="shared" si="37"/>
        <v>1591</v>
      </c>
      <c r="AO169" s="2">
        <f t="shared" si="38"/>
        <v>1262</v>
      </c>
      <c r="AP169" s="2">
        <f t="shared" si="39"/>
        <v>12476</v>
      </c>
      <c r="AQ169" s="2">
        <f t="shared" si="40"/>
        <v>18713</v>
      </c>
      <c r="AR169" s="2">
        <f t="shared" si="41"/>
        <v>20613</v>
      </c>
      <c r="AS169" s="2">
        <f t="shared" si="42"/>
        <v>3930</v>
      </c>
      <c r="AT169" s="2">
        <f t="shared" si="43"/>
        <v>2705</v>
      </c>
      <c r="AU169" s="2">
        <f t="shared" si="44"/>
        <v>2092</v>
      </c>
      <c r="AV169" s="2">
        <f t="shared" si="45"/>
        <v>1725</v>
      </c>
      <c r="AW169" s="2">
        <f t="shared" si="46"/>
        <v>1479</v>
      </c>
      <c r="AX169" s="2">
        <f t="shared" si="47"/>
        <v>1173</v>
      </c>
    </row>
    <row r="170" ht="14.25" customHeight="1">
      <c r="A170" s="2" t="str">
        <f t="array" ref="A170">IFERROR(INDEX('Product Price'!A:A,SMALL('Product Price'!$D:$D,168)),"")</f>
        <v>XIAOMI Bundle 17T Pro 12/256 GB &amp; Redmi Watch 6</v>
      </c>
      <c r="B170" s="2">
        <f t="array" ref="B170">IFERROR(INDEX('Product Price'!B:B,SMALL('Product Price'!$D:$D,168)),"")</f>
        <v>29189</v>
      </c>
      <c r="C170" s="2">
        <f t="array" ref="C170">IFERROR(INDEX('Product Price'!C:C,SMALL('Product Price'!$D:$D,168)),"")</f>
        <v>155</v>
      </c>
      <c r="D170" s="2">
        <f t="shared" si="1"/>
        <v>1900</v>
      </c>
      <c r="E170" s="2">
        <f t="shared" si="2"/>
        <v>31089</v>
      </c>
      <c r="F170" s="2">
        <f t="shared" si="3"/>
        <v>5838</v>
      </c>
      <c r="G170" s="2">
        <f t="shared" si="4"/>
        <v>23351</v>
      </c>
      <c r="H170" s="2">
        <f t="shared" si="5"/>
        <v>25251</v>
      </c>
      <c r="I170" s="2">
        <f t="shared" si="6"/>
        <v>4814</v>
      </c>
      <c r="J170" s="2">
        <f t="shared" si="7"/>
        <v>3313</v>
      </c>
      <c r="K170" s="2">
        <f t="shared" si="8"/>
        <v>2563</v>
      </c>
      <c r="L170" s="2">
        <f t="shared" si="9"/>
        <v>2112</v>
      </c>
      <c r="M170" s="2">
        <f t="shared" si="10"/>
        <v>1812</v>
      </c>
      <c r="N170" s="2">
        <f t="shared" si="11"/>
        <v>1437</v>
      </c>
      <c r="O170" s="2">
        <f t="shared" si="12"/>
        <v>7298</v>
      </c>
      <c r="P170" s="2">
        <f t="shared" si="13"/>
        <v>21891</v>
      </c>
      <c r="Q170" s="2">
        <f t="shared" si="14"/>
        <v>23791</v>
      </c>
      <c r="R170" s="2">
        <f t="shared" si="15"/>
        <v>4536</v>
      </c>
      <c r="S170" s="2">
        <f t="shared" si="16"/>
        <v>3122</v>
      </c>
      <c r="T170" s="2">
        <f t="shared" si="17"/>
        <v>2415</v>
      </c>
      <c r="U170" s="2">
        <f t="shared" si="18"/>
        <v>1990</v>
      </c>
      <c r="V170" s="2">
        <f t="shared" si="19"/>
        <v>1707</v>
      </c>
      <c r="W170" s="2">
        <f t="shared" si="20"/>
        <v>1354</v>
      </c>
      <c r="X170" s="2">
        <f t="shared" si="21"/>
        <v>8757</v>
      </c>
      <c r="Y170" s="2">
        <f t="shared" si="22"/>
        <v>20432</v>
      </c>
      <c r="Z170" s="2">
        <f t="shared" si="23"/>
        <v>22332</v>
      </c>
      <c r="AA170" s="2">
        <f t="shared" si="24"/>
        <v>4258</v>
      </c>
      <c r="AB170" s="2">
        <f t="shared" si="25"/>
        <v>2930</v>
      </c>
      <c r="AC170" s="2">
        <f t="shared" si="26"/>
        <v>2267</v>
      </c>
      <c r="AD170" s="2">
        <f t="shared" si="27"/>
        <v>1868</v>
      </c>
      <c r="AE170" s="2">
        <f t="shared" si="28"/>
        <v>1603</v>
      </c>
      <c r="AF170" s="2">
        <f t="shared" si="29"/>
        <v>1271</v>
      </c>
      <c r="AG170" s="2">
        <f t="shared" si="30"/>
        <v>10217</v>
      </c>
      <c r="AH170" s="2">
        <f t="shared" si="31"/>
        <v>18972</v>
      </c>
      <c r="AI170" s="2">
        <f t="shared" si="32"/>
        <v>20872</v>
      </c>
      <c r="AJ170" s="2">
        <f t="shared" si="33"/>
        <v>3980</v>
      </c>
      <c r="AK170" s="2">
        <f t="shared" si="34"/>
        <v>2739</v>
      </c>
      <c r="AL170" s="2">
        <f t="shared" si="35"/>
        <v>2118</v>
      </c>
      <c r="AM170" s="2">
        <f t="shared" si="36"/>
        <v>1746</v>
      </c>
      <c r="AN170" s="2">
        <f t="shared" si="37"/>
        <v>1498</v>
      </c>
      <c r="AO170" s="2">
        <f t="shared" si="38"/>
        <v>1188</v>
      </c>
      <c r="AP170" s="2">
        <f t="shared" si="39"/>
        <v>11676</v>
      </c>
      <c r="AQ170" s="2">
        <f t="shared" si="40"/>
        <v>17513</v>
      </c>
      <c r="AR170" s="2">
        <f t="shared" si="41"/>
        <v>19413</v>
      </c>
      <c r="AS170" s="2">
        <f t="shared" si="42"/>
        <v>3701</v>
      </c>
      <c r="AT170" s="2">
        <f t="shared" si="43"/>
        <v>2547</v>
      </c>
      <c r="AU170" s="2">
        <f t="shared" si="44"/>
        <v>1970</v>
      </c>
      <c r="AV170" s="2">
        <f t="shared" si="45"/>
        <v>1624</v>
      </c>
      <c r="AW170" s="2">
        <f t="shared" si="46"/>
        <v>1393</v>
      </c>
      <c r="AX170" s="2">
        <f t="shared" si="47"/>
        <v>1105</v>
      </c>
    </row>
    <row r="171" ht="14.25" customHeight="1">
      <c r="A171" s="2" t="str">
        <f t="array" ref="A171">IFERROR(INDEX('Product Price'!A:A,SMALL('Product Price'!$D:$D,169)),"")</f>
        <v>XIAOMI Bundle 17T 12/512 GB &amp; Redmi Watch 6</v>
      </c>
      <c r="B171" s="2">
        <f t="array" ref="B171">IFERROR(INDEX('Product Price'!B:B,SMALL('Product Price'!$D:$D,169)),"")</f>
        <v>26189</v>
      </c>
      <c r="C171" s="2">
        <f t="array" ref="C171">IFERROR(INDEX('Product Price'!C:C,SMALL('Product Price'!$D:$D,169)),"")</f>
        <v>156</v>
      </c>
      <c r="D171" s="2">
        <f t="shared" si="1"/>
        <v>1900</v>
      </c>
      <c r="E171" s="2">
        <f t="shared" si="2"/>
        <v>28089</v>
      </c>
      <c r="F171" s="2">
        <f t="shared" si="3"/>
        <v>5238</v>
      </c>
      <c r="G171" s="2">
        <f t="shared" si="4"/>
        <v>20951</v>
      </c>
      <c r="H171" s="2">
        <f t="shared" si="5"/>
        <v>22851</v>
      </c>
      <c r="I171" s="2">
        <f t="shared" si="6"/>
        <v>4357</v>
      </c>
      <c r="J171" s="2">
        <f t="shared" si="7"/>
        <v>2998</v>
      </c>
      <c r="K171" s="2">
        <f t="shared" si="8"/>
        <v>2319</v>
      </c>
      <c r="L171" s="2">
        <f t="shared" si="9"/>
        <v>1912</v>
      </c>
      <c r="M171" s="2">
        <f t="shared" si="10"/>
        <v>1640</v>
      </c>
      <c r="N171" s="2">
        <f t="shared" si="11"/>
        <v>1300</v>
      </c>
      <c r="O171" s="2">
        <f t="shared" si="12"/>
        <v>6548</v>
      </c>
      <c r="P171" s="2">
        <f t="shared" si="13"/>
        <v>19641</v>
      </c>
      <c r="Q171" s="2">
        <f t="shared" si="14"/>
        <v>21541</v>
      </c>
      <c r="R171" s="2">
        <f t="shared" si="15"/>
        <v>4107</v>
      </c>
      <c r="S171" s="2">
        <f t="shared" si="16"/>
        <v>2827</v>
      </c>
      <c r="T171" s="2">
        <f t="shared" si="17"/>
        <v>2186</v>
      </c>
      <c r="U171" s="2">
        <f t="shared" si="18"/>
        <v>1802</v>
      </c>
      <c r="V171" s="2">
        <f t="shared" si="19"/>
        <v>1546</v>
      </c>
      <c r="W171" s="2">
        <f t="shared" si="20"/>
        <v>1226</v>
      </c>
      <c r="X171" s="2">
        <f t="shared" si="21"/>
        <v>7857</v>
      </c>
      <c r="Y171" s="2">
        <f t="shared" si="22"/>
        <v>18332</v>
      </c>
      <c r="Z171" s="2">
        <f t="shared" si="23"/>
        <v>20232</v>
      </c>
      <c r="AA171" s="2">
        <f t="shared" si="24"/>
        <v>3857</v>
      </c>
      <c r="AB171" s="2">
        <f t="shared" si="25"/>
        <v>2655</v>
      </c>
      <c r="AC171" s="2">
        <f t="shared" si="26"/>
        <v>2053</v>
      </c>
      <c r="AD171" s="2">
        <f t="shared" si="27"/>
        <v>1693</v>
      </c>
      <c r="AE171" s="2">
        <f t="shared" si="28"/>
        <v>1452</v>
      </c>
      <c r="AF171" s="2">
        <f t="shared" si="29"/>
        <v>1151</v>
      </c>
      <c r="AG171" s="2">
        <f t="shared" si="30"/>
        <v>9167</v>
      </c>
      <c r="AH171" s="2">
        <f t="shared" si="31"/>
        <v>17022</v>
      </c>
      <c r="AI171" s="2">
        <f t="shared" si="32"/>
        <v>18922</v>
      </c>
      <c r="AJ171" s="2">
        <f t="shared" si="33"/>
        <v>3608</v>
      </c>
      <c r="AK171" s="2">
        <f t="shared" si="34"/>
        <v>2483</v>
      </c>
      <c r="AL171" s="2">
        <f t="shared" si="35"/>
        <v>1921</v>
      </c>
      <c r="AM171" s="2">
        <f t="shared" si="36"/>
        <v>1583</v>
      </c>
      <c r="AN171" s="2">
        <f t="shared" si="37"/>
        <v>1358</v>
      </c>
      <c r="AO171" s="2">
        <f t="shared" si="38"/>
        <v>1077</v>
      </c>
      <c r="AP171" s="2">
        <f t="shared" si="39"/>
        <v>10476</v>
      </c>
      <c r="AQ171" s="2">
        <f t="shared" si="40"/>
        <v>15713</v>
      </c>
      <c r="AR171" s="2">
        <f t="shared" si="41"/>
        <v>17613</v>
      </c>
      <c r="AS171" s="2">
        <f t="shared" si="42"/>
        <v>3358</v>
      </c>
      <c r="AT171" s="2">
        <f t="shared" si="43"/>
        <v>2311</v>
      </c>
      <c r="AU171" s="2">
        <f t="shared" si="44"/>
        <v>1788</v>
      </c>
      <c r="AV171" s="2">
        <f t="shared" si="45"/>
        <v>1474</v>
      </c>
      <c r="AW171" s="2">
        <f t="shared" si="46"/>
        <v>1264</v>
      </c>
      <c r="AX171" s="2">
        <f t="shared" si="47"/>
        <v>1002</v>
      </c>
    </row>
    <row r="172" ht="14.25" customHeight="1">
      <c r="A172" s="2" t="str">
        <f t="array" ref="A172">IFERROR(INDEX('Product Price'!A:A,SMALL('Product Price'!$D:$D,170)),"")</f>
        <v>XIAOMI Bundle 17T 12/256 GB &amp; Redmi Watch 6</v>
      </c>
      <c r="B172" s="2">
        <f t="array" ref="B172">IFERROR(INDEX('Product Price'!B:B,SMALL('Product Price'!$D:$D,170)),"")</f>
        <v>23189</v>
      </c>
      <c r="C172" s="2">
        <f t="array" ref="C172">IFERROR(INDEX('Product Price'!C:C,SMALL('Product Price'!$D:$D,170)),"")</f>
        <v>157</v>
      </c>
      <c r="D172" s="2">
        <f t="shared" si="1"/>
        <v>1900</v>
      </c>
      <c r="E172" s="2">
        <f t="shared" si="2"/>
        <v>25089</v>
      </c>
      <c r="F172" s="2">
        <f t="shared" si="3"/>
        <v>4638</v>
      </c>
      <c r="G172" s="2">
        <f t="shared" si="4"/>
        <v>18551</v>
      </c>
      <c r="H172" s="2">
        <f t="shared" si="5"/>
        <v>20451</v>
      </c>
      <c r="I172" s="2">
        <f t="shared" si="6"/>
        <v>3899</v>
      </c>
      <c r="J172" s="2">
        <f t="shared" si="7"/>
        <v>2684</v>
      </c>
      <c r="K172" s="2">
        <f t="shared" si="8"/>
        <v>2076</v>
      </c>
      <c r="L172" s="2">
        <f t="shared" si="9"/>
        <v>1711</v>
      </c>
      <c r="M172" s="2">
        <f t="shared" si="10"/>
        <v>1468</v>
      </c>
      <c r="N172" s="2">
        <f t="shared" si="11"/>
        <v>1164</v>
      </c>
      <c r="O172" s="2">
        <f t="shared" si="12"/>
        <v>5798</v>
      </c>
      <c r="P172" s="2">
        <f t="shared" si="13"/>
        <v>17391</v>
      </c>
      <c r="Q172" s="2">
        <f t="shared" si="14"/>
        <v>19291</v>
      </c>
      <c r="R172" s="2">
        <f t="shared" si="15"/>
        <v>3678</v>
      </c>
      <c r="S172" s="2">
        <f t="shared" si="16"/>
        <v>2531</v>
      </c>
      <c r="T172" s="2">
        <f t="shared" si="17"/>
        <v>1958</v>
      </c>
      <c r="U172" s="2">
        <f t="shared" si="18"/>
        <v>1614</v>
      </c>
      <c r="V172" s="2">
        <f t="shared" si="19"/>
        <v>1385</v>
      </c>
      <c r="W172" s="2">
        <f t="shared" si="20"/>
        <v>1098</v>
      </c>
      <c r="X172" s="2">
        <f t="shared" si="21"/>
        <v>6957</v>
      </c>
      <c r="Y172" s="2">
        <f t="shared" si="22"/>
        <v>16232</v>
      </c>
      <c r="Z172" s="2">
        <f t="shared" si="23"/>
        <v>18132</v>
      </c>
      <c r="AA172" s="2">
        <f t="shared" si="24"/>
        <v>3457</v>
      </c>
      <c r="AB172" s="2">
        <f t="shared" si="25"/>
        <v>2379</v>
      </c>
      <c r="AC172" s="2">
        <f t="shared" si="26"/>
        <v>1840</v>
      </c>
      <c r="AD172" s="2">
        <f t="shared" si="27"/>
        <v>1517</v>
      </c>
      <c r="AE172" s="2">
        <f t="shared" si="28"/>
        <v>1301</v>
      </c>
      <c r="AF172" s="2">
        <f t="shared" si="29"/>
        <v>1032</v>
      </c>
      <c r="AG172" s="2">
        <f t="shared" si="30"/>
        <v>8117</v>
      </c>
      <c r="AH172" s="2">
        <f t="shared" si="31"/>
        <v>15072</v>
      </c>
      <c r="AI172" s="2">
        <f t="shared" si="32"/>
        <v>16972</v>
      </c>
      <c r="AJ172" s="2">
        <f t="shared" si="33"/>
        <v>3236</v>
      </c>
      <c r="AK172" s="2">
        <f t="shared" si="34"/>
        <v>2227</v>
      </c>
      <c r="AL172" s="2">
        <f t="shared" si="35"/>
        <v>1723</v>
      </c>
      <c r="AM172" s="2">
        <f t="shared" si="36"/>
        <v>1420</v>
      </c>
      <c r="AN172" s="2">
        <f t="shared" si="37"/>
        <v>1218</v>
      </c>
      <c r="AO172" s="2">
        <f t="shared" si="38"/>
        <v>966</v>
      </c>
      <c r="AP172" s="2">
        <f t="shared" si="39"/>
        <v>9276</v>
      </c>
      <c r="AQ172" s="2">
        <f t="shared" si="40"/>
        <v>13913</v>
      </c>
      <c r="AR172" s="2">
        <f t="shared" si="41"/>
        <v>15813</v>
      </c>
      <c r="AS172" s="2">
        <f t="shared" si="42"/>
        <v>3015</v>
      </c>
      <c r="AT172" s="2">
        <f t="shared" si="43"/>
        <v>2075</v>
      </c>
      <c r="AU172" s="2">
        <f t="shared" si="44"/>
        <v>1605</v>
      </c>
      <c r="AV172" s="2">
        <f t="shared" si="45"/>
        <v>1323</v>
      </c>
      <c r="AW172" s="2">
        <f t="shared" si="46"/>
        <v>1135</v>
      </c>
      <c r="AX172" s="2">
        <f t="shared" si="47"/>
        <v>900</v>
      </c>
    </row>
    <row r="173" ht="14.25" customHeight="1">
      <c r="A173" s="2" t="str">
        <f t="array" ref="A173">IFERROR(INDEX('Product Price'!A:A,SMALL('Product Price'!$D:$D,171)),"")</f>
        <v>INFINIX HOT 70 4/128 GB</v>
      </c>
      <c r="B173" s="2">
        <f t="array" ref="B173">IFERROR(INDEX('Product Price'!B:B,SMALL('Product Price'!$D:$D,171)),"")</f>
        <v>5799</v>
      </c>
      <c r="C173" s="2">
        <f t="array" ref="C173">IFERROR(INDEX('Product Price'!C:C,SMALL('Product Price'!$D:$D,171)),"")</f>
        <v>161</v>
      </c>
      <c r="D173" s="2">
        <f t="shared" si="1"/>
        <v>795</v>
      </c>
      <c r="E173" s="2">
        <f t="shared" si="2"/>
        <v>6594</v>
      </c>
      <c r="F173" s="2">
        <f t="shared" si="3"/>
        <v>1160</v>
      </c>
      <c r="G173" s="2">
        <f t="shared" si="4"/>
        <v>4639</v>
      </c>
      <c r="H173" s="2">
        <f t="shared" si="5"/>
        <v>5434</v>
      </c>
      <c r="I173" s="2">
        <f t="shared" si="6"/>
        <v>1036</v>
      </c>
      <c r="J173" s="2">
        <f t="shared" si="7"/>
        <v>713</v>
      </c>
      <c r="K173" s="2">
        <f t="shared" si="8"/>
        <v>552</v>
      </c>
      <c r="L173" s="2">
        <f t="shared" si="9"/>
        <v>455</v>
      </c>
      <c r="M173" s="2" t="str">
        <f t="shared" si="10"/>
        <v>-</v>
      </c>
      <c r="N173" s="2" t="str">
        <f t="shared" si="11"/>
        <v>-</v>
      </c>
      <c r="O173" s="2">
        <f t="shared" si="12"/>
        <v>1450</v>
      </c>
      <c r="P173" s="2">
        <f t="shared" si="13"/>
        <v>4349</v>
      </c>
      <c r="Q173" s="2">
        <f t="shared" si="14"/>
        <v>5144</v>
      </c>
      <c r="R173" s="2">
        <f t="shared" si="15"/>
        <v>981</v>
      </c>
      <c r="S173" s="2">
        <f t="shared" si="16"/>
        <v>675</v>
      </c>
      <c r="T173" s="2">
        <f t="shared" si="17"/>
        <v>522</v>
      </c>
      <c r="U173" s="2">
        <f t="shared" si="18"/>
        <v>431</v>
      </c>
      <c r="V173" s="2" t="str">
        <f t="shared" si="19"/>
        <v>-</v>
      </c>
      <c r="W173" s="2" t="str">
        <f t="shared" si="20"/>
        <v>-</v>
      </c>
      <c r="X173" s="2">
        <f t="shared" si="21"/>
        <v>1740</v>
      </c>
      <c r="Y173" s="2">
        <f t="shared" si="22"/>
        <v>4059</v>
      </c>
      <c r="Z173" s="2">
        <f t="shared" si="23"/>
        <v>4854</v>
      </c>
      <c r="AA173" s="2">
        <f t="shared" si="24"/>
        <v>926</v>
      </c>
      <c r="AB173" s="2">
        <f t="shared" si="25"/>
        <v>637</v>
      </c>
      <c r="AC173" s="2">
        <f t="shared" si="26"/>
        <v>493</v>
      </c>
      <c r="AD173" s="2">
        <f t="shared" si="27"/>
        <v>406</v>
      </c>
      <c r="AE173" s="2" t="str">
        <f t="shared" si="28"/>
        <v>-</v>
      </c>
      <c r="AF173" s="2" t="str">
        <f t="shared" si="29"/>
        <v>-</v>
      </c>
      <c r="AG173" s="2">
        <f t="shared" si="30"/>
        <v>2030</v>
      </c>
      <c r="AH173" s="2">
        <f t="shared" si="31"/>
        <v>3769</v>
      </c>
      <c r="AI173" s="2">
        <f t="shared" si="32"/>
        <v>4564</v>
      </c>
      <c r="AJ173" s="2">
        <f t="shared" si="33"/>
        <v>871</v>
      </c>
      <c r="AK173" s="2">
        <f t="shared" si="34"/>
        <v>599</v>
      </c>
      <c r="AL173" s="2">
        <f t="shared" si="35"/>
        <v>464</v>
      </c>
      <c r="AM173" s="2" t="str">
        <f t="shared" si="36"/>
        <v>-</v>
      </c>
      <c r="AN173" s="2" t="str">
        <f t="shared" si="37"/>
        <v>-</v>
      </c>
      <c r="AO173" s="2" t="str">
        <f t="shared" si="38"/>
        <v>-</v>
      </c>
      <c r="AP173" s="2">
        <f t="shared" si="39"/>
        <v>2320</v>
      </c>
      <c r="AQ173" s="2">
        <f t="shared" si="40"/>
        <v>3479</v>
      </c>
      <c r="AR173" s="2">
        <f t="shared" si="41"/>
        <v>4274</v>
      </c>
      <c r="AS173" s="2">
        <f t="shared" si="42"/>
        <v>815</v>
      </c>
      <c r="AT173" s="2">
        <f t="shared" si="43"/>
        <v>561</v>
      </c>
      <c r="AU173" s="2">
        <f t="shared" si="44"/>
        <v>434</v>
      </c>
      <c r="AV173" s="2" t="str">
        <f t="shared" si="45"/>
        <v>-</v>
      </c>
      <c r="AW173" s="2" t="str">
        <f t="shared" si="46"/>
        <v>-</v>
      </c>
      <c r="AX173" s="2" t="str">
        <f t="shared" si="47"/>
        <v>-</v>
      </c>
    </row>
    <row r="174" ht="14.25" customHeight="1">
      <c r="A174" s="2" t="str">
        <f t="array" ref="A174">IFERROR(INDEX('Product Price'!A:A,SMALL('Product Price'!$D:$D,172)),"")</f>
        <v>realme Bundle 16 Pro+ 5G 12/512 GB &amp; realme Watch S5</v>
      </c>
      <c r="B174" s="2">
        <f t="array" ref="B174">IFERROR(INDEX('Product Price'!B:B,SMALL('Product Price'!$D:$D,172)),"")</f>
        <v>27998</v>
      </c>
      <c r="C174" s="2">
        <f t="array" ref="C174">IFERROR(INDEX('Product Price'!C:C,SMALL('Product Price'!$D:$D,172)),"")</f>
        <v>170</v>
      </c>
      <c r="D174" s="2">
        <f t="shared" si="1"/>
        <v>1900</v>
      </c>
      <c r="E174" s="2">
        <f t="shared" si="2"/>
        <v>29898</v>
      </c>
      <c r="F174" s="2">
        <f t="shared" si="3"/>
        <v>5600</v>
      </c>
      <c r="G174" s="2">
        <f t="shared" si="4"/>
        <v>22398</v>
      </c>
      <c r="H174" s="2">
        <f t="shared" si="5"/>
        <v>24298</v>
      </c>
      <c r="I174" s="2">
        <f t="shared" si="6"/>
        <v>4633</v>
      </c>
      <c r="J174" s="2">
        <f t="shared" si="7"/>
        <v>3188</v>
      </c>
      <c r="K174" s="2">
        <f t="shared" si="8"/>
        <v>2466</v>
      </c>
      <c r="L174" s="2">
        <f t="shared" si="9"/>
        <v>2033</v>
      </c>
      <c r="M174" s="2">
        <f t="shared" si="10"/>
        <v>1744</v>
      </c>
      <c r="N174" s="2">
        <f t="shared" si="11"/>
        <v>1383</v>
      </c>
      <c r="O174" s="2">
        <f t="shared" si="12"/>
        <v>7000</v>
      </c>
      <c r="P174" s="2">
        <f t="shared" si="13"/>
        <v>20998</v>
      </c>
      <c r="Q174" s="2">
        <f t="shared" si="14"/>
        <v>22898</v>
      </c>
      <c r="R174" s="2">
        <f t="shared" si="15"/>
        <v>4366</v>
      </c>
      <c r="S174" s="2">
        <f t="shared" si="16"/>
        <v>3005</v>
      </c>
      <c r="T174" s="2">
        <f t="shared" si="17"/>
        <v>2324</v>
      </c>
      <c r="U174" s="2">
        <f t="shared" si="18"/>
        <v>1916</v>
      </c>
      <c r="V174" s="2">
        <f t="shared" si="19"/>
        <v>1643</v>
      </c>
      <c r="W174" s="2">
        <f t="shared" si="20"/>
        <v>1303</v>
      </c>
      <c r="X174" s="2">
        <f t="shared" si="21"/>
        <v>8400</v>
      </c>
      <c r="Y174" s="2">
        <f t="shared" si="22"/>
        <v>19598</v>
      </c>
      <c r="Z174" s="2">
        <f t="shared" si="23"/>
        <v>21498</v>
      </c>
      <c r="AA174" s="2">
        <f t="shared" si="24"/>
        <v>4099</v>
      </c>
      <c r="AB174" s="2">
        <f t="shared" si="25"/>
        <v>2821</v>
      </c>
      <c r="AC174" s="2">
        <f t="shared" si="26"/>
        <v>2182</v>
      </c>
      <c r="AD174" s="2">
        <f t="shared" si="27"/>
        <v>1799</v>
      </c>
      <c r="AE174" s="2">
        <f t="shared" si="28"/>
        <v>1543</v>
      </c>
      <c r="AF174" s="2">
        <f t="shared" si="29"/>
        <v>1223</v>
      </c>
      <c r="AG174" s="2">
        <f t="shared" si="30"/>
        <v>9800</v>
      </c>
      <c r="AH174" s="2">
        <f t="shared" si="31"/>
        <v>18198</v>
      </c>
      <c r="AI174" s="2">
        <f t="shared" si="32"/>
        <v>20098</v>
      </c>
      <c r="AJ174" s="2">
        <f t="shared" si="33"/>
        <v>3832</v>
      </c>
      <c r="AK174" s="2">
        <f t="shared" si="34"/>
        <v>2637</v>
      </c>
      <c r="AL174" s="2">
        <f t="shared" si="35"/>
        <v>2040</v>
      </c>
      <c r="AM174" s="2">
        <f t="shared" si="36"/>
        <v>1681</v>
      </c>
      <c r="AN174" s="2">
        <f t="shared" si="37"/>
        <v>1443</v>
      </c>
      <c r="AO174" s="2">
        <f t="shared" si="38"/>
        <v>1144</v>
      </c>
      <c r="AP174" s="2">
        <f t="shared" si="39"/>
        <v>11200</v>
      </c>
      <c r="AQ174" s="2">
        <f t="shared" si="40"/>
        <v>16798</v>
      </c>
      <c r="AR174" s="2">
        <f t="shared" si="41"/>
        <v>18698</v>
      </c>
      <c r="AS174" s="2">
        <f t="shared" si="42"/>
        <v>3565</v>
      </c>
      <c r="AT174" s="2">
        <f t="shared" si="43"/>
        <v>2454</v>
      </c>
      <c r="AU174" s="2">
        <f t="shared" si="44"/>
        <v>1898</v>
      </c>
      <c r="AV174" s="2">
        <f t="shared" si="45"/>
        <v>1564</v>
      </c>
      <c r="AW174" s="2">
        <f t="shared" si="46"/>
        <v>1342</v>
      </c>
      <c r="AX174" s="2">
        <f t="shared" si="47"/>
        <v>1064</v>
      </c>
    </row>
    <row r="175" ht="14.25" customHeight="1">
      <c r="A175" s="2" t="str">
        <f t="array" ref="A175">IFERROR(INDEX('Product Price'!A:A,SMALL('Product Price'!$D:$D,173)),"")</f>
        <v>realme Bundle 16 Pro 5G 12/512 GB &amp; realme Watch S5</v>
      </c>
      <c r="B175" s="2">
        <f t="array" ref="B175">IFERROR(INDEX('Product Price'!B:B,SMALL('Product Price'!$D:$D,173)),"")</f>
        <v>22998</v>
      </c>
      <c r="C175" s="2">
        <f t="array" ref="C175">IFERROR(INDEX('Product Price'!C:C,SMALL('Product Price'!$D:$D,173)),"")</f>
        <v>171</v>
      </c>
      <c r="D175" s="2">
        <f t="shared" si="1"/>
        <v>1900</v>
      </c>
      <c r="E175" s="2">
        <f t="shared" si="2"/>
        <v>24898</v>
      </c>
      <c r="F175" s="2">
        <f t="shared" si="3"/>
        <v>4600</v>
      </c>
      <c r="G175" s="2">
        <f t="shared" si="4"/>
        <v>18398</v>
      </c>
      <c r="H175" s="2">
        <f t="shared" si="5"/>
        <v>20298</v>
      </c>
      <c r="I175" s="2">
        <f t="shared" si="6"/>
        <v>3870</v>
      </c>
      <c r="J175" s="2">
        <f t="shared" si="7"/>
        <v>2663</v>
      </c>
      <c r="K175" s="2">
        <f t="shared" si="8"/>
        <v>2060</v>
      </c>
      <c r="L175" s="2">
        <f t="shared" si="9"/>
        <v>1698</v>
      </c>
      <c r="M175" s="2">
        <f t="shared" si="10"/>
        <v>1457</v>
      </c>
      <c r="N175" s="2">
        <f t="shared" si="11"/>
        <v>1155</v>
      </c>
      <c r="O175" s="2">
        <f t="shared" si="12"/>
        <v>5750</v>
      </c>
      <c r="P175" s="2">
        <f t="shared" si="13"/>
        <v>17248</v>
      </c>
      <c r="Q175" s="2">
        <f t="shared" si="14"/>
        <v>19148</v>
      </c>
      <c r="R175" s="2">
        <f t="shared" si="15"/>
        <v>3651</v>
      </c>
      <c r="S175" s="2">
        <f t="shared" si="16"/>
        <v>2513</v>
      </c>
      <c r="T175" s="2">
        <f t="shared" si="17"/>
        <v>1943</v>
      </c>
      <c r="U175" s="2">
        <f t="shared" si="18"/>
        <v>1602</v>
      </c>
      <c r="V175" s="2">
        <f t="shared" si="19"/>
        <v>1374</v>
      </c>
      <c r="W175" s="2">
        <f t="shared" si="20"/>
        <v>1090</v>
      </c>
      <c r="X175" s="2">
        <f t="shared" si="21"/>
        <v>6900</v>
      </c>
      <c r="Y175" s="2">
        <f t="shared" si="22"/>
        <v>16098</v>
      </c>
      <c r="Z175" s="2">
        <f t="shared" si="23"/>
        <v>17998</v>
      </c>
      <c r="AA175" s="2">
        <f t="shared" si="24"/>
        <v>3432</v>
      </c>
      <c r="AB175" s="2">
        <f t="shared" si="25"/>
        <v>2362</v>
      </c>
      <c r="AC175" s="2">
        <f t="shared" si="26"/>
        <v>1827</v>
      </c>
      <c r="AD175" s="2">
        <f t="shared" si="27"/>
        <v>1506</v>
      </c>
      <c r="AE175" s="2">
        <f t="shared" si="28"/>
        <v>1292</v>
      </c>
      <c r="AF175" s="2">
        <f t="shared" si="29"/>
        <v>1024</v>
      </c>
      <c r="AG175" s="2">
        <f t="shared" si="30"/>
        <v>8050</v>
      </c>
      <c r="AH175" s="2">
        <f t="shared" si="31"/>
        <v>14948</v>
      </c>
      <c r="AI175" s="2">
        <f t="shared" si="32"/>
        <v>16848</v>
      </c>
      <c r="AJ175" s="2">
        <f t="shared" si="33"/>
        <v>3212</v>
      </c>
      <c r="AK175" s="2">
        <f t="shared" si="34"/>
        <v>2211</v>
      </c>
      <c r="AL175" s="2">
        <f t="shared" si="35"/>
        <v>1710</v>
      </c>
      <c r="AM175" s="2">
        <f t="shared" si="36"/>
        <v>1410</v>
      </c>
      <c r="AN175" s="2">
        <f t="shared" si="37"/>
        <v>1209</v>
      </c>
      <c r="AO175" s="2">
        <f t="shared" si="38"/>
        <v>959</v>
      </c>
      <c r="AP175" s="2">
        <f t="shared" si="39"/>
        <v>9200</v>
      </c>
      <c r="AQ175" s="2">
        <f t="shared" si="40"/>
        <v>13798</v>
      </c>
      <c r="AR175" s="2">
        <f t="shared" si="41"/>
        <v>15698</v>
      </c>
      <c r="AS175" s="2">
        <f t="shared" si="42"/>
        <v>2993</v>
      </c>
      <c r="AT175" s="2">
        <f t="shared" si="43"/>
        <v>2060</v>
      </c>
      <c r="AU175" s="2">
        <f t="shared" si="44"/>
        <v>1593</v>
      </c>
      <c r="AV175" s="2">
        <f t="shared" si="45"/>
        <v>1313</v>
      </c>
      <c r="AW175" s="2">
        <f t="shared" si="46"/>
        <v>1127</v>
      </c>
      <c r="AX175" s="2">
        <f t="shared" si="47"/>
        <v>894</v>
      </c>
    </row>
    <row r="176" ht="14.25" customHeight="1">
      <c r="A176" s="2" t="str">
        <f t="array" ref="A176">IFERROR(INDEX('Product Price'!A:A,SMALL('Product Price'!$D:$D,174)),"")</f>
        <v>realme Bundle 16 5G 8/256 GB &amp; realme Watch S5</v>
      </c>
      <c r="B176" s="2">
        <f t="array" ref="B176">IFERROR(INDEX('Product Price'!B:B,SMALL('Product Price'!$D:$D,174)),"")</f>
        <v>17998</v>
      </c>
      <c r="C176" s="2">
        <f t="array" ref="C176">IFERROR(INDEX('Product Price'!C:C,SMALL('Product Price'!$D:$D,174)),"")</f>
        <v>172</v>
      </c>
      <c r="D176" s="2">
        <f t="shared" si="1"/>
        <v>1450</v>
      </c>
      <c r="E176" s="2">
        <f t="shared" si="2"/>
        <v>19448</v>
      </c>
      <c r="F176" s="2">
        <f t="shared" si="3"/>
        <v>3600</v>
      </c>
      <c r="G176" s="2">
        <f t="shared" si="4"/>
        <v>14398</v>
      </c>
      <c r="H176" s="2">
        <f t="shared" si="5"/>
        <v>15848</v>
      </c>
      <c r="I176" s="2">
        <f t="shared" si="6"/>
        <v>3022</v>
      </c>
      <c r="J176" s="2">
        <f t="shared" si="7"/>
        <v>2080</v>
      </c>
      <c r="K176" s="2">
        <f t="shared" si="8"/>
        <v>1609</v>
      </c>
      <c r="L176" s="2">
        <f t="shared" si="9"/>
        <v>1326</v>
      </c>
      <c r="M176" s="2">
        <f t="shared" si="10"/>
        <v>1138</v>
      </c>
      <c r="N176" s="2">
        <f t="shared" si="11"/>
        <v>902</v>
      </c>
      <c r="O176" s="2">
        <f t="shared" si="12"/>
        <v>4500</v>
      </c>
      <c r="P176" s="2">
        <f t="shared" si="13"/>
        <v>13498</v>
      </c>
      <c r="Q176" s="2">
        <f t="shared" si="14"/>
        <v>14948</v>
      </c>
      <c r="R176" s="2">
        <f t="shared" si="15"/>
        <v>2850</v>
      </c>
      <c r="S176" s="2">
        <f t="shared" si="16"/>
        <v>1962</v>
      </c>
      <c r="T176" s="2">
        <f t="shared" si="17"/>
        <v>1517</v>
      </c>
      <c r="U176" s="2">
        <f t="shared" si="18"/>
        <v>1251</v>
      </c>
      <c r="V176" s="2">
        <f t="shared" si="19"/>
        <v>1073</v>
      </c>
      <c r="W176" s="2">
        <f t="shared" si="20"/>
        <v>851</v>
      </c>
      <c r="X176" s="2">
        <f t="shared" si="21"/>
        <v>5400</v>
      </c>
      <c r="Y176" s="2">
        <f t="shared" si="22"/>
        <v>12598</v>
      </c>
      <c r="Z176" s="2">
        <f t="shared" si="23"/>
        <v>14048</v>
      </c>
      <c r="AA176" s="2">
        <f t="shared" si="24"/>
        <v>2679</v>
      </c>
      <c r="AB176" s="2">
        <f t="shared" si="25"/>
        <v>1844</v>
      </c>
      <c r="AC176" s="2">
        <f t="shared" si="26"/>
        <v>1426</v>
      </c>
      <c r="AD176" s="2">
        <f t="shared" si="27"/>
        <v>1175</v>
      </c>
      <c r="AE176" s="2">
        <f t="shared" si="28"/>
        <v>1008</v>
      </c>
      <c r="AF176" s="2">
        <f t="shared" si="29"/>
        <v>800</v>
      </c>
      <c r="AG176" s="2">
        <f t="shared" si="30"/>
        <v>6300</v>
      </c>
      <c r="AH176" s="2">
        <f t="shared" si="31"/>
        <v>11698</v>
      </c>
      <c r="AI176" s="2">
        <f t="shared" si="32"/>
        <v>13148</v>
      </c>
      <c r="AJ176" s="2">
        <f t="shared" si="33"/>
        <v>2507</v>
      </c>
      <c r="AK176" s="2">
        <f t="shared" si="34"/>
        <v>1725</v>
      </c>
      <c r="AL176" s="2">
        <f t="shared" si="35"/>
        <v>1335</v>
      </c>
      <c r="AM176" s="2">
        <f t="shared" si="36"/>
        <v>1100</v>
      </c>
      <c r="AN176" s="2">
        <f t="shared" si="37"/>
        <v>944</v>
      </c>
      <c r="AO176" s="2">
        <f t="shared" si="38"/>
        <v>748</v>
      </c>
      <c r="AP176" s="2">
        <f t="shared" si="39"/>
        <v>7200</v>
      </c>
      <c r="AQ176" s="2">
        <f t="shared" si="40"/>
        <v>10798</v>
      </c>
      <c r="AR176" s="2">
        <f t="shared" si="41"/>
        <v>12248</v>
      </c>
      <c r="AS176" s="2">
        <f t="shared" si="42"/>
        <v>2335</v>
      </c>
      <c r="AT176" s="2">
        <f t="shared" si="43"/>
        <v>1607</v>
      </c>
      <c r="AU176" s="2">
        <f t="shared" si="44"/>
        <v>1243</v>
      </c>
      <c r="AV176" s="2">
        <f t="shared" si="45"/>
        <v>1025</v>
      </c>
      <c r="AW176" s="2">
        <f t="shared" si="46"/>
        <v>879</v>
      </c>
      <c r="AX176" s="2">
        <f t="shared" si="47"/>
        <v>697</v>
      </c>
    </row>
    <row r="177" ht="14.25" customHeight="1">
      <c r="A177" s="2" t="str">
        <f t="array" ref="A177">IFERROR(INDEX('Product Price'!A:A,SMALL('Product Price'!$D:$D,175)),"")</f>
        <v>realme Bundle C100 5G 6/128 GB &amp; realme Watch S5</v>
      </c>
      <c r="B177" s="2">
        <f t="array" ref="B177">IFERROR(INDEX('Product Price'!B:B,SMALL('Product Price'!$D:$D,175)),"")</f>
        <v>12498</v>
      </c>
      <c r="C177" s="2">
        <f t="array" ref="C177">IFERROR(INDEX('Product Price'!C:C,SMALL('Product Price'!$D:$D,175)),"")</f>
        <v>183</v>
      </c>
      <c r="D177" s="2">
        <f t="shared" si="1"/>
        <v>1450</v>
      </c>
      <c r="E177" s="2">
        <f t="shared" si="2"/>
        <v>13948</v>
      </c>
      <c r="F177" s="2">
        <f t="shared" si="3"/>
        <v>2500</v>
      </c>
      <c r="G177" s="2">
        <f t="shared" si="4"/>
        <v>9998</v>
      </c>
      <c r="H177" s="2">
        <f t="shared" si="5"/>
        <v>11448</v>
      </c>
      <c r="I177" s="2">
        <f t="shared" si="6"/>
        <v>2183</v>
      </c>
      <c r="J177" s="2">
        <f t="shared" si="7"/>
        <v>1502</v>
      </c>
      <c r="K177" s="2">
        <f t="shared" si="8"/>
        <v>1162</v>
      </c>
      <c r="L177" s="2">
        <f t="shared" si="9"/>
        <v>958</v>
      </c>
      <c r="M177" s="2">
        <f t="shared" si="10"/>
        <v>822</v>
      </c>
      <c r="N177" s="2">
        <f t="shared" si="11"/>
        <v>652</v>
      </c>
      <c r="O177" s="2">
        <f t="shared" si="12"/>
        <v>3125</v>
      </c>
      <c r="P177" s="2">
        <f t="shared" si="13"/>
        <v>9373</v>
      </c>
      <c r="Q177" s="2">
        <f t="shared" si="14"/>
        <v>10823</v>
      </c>
      <c r="R177" s="2">
        <f t="shared" si="15"/>
        <v>2064</v>
      </c>
      <c r="S177" s="2">
        <f t="shared" si="16"/>
        <v>1420</v>
      </c>
      <c r="T177" s="2">
        <f t="shared" si="17"/>
        <v>1099</v>
      </c>
      <c r="U177" s="2">
        <f t="shared" si="18"/>
        <v>906</v>
      </c>
      <c r="V177" s="2">
        <f t="shared" si="19"/>
        <v>777</v>
      </c>
      <c r="W177" s="2">
        <f t="shared" si="20"/>
        <v>616</v>
      </c>
      <c r="X177" s="2">
        <f t="shared" si="21"/>
        <v>3750</v>
      </c>
      <c r="Y177" s="2">
        <f t="shared" si="22"/>
        <v>8748</v>
      </c>
      <c r="Z177" s="2">
        <f t="shared" si="23"/>
        <v>10198</v>
      </c>
      <c r="AA177" s="2">
        <f t="shared" si="24"/>
        <v>1945</v>
      </c>
      <c r="AB177" s="2">
        <f t="shared" si="25"/>
        <v>1338</v>
      </c>
      <c r="AC177" s="2">
        <f t="shared" si="26"/>
        <v>1035</v>
      </c>
      <c r="AD177" s="2">
        <f t="shared" si="27"/>
        <v>853</v>
      </c>
      <c r="AE177" s="2">
        <f t="shared" si="28"/>
        <v>732</v>
      </c>
      <c r="AF177" s="2">
        <f t="shared" si="29"/>
        <v>581</v>
      </c>
      <c r="AG177" s="2">
        <f t="shared" si="30"/>
        <v>4375</v>
      </c>
      <c r="AH177" s="2">
        <f t="shared" si="31"/>
        <v>8123</v>
      </c>
      <c r="AI177" s="2">
        <f t="shared" si="32"/>
        <v>9573</v>
      </c>
      <c r="AJ177" s="2">
        <f t="shared" si="33"/>
        <v>1825</v>
      </c>
      <c r="AK177" s="2">
        <f t="shared" si="34"/>
        <v>1256</v>
      </c>
      <c r="AL177" s="2">
        <f t="shared" si="35"/>
        <v>972</v>
      </c>
      <c r="AM177" s="2">
        <f t="shared" si="36"/>
        <v>801</v>
      </c>
      <c r="AN177" s="2">
        <f t="shared" si="37"/>
        <v>687</v>
      </c>
      <c r="AO177" s="2">
        <f t="shared" si="38"/>
        <v>545</v>
      </c>
      <c r="AP177" s="2">
        <f t="shared" si="39"/>
        <v>5000</v>
      </c>
      <c r="AQ177" s="2">
        <f t="shared" si="40"/>
        <v>7498</v>
      </c>
      <c r="AR177" s="2">
        <f t="shared" si="41"/>
        <v>8948</v>
      </c>
      <c r="AS177" s="2">
        <f t="shared" si="42"/>
        <v>1706</v>
      </c>
      <c r="AT177" s="2">
        <f t="shared" si="43"/>
        <v>1174</v>
      </c>
      <c r="AU177" s="2">
        <f t="shared" si="44"/>
        <v>908</v>
      </c>
      <c r="AV177" s="2">
        <f t="shared" si="45"/>
        <v>749</v>
      </c>
      <c r="AW177" s="2">
        <f t="shared" si="46"/>
        <v>643</v>
      </c>
      <c r="AX177" s="2">
        <f t="shared" si="47"/>
        <v>510</v>
      </c>
    </row>
    <row r="178" ht="14.25" customHeight="1">
      <c r="A178" s="2" t="str">
        <f t="array" ref="A178">IFERROR(INDEX('Product Price'!A:A,SMALL('Product Price'!$D:$D,176)),"")</f>
        <v>realme Bundle C100 5G 4/128 GB &amp; realme Watch S5</v>
      </c>
      <c r="B178" s="2">
        <f t="array" ref="B178">IFERROR(INDEX('Product Price'!B:B,SMALL('Product Price'!$D:$D,176)),"")</f>
        <v>11998</v>
      </c>
      <c r="C178" s="2">
        <f t="array" ref="C178">IFERROR(INDEX('Product Price'!C:C,SMALL('Product Price'!$D:$D,176)),"")</f>
        <v>184</v>
      </c>
      <c r="D178" s="2">
        <f t="shared" si="1"/>
        <v>1450</v>
      </c>
      <c r="E178" s="2">
        <f t="shared" si="2"/>
        <v>13448</v>
      </c>
      <c r="F178" s="2">
        <f t="shared" si="3"/>
        <v>2400</v>
      </c>
      <c r="G178" s="2">
        <f t="shared" si="4"/>
        <v>9598</v>
      </c>
      <c r="H178" s="2">
        <f t="shared" si="5"/>
        <v>11048</v>
      </c>
      <c r="I178" s="2">
        <f t="shared" si="6"/>
        <v>2107</v>
      </c>
      <c r="J178" s="2">
        <f t="shared" si="7"/>
        <v>1450</v>
      </c>
      <c r="K178" s="2">
        <f t="shared" si="8"/>
        <v>1122</v>
      </c>
      <c r="L178" s="2">
        <f t="shared" si="9"/>
        <v>925</v>
      </c>
      <c r="M178" s="2">
        <f t="shared" si="10"/>
        <v>793</v>
      </c>
      <c r="N178" s="2">
        <f t="shared" si="11"/>
        <v>629</v>
      </c>
      <c r="O178" s="2">
        <f t="shared" si="12"/>
        <v>3000</v>
      </c>
      <c r="P178" s="2">
        <f t="shared" si="13"/>
        <v>8998</v>
      </c>
      <c r="Q178" s="2">
        <f t="shared" si="14"/>
        <v>10448</v>
      </c>
      <c r="R178" s="2">
        <f t="shared" si="15"/>
        <v>1992</v>
      </c>
      <c r="S178" s="2">
        <f t="shared" si="16"/>
        <v>1371</v>
      </c>
      <c r="T178" s="2">
        <f t="shared" si="17"/>
        <v>1061</v>
      </c>
      <c r="U178" s="2">
        <f t="shared" si="18"/>
        <v>874</v>
      </c>
      <c r="V178" s="2">
        <f t="shared" si="19"/>
        <v>750</v>
      </c>
      <c r="W178" s="2">
        <f t="shared" si="20"/>
        <v>595</v>
      </c>
      <c r="X178" s="2">
        <f t="shared" si="21"/>
        <v>3600</v>
      </c>
      <c r="Y178" s="2">
        <f t="shared" si="22"/>
        <v>8398</v>
      </c>
      <c r="Z178" s="2">
        <f t="shared" si="23"/>
        <v>9848</v>
      </c>
      <c r="AA178" s="2">
        <f t="shared" si="24"/>
        <v>1878</v>
      </c>
      <c r="AB178" s="2">
        <f t="shared" si="25"/>
        <v>1292</v>
      </c>
      <c r="AC178" s="2">
        <f t="shared" si="26"/>
        <v>1000</v>
      </c>
      <c r="AD178" s="2">
        <f t="shared" si="27"/>
        <v>824</v>
      </c>
      <c r="AE178" s="2">
        <f t="shared" si="28"/>
        <v>707</v>
      </c>
      <c r="AF178" s="2">
        <f t="shared" si="29"/>
        <v>561</v>
      </c>
      <c r="AG178" s="2">
        <f t="shared" si="30"/>
        <v>4200</v>
      </c>
      <c r="AH178" s="2">
        <f t="shared" si="31"/>
        <v>7798</v>
      </c>
      <c r="AI178" s="2">
        <f t="shared" si="32"/>
        <v>9248</v>
      </c>
      <c r="AJ178" s="2">
        <f t="shared" si="33"/>
        <v>1764</v>
      </c>
      <c r="AK178" s="2">
        <f t="shared" si="34"/>
        <v>1214</v>
      </c>
      <c r="AL178" s="2">
        <f t="shared" si="35"/>
        <v>939</v>
      </c>
      <c r="AM178" s="2">
        <f t="shared" si="36"/>
        <v>774</v>
      </c>
      <c r="AN178" s="2">
        <f t="shared" si="37"/>
        <v>664</v>
      </c>
      <c r="AO178" s="2">
        <f t="shared" si="38"/>
        <v>527</v>
      </c>
      <c r="AP178" s="2">
        <f t="shared" si="39"/>
        <v>4800</v>
      </c>
      <c r="AQ178" s="2">
        <f t="shared" si="40"/>
        <v>7198</v>
      </c>
      <c r="AR178" s="2">
        <f t="shared" si="41"/>
        <v>8648</v>
      </c>
      <c r="AS178" s="2">
        <f t="shared" si="42"/>
        <v>1649</v>
      </c>
      <c r="AT178" s="2">
        <f t="shared" si="43"/>
        <v>1135</v>
      </c>
      <c r="AU178" s="2">
        <f t="shared" si="44"/>
        <v>878</v>
      </c>
      <c r="AV178" s="2">
        <f t="shared" si="45"/>
        <v>724</v>
      </c>
      <c r="AW178" s="2">
        <f t="shared" si="46"/>
        <v>621</v>
      </c>
      <c r="AX178" s="2">
        <f t="shared" si="47"/>
        <v>492</v>
      </c>
    </row>
    <row r="179" ht="14.25" customHeight="1">
      <c r="A179" s="2" t="str">
        <f t="array" ref="A179">IFERROR(INDEX('Product Price'!A:A,SMALL('Product Price'!$D:$D,177)),"")</f>
        <v>OPPO Find N6 16/512 GB</v>
      </c>
      <c r="B179" s="2">
        <f t="array" ref="B179">IFERROR(INDEX('Product Price'!B:B,SMALL('Product Price'!$D:$D,177)),"")</f>
        <v>79999</v>
      </c>
      <c r="C179" s="2">
        <f t="array" ref="C179">IFERROR(INDEX('Product Price'!C:C,SMALL('Product Price'!$D:$D,177)),"")</f>
        <v>185</v>
      </c>
      <c r="D179" s="2">
        <f t="shared" si="1"/>
        <v>4025</v>
      </c>
      <c r="E179" s="2">
        <f t="shared" si="2"/>
        <v>84024</v>
      </c>
      <c r="F179" s="2">
        <f t="shared" si="3"/>
        <v>16000</v>
      </c>
      <c r="G179" s="2">
        <f t="shared" si="4"/>
        <v>63999</v>
      </c>
      <c r="H179" s="2">
        <f t="shared" si="5"/>
        <v>68024</v>
      </c>
      <c r="I179" s="2">
        <f t="shared" si="6"/>
        <v>12968</v>
      </c>
      <c r="J179" s="2">
        <f t="shared" si="7"/>
        <v>8925</v>
      </c>
      <c r="K179" s="2">
        <f t="shared" si="8"/>
        <v>6903</v>
      </c>
      <c r="L179" s="2">
        <f t="shared" si="9"/>
        <v>5690</v>
      </c>
      <c r="M179" s="2">
        <f t="shared" si="10"/>
        <v>4881</v>
      </c>
      <c r="N179" s="2">
        <f t="shared" si="11"/>
        <v>3870</v>
      </c>
      <c r="O179" s="2">
        <f t="shared" si="12"/>
        <v>20000</v>
      </c>
      <c r="P179" s="2">
        <f t="shared" si="13"/>
        <v>59999</v>
      </c>
      <c r="Q179" s="2">
        <f t="shared" si="14"/>
        <v>64024</v>
      </c>
      <c r="R179" s="2">
        <f t="shared" si="15"/>
        <v>12206</v>
      </c>
      <c r="S179" s="2">
        <f t="shared" si="16"/>
        <v>8400</v>
      </c>
      <c r="T179" s="2">
        <f t="shared" si="17"/>
        <v>6497</v>
      </c>
      <c r="U179" s="2">
        <f t="shared" si="18"/>
        <v>5355</v>
      </c>
      <c r="V179" s="2">
        <f t="shared" si="19"/>
        <v>4594</v>
      </c>
      <c r="W179" s="2">
        <f t="shared" si="20"/>
        <v>3643</v>
      </c>
      <c r="X179" s="2">
        <f t="shared" si="21"/>
        <v>24000</v>
      </c>
      <c r="Y179" s="2">
        <f t="shared" si="22"/>
        <v>55999</v>
      </c>
      <c r="Z179" s="2">
        <f t="shared" si="23"/>
        <v>60024</v>
      </c>
      <c r="AA179" s="2">
        <f t="shared" si="24"/>
        <v>11443</v>
      </c>
      <c r="AB179" s="2">
        <f t="shared" si="25"/>
        <v>7875</v>
      </c>
      <c r="AC179" s="2">
        <f t="shared" si="26"/>
        <v>6091</v>
      </c>
      <c r="AD179" s="2">
        <f t="shared" si="27"/>
        <v>5021</v>
      </c>
      <c r="AE179" s="2">
        <f t="shared" si="28"/>
        <v>4307</v>
      </c>
      <c r="AF179" s="2">
        <f t="shared" si="29"/>
        <v>3415</v>
      </c>
      <c r="AG179" s="2">
        <f t="shared" si="30"/>
        <v>28000</v>
      </c>
      <c r="AH179" s="2">
        <f t="shared" si="31"/>
        <v>51999</v>
      </c>
      <c r="AI179" s="2">
        <f t="shared" si="32"/>
        <v>56024</v>
      </c>
      <c r="AJ179" s="2">
        <f t="shared" si="33"/>
        <v>10681</v>
      </c>
      <c r="AK179" s="2">
        <f t="shared" si="34"/>
        <v>7351</v>
      </c>
      <c r="AL179" s="2">
        <f t="shared" si="35"/>
        <v>5685</v>
      </c>
      <c r="AM179" s="2">
        <f t="shared" si="36"/>
        <v>4686</v>
      </c>
      <c r="AN179" s="2">
        <f t="shared" si="37"/>
        <v>4020</v>
      </c>
      <c r="AO179" s="2">
        <f t="shared" si="38"/>
        <v>3188</v>
      </c>
      <c r="AP179" s="2">
        <f t="shared" si="39"/>
        <v>32000</v>
      </c>
      <c r="AQ179" s="2">
        <f t="shared" si="40"/>
        <v>47999</v>
      </c>
      <c r="AR179" s="2">
        <f t="shared" si="41"/>
        <v>52024</v>
      </c>
      <c r="AS179" s="2">
        <f t="shared" si="42"/>
        <v>9918</v>
      </c>
      <c r="AT179" s="2">
        <f t="shared" si="43"/>
        <v>6826</v>
      </c>
      <c r="AU179" s="2">
        <f t="shared" si="44"/>
        <v>5279</v>
      </c>
      <c r="AV179" s="2">
        <f t="shared" si="45"/>
        <v>4352</v>
      </c>
      <c r="AW179" s="2">
        <f t="shared" si="46"/>
        <v>3733</v>
      </c>
      <c r="AX179" s="2">
        <f t="shared" si="47"/>
        <v>2960</v>
      </c>
    </row>
    <row r="180" ht="14.25" customHeight="1">
      <c r="A180" s="2" t="str">
        <f t="array" ref="A180">IFERROR(INDEX('Product Price'!A:A,SMALL('Product Price'!$D:$D,178)),"")</f>
        <v>OPPO Find X9 Ultra 16/1TB</v>
      </c>
      <c r="B180" s="2">
        <f t="array" ref="B180">IFERROR(INDEX('Product Price'!B:B,SMALL('Product Price'!$D:$D,178)),"")</f>
        <v>69999</v>
      </c>
      <c r="C180" s="2">
        <f t="array" ref="C180">IFERROR(INDEX('Product Price'!C:C,SMALL('Product Price'!$D:$D,178)),"")</f>
        <v>186</v>
      </c>
      <c r="D180" s="2">
        <f t="shared" si="1"/>
        <v>4025</v>
      </c>
      <c r="E180" s="2">
        <f t="shared" si="2"/>
        <v>74024</v>
      </c>
      <c r="F180" s="2">
        <f t="shared" si="3"/>
        <v>14000</v>
      </c>
      <c r="G180" s="2">
        <f t="shared" si="4"/>
        <v>55999</v>
      </c>
      <c r="H180" s="2">
        <f t="shared" si="5"/>
        <v>60024</v>
      </c>
      <c r="I180" s="2">
        <f t="shared" si="6"/>
        <v>11443</v>
      </c>
      <c r="J180" s="2">
        <f t="shared" si="7"/>
        <v>7875</v>
      </c>
      <c r="K180" s="2">
        <f t="shared" si="8"/>
        <v>6091</v>
      </c>
      <c r="L180" s="2">
        <f t="shared" si="9"/>
        <v>5021</v>
      </c>
      <c r="M180" s="2">
        <f t="shared" si="10"/>
        <v>4307</v>
      </c>
      <c r="N180" s="2">
        <f t="shared" si="11"/>
        <v>3415</v>
      </c>
      <c r="O180" s="2">
        <f t="shared" si="12"/>
        <v>17500</v>
      </c>
      <c r="P180" s="2">
        <f t="shared" si="13"/>
        <v>52499</v>
      </c>
      <c r="Q180" s="2">
        <f t="shared" si="14"/>
        <v>56524</v>
      </c>
      <c r="R180" s="2">
        <f t="shared" si="15"/>
        <v>10776</v>
      </c>
      <c r="S180" s="2">
        <f t="shared" si="16"/>
        <v>7416</v>
      </c>
      <c r="T180" s="2">
        <f t="shared" si="17"/>
        <v>5736</v>
      </c>
      <c r="U180" s="2">
        <f t="shared" si="18"/>
        <v>4728</v>
      </c>
      <c r="V180" s="2">
        <f t="shared" si="19"/>
        <v>4056</v>
      </c>
      <c r="W180" s="2">
        <f t="shared" si="20"/>
        <v>3216</v>
      </c>
      <c r="X180" s="2">
        <f t="shared" si="21"/>
        <v>21000</v>
      </c>
      <c r="Y180" s="2">
        <f t="shared" si="22"/>
        <v>48999</v>
      </c>
      <c r="Z180" s="2">
        <f t="shared" si="23"/>
        <v>53024</v>
      </c>
      <c r="AA180" s="2">
        <f t="shared" si="24"/>
        <v>10109</v>
      </c>
      <c r="AB180" s="2">
        <f t="shared" si="25"/>
        <v>6957</v>
      </c>
      <c r="AC180" s="2">
        <f t="shared" si="26"/>
        <v>5381</v>
      </c>
      <c r="AD180" s="2">
        <f t="shared" si="27"/>
        <v>4435</v>
      </c>
      <c r="AE180" s="2">
        <f t="shared" si="28"/>
        <v>3805</v>
      </c>
      <c r="AF180" s="2">
        <f t="shared" si="29"/>
        <v>3017</v>
      </c>
      <c r="AG180" s="2">
        <f t="shared" si="30"/>
        <v>24500</v>
      </c>
      <c r="AH180" s="2">
        <f t="shared" si="31"/>
        <v>45499</v>
      </c>
      <c r="AI180" s="2">
        <f t="shared" si="32"/>
        <v>49524</v>
      </c>
      <c r="AJ180" s="2">
        <f t="shared" si="33"/>
        <v>9442</v>
      </c>
      <c r="AK180" s="2">
        <f t="shared" si="34"/>
        <v>6498</v>
      </c>
      <c r="AL180" s="2">
        <f t="shared" si="35"/>
        <v>5026</v>
      </c>
      <c r="AM180" s="2">
        <f t="shared" si="36"/>
        <v>4143</v>
      </c>
      <c r="AN180" s="2">
        <f t="shared" si="37"/>
        <v>3554</v>
      </c>
      <c r="AO180" s="2">
        <f t="shared" si="38"/>
        <v>2818</v>
      </c>
      <c r="AP180" s="2">
        <f t="shared" si="39"/>
        <v>28000</v>
      </c>
      <c r="AQ180" s="2">
        <f t="shared" si="40"/>
        <v>41999</v>
      </c>
      <c r="AR180" s="2">
        <f t="shared" si="41"/>
        <v>46024</v>
      </c>
      <c r="AS180" s="2">
        <f t="shared" si="42"/>
        <v>8774</v>
      </c>
      <c r="AT180" s="2">
        <f t="shared" si="43"/>
        <v>6039</v>
      </c>
      <c r="AU180" s="2">
        <f t="shared" si="44"/>
        <v>4671</v>
      </c>
      <c r="AV180" s="2">
        <f t="shared" si="45"/>
        <v>3850</v>
      </c>
      <c r="AW180" s="2">
        <f t="shared" si="46"/>
        <v>3303</v>
      </c>
      <c r="AX180" s="2">
        <f t="shared" si="47"/>
        <v>2619</v>
      </c>
    </row>
    <row r="181" ht="14.25" customHeight="1">
      <c r="A181" s="2" t="str">
        <f t="array" ref="A181">IFERROR(INDEX('Product Price'!A:A,SMALL('Product Price'!$D:$D,179)),"")</f>
        <v>OPPO Find X9 Ultra 12/512 GB</v>
      </c>
      <c r="B181" s="2">
        <f t="array" ref="B181">IFERROR(INDEX('Product Price'!B:B,SMALL('Product Price'!$D:$D,179)),"")</f>
        <v>54999</v>
      </c>
      <c r="C181" s="2">
        <f t="array" ref="C181">IFERROR(INDEX('Product Price'!C:C,SMALL('Product Price'!$D:$D,179)),"")</f>
        <v>187</v>
      </c>
      <c r="D181" s="2">
        <f t="shared" si="1"/>
        <v>2475</v>
      </c>
      <c r="E181" s="2">
        <f t="shared" si="2"/>
        <v>57474</v>
      </c>
      <c r="F181" s="2">
        <f t="shared" si="3"/>
        <v>11000</v>
      </c>
      <c r="G181" s="2">
        <f t="shared" si="4"/>
        <v>43999</v>
      </c>
      <c r="H181" s="2">
        <f t="shared" si="5"/>
        <v>46474</v>
      </c>
      <c r="I181" s="2">
        <f t="shared" si="6"/>
        <v>8860</v>
      </c>
      <c r="J181" s="2">
        <f t="shared" si="7"/>
        <v>6098</v>
      </c>
      <c r="K181" s="2">
        <f t="shared" si="8"/>
        <v>4716</v>
      </c>
      <c r="L181" s="2">
        <f t="shared" si="9"/>
        <v>3888</v>
      </c>
      <c r="M181" s="2">
        <f t="shared" si="10"/>
        <v>3335</v>
      </c>
      <c r="N181" s="2">
        <f t="shared" si="11"/>
        <v>2644</v>
      </c>
      <c r="O181" s="2">
        <f t="shared" si="12"/>
        <v>13750</v>
      </c>
      <c r="P181" s="2">
        <f t="shared" si="13"/>
        <v>41249</v>
      </c>
      <c r="Q181" s="2">
        <f t="shared" si="14"/>
        <v>43724</v>
      </c>
      <c r="R181" s="2">
        <f t="shared" si="15"/>
        <v>8336</v>
      </c>
      <c r="S181" s="2">
        <f t="shared" si="16"/>
        <v>5737</v>
      </c>
      <c r="T181" s="2">
        <f t="shared" si="17"/>
        <v>4437</v>
      </c>
      <c r="U181" s="2">
        <f t="shared" si="18"/>
        <v>3658</v>
      </c>
      <c r="V181" s="2">
        <f t="shared" si="19"/>
        <v>3138</v>
      </c>
      <c r="W181" s="2">
        <f t="shared" si="20"/>
        <v>2488</v>
      </c>
      <c r="X181" s="2">
        <f t="shared" si="21"/>
        <v>16500</v>
      </c>
      <c r="Y181" s="2">
        <f t="shared" si="22"/>
        <v>38499</v>
      </c>
      <c r="Z181" s="2">
        <f t="shared" si="23"/>
        <v>40974</v>
      </c>
      <c r="AA181" s="2">
        <f t="shared" si="24"/>
        <v>7812</v>
      </c>
      <c r="AB181" s="2">
        <f t="shared" si="25"/>
        <v>5376</v>
      </c>
      <c r="AC181" s="2">
        <f t="shared" si="26"/>
        <v>4158</v>
      </c>
      <c r="AD181" s="2">
        <f t="shared" si="27"/>
        <v>3427</v>
      </c>
      <c r="AE181" s="2">
        <f t="shared" si="28"/>
        <v>2940</v>
      </c>
      <c r="AF181" s="2">
        <f t="shared" si="29"/>
        <v>2331</v>
      </c>
      <c r="AG181" s="2">
        <f t="shared" si="30"/>
        <v>19250</v>
      </c>
      <c r="AH181" s="2">
        <f t="shared" si="31"/>
        <v>35749</v>
      </c>
      <c r="AI181" s="2">
        <f t="shared" si="32"/>
        <v>38224</v>
      </c>
      <c r="AJ181" s="2">
        <f t="shared" si="33"/>
        <v>7287</v>
      </c>
      <c r="AK181" s="2">
        <f t="shared" si="34"/>
        <v>5015</v>
      </c>
      <c r="AL181" s="2">
        <f t="shared" si="35"/>
        <v>3879</v>
      </c>
      <c r="AM181" s="2">
        <f t="shared" si="36"/>
        <v>3197</v>
      </c>
      <c r="AN181" s="2">
        <f t="shared" si="37"/>
        <v>2743</v>
      </c>
      <c r="AO181" s="2">
        <f t="shared" si="38"/>
        <v>2175</v>
      </c>
      <c r="AP181" s="2">
        <f t="shared" si="39"/>
        <v>22000</v>
      </c>
      <c r="AQ181" s="2">
        <f t="shared" si="40"/>
        <v>32999</v>
      </c>
      <c r="AR181" s="2">
        <f t="shared" si="41"/>
        <v>35474</v>
      </c>
      <c r="AS181" s="2">
        <f t="shared" si="42"/>
        <v>6763</v>
      </c>
      <c r="AT181" s="2">
        <f t="shared" si="43"/>
        <v>4654</v>
      </c>
      <c r="AU181" s="2">
        <f t="shared" si="44"/>
        <v>3600</v>
      </c>
      <c r="AV181" s="2">
        <f t="shared" si="45"/>
        <v>2967</v>
      </c>
      <c r="AW181" s="2">
        <f t="shared" si="46"/>
        <v>2546</v>
      </c>
      <c r="AX181" s="2">
        <f t="shared" si="47"/>
        <v>2019</v>
      </c>
    </row>
    <row r="182" ht="14.25" customHeight="1">
      <c r="A182" s="2" t="str">
        <f t="array" ref="A182">IFERROR(INDEX('Product Price'!A:A,SMALL('Product Price'!$D:$D,180)),"")</f>
        <v>OPPO Find X9s 12/512 GB</v>
      </c>
      <c r="B182" s="2">
        <f t="array" ref="B182">IFERROR(INDEX('Product Price'!B:B,SMALL('Product Price'!$D:$D,180)),"")</f>
        <v>34999</v>
      </c>
      <c r="C182" s="2">
        <f t="array" ref="C182">IFERROR(INDEX('Product Price'!C:C,SMALL('Product Price'!$D:$D,180)),"")</f>
        <v>188</v>
      </c>
      <c r="D182" s="2">
        <f t="shared" si="1"/>
        <v>1900</v>
      </c>
      <c r="E182" s="2">
        <f t="shared" si="2"/>
        <v>36899</v>
      </c>
      <c r="F182" s="2">
        <f t="shared" si="3"/>
        <v>7000</v>
      </c>
      <c r="G182" s="2">
        <f t="shared" si="4"/>
        <v>27999</v>
      </c>
      <c r="H182" s="2">
        <f t="shared" si="5"/>
        <v>29899</v>
      </c>
      <c r="I182" s="2">
        <f t="shared" si="6"/>
        <v>5700</v>
      </c>
      <c r="J182" s="2">
        <f t="shared" si="7"/>
        <v>3923</v>
      </c>
      <c r="K182" s="2">
        <f t="shared" si="8"/>
        <v>3034</v>
      </c>
      <c r="L182" s="2">
        <f t="shared" si="9"/>
        <v>2501</v>
      </c>
      <c r="M182" s="2">
        <f t="shared" si="10"/>
        <v>2146</v>
      </c>
      <c r="N182" s="2">
        <f t="shared" si="11"/>
        <v>1701</v>
      </c>
      <c r="O182" s="2">
        <f t="shared" si="12"/>
        <v>8750</v>
      </c>
      <c r="P182" s="2">
        <f t="shared" si="13"/>
        <v>26249</v>
      </c>
      <c r="Q182" s="2">
        <f t="shared" si="14"/>
        <v>28149</v>
      </c>
      <c r="R182" s="2">
        <f t="shared" si="15"/>
        <v>5367</v>
      </c>
      <c r="S182" s="2">
        <f t="shared" si="16"/>
        <v>3693</v>
      </c>
      <c r="T182" s="2">
        <f t="shared" si="17"/>
        <v>2857</v>
      </c>
      <c r="U182" s="2">
        <f t="shared" si="18"/>
        <v>2355</v>
      </c>
      <c r="V182" s="2">
        <f t="shared" si="19"/>
        <v>2020</v>
      </c>
      <c r="W182" s="2">
        <f t="shared" si="20"/>
        <v>1602</v>
      </c>
      <c r="X182" s="2">
        <f t="shared" si="21"/>
        <v>10500</v>
      </c>
      <c r="Y182" s="2">
        <f t="shared" si="22"/>
        <v>24499</v>
      </c>
      <c r="Z182" s="2">
        <f t="shared" si="23"/>
        <v>26399</v>
      </c>
      <c r="AA182" s="2">
        <f t="shared" si="24"/>
        <v>5033</v>
      </c>
      <c r="AB182" s="2">
        <f t="shared" si="25"/>
        <v>3464</v>
      </c>
      <c r="AC182" s="2">
        <f t="shared" si="26"/>
        <v>2679</v>
      </c>
      <c r="AD182" s="2">
        <f t="shared" si="27"/>
        <v>2208</v>
      </c>
      <c r="AE182" s="2">
        <f t="shared" si="28"/>
        <v>1895</v>
      </c>
      <c r="AF182" s="2">
        <f t="shared" si="29"/>
        <v>1502</v>
      </c>
      <c r="AG182" s="2">
        <f t="shared" si="30"/>
        <v>12250</v>
      </c>
      <c r="AH182" s="2">
        <f t="shared" si="31"/>
        <v>22749</v>
      </c>
      <c r="AI182" s="2">
        <f t="shared" si="32"/>
        <v>24649</v>
      </c>
      <c r="AJ182" s="2">
        <f t="shared" si="33"/>
        <v>4700</v>
      </c>
      <c r="AK182" s="2">
        <f t="shared" si="34"/>
        <v>3234</v>
      </c>
      <c r="AL182" s="2">
        <f t="shared" si="35"/>
        <v>2502</v>
      </c>
      <c r="AM182" s="2">
        <f t="shared" si="36"/>
        <v>2062</v>
      </c>
      <c r="AN182" s="2">
        <f t="shared" si="37"/>
        <v>1769</v>
      </c>
      <c r="AO182" s="2">
        <f t="shared" si="38"/>
        <v>1403</v>
      </c>
      <c r="AP182" s="2">
        <f t="shared" si="39"/>
        <v>14000</v>
      </c>
      <c r="AQ182" s="2">
        <f t="shared" si="40"/>
        <v>20999</v>
      </c>
      <c r="AR182" s="2">
        <f t="shared" si="41"/>
        <v>22899</v>
      </c>
      <c r="AS182" s="2">
        <f t="shared" si="42"/>
        <v>4366</v>
      </c>
      <c r="AT182" s="2">
        <f t="shared" si="43"/>
        <v>3005</v>
      </c>
      <c r="AU182" s="2">
        <f t="shared" si="44"/>
        <v>2324</v>
      </c>
      <c r="AV182" s="2">
        <f t="shared" si="45"/>
        <v>1916</v>
      </c>
      <c r="AW182" s="2">
        <f t="shared" si="46"/>
        <v>1643</v>
      </c>
      <c r="AX182" s="2">
        <f t="shared" si="47"/>
        <v>1303</v>
      </c>
    </row>
    <row r="183" ht="14.25" customHeight="1">
      <c r="A183" s="2" t="str">
        <f t="array" ref="A183">IFERROR(INDEX('Product Price'!A:A,SMALL('Product Price'!$D:$D,181)),"")</f>
        <v>OPPO Find X9s 12/256 GB</v>
      </c>
      <c r="B183" s="2">
        <f t="array" ref="B183">IFERROR(INDEX('Product Price'!B:B,SMALL('Product Price'!$D:$D,181)),"")</f>
        <v>31999</v>
      </c>
      <c r="C183" s="2">
        <f t="array" ref="C183">IFERROR(INDEX('Product Price'!C:C,SMALL('Product Price'!$D:$D,181)),"")</f>
        <v>189</v>
      </c>
      <c r="D183" s="2">
        <f t="shared" si="1"/>
        <v>1900</v>
      </c>
      <c r="E183" s="2">
        <f t="shared" si="2"/>
        <v>33899</v>
      </c>
      <c r="F183" s="2">
        <f t="shared" si="3"/>
        <v>6400</v>
      </c>
      <c r="G183" s="2">
        <f t="shared" si="4"/>
        <v>25599</v>
      </c>
      <c r="H183" s="2">
        <f t="shared" si="5"/>
        <v>27499</v>
      </c>
      <c r="I183" s="2">
        <f t="shared" si="6"/>
        <v>5243</v>
      </c>
      <c r="J183" s="2">
        <f t="shared" si="7"/>
        <v>3608</v>
      </c>
      <c r="K183" s="2">
        <f t="shared" si="8"/>
        <v>2791</v>
      </c>
      <c r="L183" s="2">
        <f t="shared" si="9"/>
        <v>2300</v>
      </c>
      <c r="M183" s="2">
        <f t="shared" si="10"/>
        <v>1974</v>
      </c>
      <c r="N183" s="2">
        <f t="shared" si="11"/>
        <v>1565</v>
      </c>
      <c r="O183" s="2">
        <f t="shared" si="12"/>
        <v>8000</v>
      </c>
      <c r="P183" s="2">
        <f t="shared" si="13"/>
        <v>23999</v>
      </c>
      <c r="Q183" s="2">
        <f t="shared" si="14"/>
        <v>25899</v>
      </c>
      <c r="R183" s="2">
        <f t="shared" si="15"/>
        <v>4938</v>
      </c>
      <c r="S183" s="2">
        <f t="shared" si="16"/>
        <v>3398</v>
      </c>
      <c r="T183" s="2">
        <f t="shared" si="17"/>
        <v>2629</v>
      </c>
      <c r="U183" s="2">
        <f t="shared" si="18"/>
        <v>2167</v>
      </c>
      <c r="V183" s="2">
        <f t="shared" si="19"/>
        <v>1859</v>
      </c>
      <c r="W183" s="2">
        <f t="shared" si="20"/>
        <v>1474</v>
      </c>
      <c r="X183" s="2">
        <f t="shared" si="21"/>
        <v>9600</v>
      </c>
      <c r="Y183" s="2">
        <f t="shared" si="22"/>
        <v>22399</v>
      </c>
      <c r="Z183" s="2">
        <f t="shared" si="23"/>
        <v>24299</v>
      </c>
      <c r="AA183" s="2">
        <f t="shared" si="24"/>
        <v>4633</v>
      </c>
      <c r="AB183" s="2">
        <f t="shared" si="25"/>
        <v>3188</v>
      </c>
      <c r="AC183" s="2">
        <f t="shared" si="26"/>
        <v>2466</v>
      </c>
      <c r="AD183" s="2">
        <f t="shared" si="27"/>
        <v>2033</v>
      </c>
      <c r="AE183" s="2">
        <f t="shared" si="28"/>
        <v>1744</v>
      </c>
      <c r="AF183" s="2">
        <f t="shared" si="29"/>
        <v>1383</v>
      </c>
      <c r="AG183" s="2">
        <f t="shared" si="30"/>
        <v>11200</v>
      </c>
      <c r="AH183" s="2">
        <f t="shared" si="31"/>
        <v>20799</v>
      </c>
      <c r="AI183" s="2">
        <f t="shared" si="32"/>
        <v>22699</v>
      </c>
      <c r="AJ183" s="2">
        <f t="shared" si="33"/>
        <v>4328</v>
      </c>
      <c r="AK183" s="2">
        <f t="shared" si="34"/>
        <v>2978</v>
      </c>
      <c r="AL183" s="2">
        <f t="shared" si="35"/>
        <v>2304</v>
      </c>
      <c r="AM183" s="2">
        <f t="shared" si="36"/>
        <v>1899</v>
      </c>
      <c r="AN183" s="2">
        <f t="shared" si="37"/>
        <v>1629</v>
      </c>
      <c r="AO183" s="2">
        <f t="shared" si="38"/>
        <v>1292</v>
      </c>
      <c r="AP183" s="2">
        <f t="shared" si="39"/>
        <v>12800</v>
      </c>
      <c r="AQ183" s="2">
        <f t="shared" si="40"/>
        <v>19199</v>
      </c>
      <c r="AR183" s="2">
        <f t="shared" si="41"/>
        <v>21099</v>
      </c>
      <c r="AS183" s="2">
        <f t="shared" si="42"/>
        <v>4023</v>
      </c>
      <c r="AT183" s="2">
        <f t="shared" si="43"/>
        <v>2769</v>
      </c>
      <c r="AU183" s="2">
        <f t="shared" si="44"/>
        <v>2141</v>
      </c>
      <c r="AV183" s="2">
        <f t="shared" si="45"/>
        <v>1765</v>
      </c>
      <c r="AW183" s="2">
        <f t="shared" si="46"/>
        <v>1514</v>
      </c>
      <c r="AX183" s="2">
        <f t="shared" si="47"/>
        <v>1201</v>
      </c>
    </row>
    <row r="184" ht="14.25" customHeight="1">
      <c r="A184" s="2" t="str">
        <f t="array" ref="A184">IFERROR(INDEX('Product Price'!A:A,SMALL('Product Price'!$D:$D,182)),"")</f>
        <v>OPPO Reno 16 Pro 12/256 GB</v>
      </c>
      <c r="B184" s="2">
        <f t="array" ref="B184">IFERROR(INDEX('Product Price'!B:B,SMALL('Product Price'!$D:$D,182)),"")</f>
        <v>29999</v>
      </c>
      <c r="C184" s="2">
        <f t="array" ref="C184">IFERROR(INDEX('Product Price'!C:C,SMALL('Product Price'!$D:$D,182)),"")</f>
        <v>190</v>
      </c>
      <c r="D184" s="2">
        <f t="shared" si="1"/>
        <v>1900</v>
      </c>
      <c r="E184" s="2">
        <f t="shared" si="2"/>
        <v>31899</v>
      </c>
      <c r="F184" s="2">
        <f t="shared" si="3"/>
        <v>6000</v>
      </c>
      <c r="G184" s="2">
        <f t="shared" si="4"/>
        <v>23999</v>
      </c>
      <c r="H184" s="2">
        <f t="shared" si="5"/>
        <v>25899</v>
      </c>
      <c r="I184" s="2">
        <f t="shared" si="6"/>
        <v>4938</v>
      </c>
      <c r="J184" s="2">
        <f t="shared" si="7"/>
        <v>3398</v>
      </c>
      <c r="K184" s="2">
        <f t="shared" si="8"/>
        <v>2629</v>
      </c>
      <c r="L184" s="2">
        <f t="shared" si="9"/>
        <v>2167</v>
      </c>
      <c r="M184" s="2">
        <f t="shared" si="10"/>
        <v>1859</v>
      </c>
      <c r="N184" s="2">
        <f t="shared" si="11"/>
        <v>1474</v>
      </c>
      <c r="O184" s="2">
        <f t="shared" si="12"/>
        <v>7500</v>
      </c>
      <c r="P184" s="2">
        <f t="shared" si="13"/>
        <v>22499</v>
      </c>
      <c r="Q184" s="2">
        <f t="shared" si="14"/>
        <v>24399</v>
      </c>
      <c r="R184" s="2">
        <f t="shared" si="15"/>
        <v>4652</v>
      </c>
      <c r="S184" s="2">
        <f t="shared" si="16"/>
        <v>3201</v>
      </c>
      <c r="T184" s="2">
        <f t="shared" si="17"/>
        <v>2476</v>
      </c>
      <c r="U184" s="2">
        <f t="shared" si="18"/>
        <v>2041</v>
      </c>
      <c r="V184" s="2">
        <f t="shared" si="19"/>
        <v>1751</v>
      </c>
      <c r="W184" s="2">
        <f t="shared" si="20"/>
        <v>1389</v>
      </c>
      <c r="X184" s="2">
        <f t="shared" si="21"/>
        <v>9000</v>
      </c>
      <c r="Y184" s="2">
        <f t="shared" si="22"/>
        <v>20999</v>
      </c>
      <c r="Z184" s="2">
        <f t="shared" si="23"/>
        <v>22899</v>
      </c>
      <c r="AA184" s="2">
        <f t="shared" si="24"/>
        <v>4366</v>
      </c>
      <c r="AB184" s="2">
        <f t="shared" si="25"/>
        <v>3005</v>
      </c>
      <c r="AC184" s="2">
        <f t="shared" si="26"/>
        <v>2324</v>
      </c>
      <c r="AD184" s="2">
        <f t="shared" si="27"/>
        <v>1916</v>
      </c>
      <c r="AE184" s="2">
        <f t="shared" si="28"/>
        <v>1643</v>
      </c>
      <c r="AF184" s="2">
        <f t="shared" si="29"/>
        <v>1303</v>
      </c>
      <c r="AG184" s="2">
        <f t="shared" si="30"/>
        <v>10500</v>
      </c>
      <c r="AH184" s="2">
        <f t="shared" si="31"/>
        <v>19499</v>
      </c>
      <c r="AI184" s="2">
        <f t="shared" si="32"/>
        <v>21399</v>
      </c>
      <c r="AJ184" s="2">
        <f t="shared" si="33"/>
        <v>4080</v>
      </c>
      <c r="AK184" s="2">
        <f t="shared" si="34"/>
        <v>2808</v>
      </c>
      <c r="AL184" s="2">
        <f t="shared" si="35"/>
        <v>2172</v>
      </c>
      <c r="AM184" s="2">
        <f t="shared" si="36"/>
        <v>1790</v>
      </c>
      <c r="AN184" s="2">
        <f t="shared" si="37"/>
        <v>1536</v>
      </c>
      <c r="AO184" s="2">
        <f t="shared" si="38"/>
        <v>1218</v>
      </c>
      <c r="AP184" s="2">
        <f t="shared" si="39"/>
        <v>12000</v>
      </c>
      <c r="AQ184" s="2">
        <f t="shared" si="40"/>
        <v>17999</v>
      </c>
      <c r="AR184" s="2">
        <f t="shared" si="41"/>
        <v>19899</v>
      </c>
      <c r="AS184" s="2">
        <f t="shared" si="42"/>
        <v>3794</v>
      </c>
      <c r="AT184" s="2">
        <f t="shared" si="43"/>
        <v>2611</v>
      </c>
      <c r="AU184" s="2">
        <f t="shared" si="44"/>
        <v>2020</v>
      </c>
      <c r="AV184" s="2">
        <f t="shared" si="45"/>
        <v>1665</v>
      </c>
      <c r="AW184" s="2">
        <f t="shared" si="46"/>
        <v>1428</v>
      </c>
      <c r="AX184" s="2">
        <f t="shared" si="47"/>
        <v>1133</v>
      </c>
    </row>
    <row r="185" ht="14.25" customHeight="1">
      <c r="A185" s="2" t="str">
        <f t="array" ref="A185">IFERROR(INDEX('Product Price'!A:A,SMALL('Product Price'!$D:$D,183)),"")</f>
        <v>OPPO Reno 16 5G 12/512 GB</v>
      </c>
      <c r="B185" s="2">
        <f t="array" ref="B185">IFERROR(INDEX('Product Price'!B:B,SMALL('Product Price'!$D:$D,183)),"")</f>
        <v>26999</v>
      </c>
      <c r="C185" s="2">
        <f t="array" ref="C185">IFERROR(INDEX('Product Price'!C:C,SMALL('Product Price'!$D:$D,183)),"")</f>
        <v>192</v>
      </c>
      <c r="D185" s="2">
        <f t="shared" si="1"/>
        <v>1900</v>
      </c>
      <c r="E185" s="2">
        <f t="shared" si="2"/>
        <v>28899</v>
      </c>
      <c r="F185" s="2">
        <f t="shared" si="3"/>
        <v>5400</v>
      </c>
      <c r="G185" s="2">
        <f t="shared" si="4"/>
        <v>21599</v>
      </c>
      <c r="H185" s="2">
        <f t="shared" si="5"/>
        <v>23499</v>
      </c>
      <c r="I185" s="2">
        <f t="shared" si="6"/>
        <v>4480</v>
      </c>
      <c r="J185" s="2">
        <f t="shared" si="7"/>
        <v>3083</v>
      </c>
      <c r="K185" s="2">
        <f t="shared" si="8"/>
        <v>2385</v>
      </c>
      <c r="L185" s="2">
        <f t="shared" si="9"/>
        <v>1966</v>
      </c>
      <c r="M185" s="2">
        <f t="shared" si="10"/>
        <v>1687</v>
      </c>
      <c r="N185" s="2">
        <f t="shared" si="11"/>
        <v>1337</v>
      </c>
      <c r="O185" s="2">
        <f t="shared" si="12"/>
        <v>6750</v>
      </c>
      <c r="P185" s="2">
        <f t="shared" si="13"/>
        <v>20249</v>
      </c>
      <c r="Q185" s="2">
        <f t="shared" si="14"/>
        <v>22149</v>
      </c>
      <c r="R185" s="2">
        <f t="shared" si="15"/>
        <v>4223</v>
      </c>
      <c r="S185" s="2">
        <f t="shared" si="16"/>
        <v>2906</v>
      </c>
      <c r="T185" s="2">
        <f t="shared" si="17"/>
        <v>2248</v>
      </c>
      <c r="U185" s="2">
        <f t="shared" si="18"/>
        <v>1853</v>
      </c>
      <c r="V185" s="2">
        <f t="shared" si="19"/>
        <v>1590</v>
      </c>
      <c r="W185" s="2">
        <f t="shared" si="20"/>
        <v>1261</v>
      </c>
      <c r="X185" s="2">
        <f t="shared" si="21"/>
        <v>8100</v>
      </c>
      <c r="Y185" s="2">
        <f t="shared" si="22"/>
        <v>18899</v>
      </c>
      <c r="Z185" s="2">
        <f t="shared" si="23"/>
        <v>20799</v>
      </c>
      <c r="AA185" s="2">
        <f t="shared" si="24"/>
        <v>3966</v>
      </c>
      <c r="AB185" s="2">
        <f t="shared" si="25"/>
        <v>2729</v>
      </c>
      <c r="AC185" s="2">
        <f t="shared" si="26"/>
        <v>2111</v>
      </c>
      <c r="AD185" s="2">
        <f t="shared" si="27"/>
        <v>1740</v>
      </c>
      <c r="AE185" s="2">
        <f t="shared" si="28"/>
        <v>1493</v>
      </c>
      <c r="AF185" s="2">
        <f t="shared" si="29"/>
        <v>1184</v>
      </c>
      <c r="AG185" s="2">
        <f t="shared" si="30"/>
        <v>9450</v>
      </c>
      <c r="AH185" s="2">
        <f t="shared" si="31"/>
        <v>17549</v>
      </c>
      <c r="AI185" s="2">
        <f t="shared" si="32"/>
        <v>19449</v>
      </c>
      <c r="AJ185" s="2">
        <f t="shared" si="33"/>
        <v>3708</v>
      </c>
      <c r="AK185" s="2">
        <f t="shared" si="34"/>
        <v>2552</v>
      </c>
      <c r="AL185" s="2">
        <f t="shared" si="35"/>
        <v>1974</v>
      </c>
      <c r="AM185" s="2">
        <f t="shared" si="36"/>
        <v>1627</v>
      </c>
      <c r="AN185" s="2">
        <f t="shared" si="37"/>
        <v>1396</v>
      </c>
      <c r="AO185" s="2">
        <f t="shared" si="38"/>
        <v>1107</v>
      </c>
      <c r="AP185" s="2">
        <f t="shared" si="39"/>
        <v>10800</v>
      </c>
      <c r="AQ185" s="2">
        <f t="shared" si="40"/>
        <v>16199</v>
      </c>
      <c r="AR185" s="2">
        <f t="shared" si="41"/>
        <v>18099</v>
      </c>
      <c r="AS185" s="2">
        <f t="shared" si="42"/>
        <v>3451</v>
      </c>
      <c r="AT185" s="2">
        <f t="shared" si="43"/>
        <v>2375</v>
      </c>
      <c r="AU185" s="2">
        <f t="shared" si="44"/>
        <v>1837</v>
      </c>
      <c r="AV185" s="2">
        <f t="shared" si="45"/>
        <v>1514</v>
      </c>
      <c r="AW185" s="2">
        <f t="shared" si="46"/>
        <v>1299</v>
      </c>
      <c r="AX185" s="2">
        <f t="shared" si="47"/>
        <v>1030</v>
      </c>
    </row>
    <row r="186" ht="14.25" customHeight="1">
      <c r="A186" s="2" t="str">
        <f t="array" ref="A186">IFERROR(INDEX('Product Price'!A:A,SMALL('Product Price'!$D:$D,184)),"")</f>
        <v>OPPO Reno 16 5G 12/256 GB</v>
      </c>
      <c r="B186" s="2">
        <f t="array" ref="B186">IFERROR(INDEX('Product Price'!B:B,SMALL('Product Price'!$D:$D,184)),"")</f>
        <v>24999</v>
      </c>
      <c r="C186" s="2">
        <f t="array" ref="C186">IFERROR(INDEX('Product Price'!C:C,SMALL('Product Price'!$D:$D,184)),"")</f>
        <v>193</v>
      </c>
      <c r="D186" s="2">
        <f t="shared" si="1"/>
        <v>1900</v>
      </c>
      <c r="E186" s="2">
        <f t="shared" si="2"/>
        <v>26899</v>
      </c>
      <c r="F186" s="2">
        <f t="shared" si="3"/>
        <v>5000</v>
      </c>
      <c r="G186" s="2">
        <f t="shared" si="4"/>
        <v>19999</v>
      </c>
      <c r="H186" s="2">
        <f t="shared" si="5"/>
        <v>21899</v>
      </c>
      <c r="I186" s="2">
        <f t="shared" si="6"/>
        <v>4175</v>
      </c>
      <c r="J186" s="2">
        <f t="shared" si="7"/>
        <v>2874</v>
      </c>
      <c r="K186" s="2">
        <f t="shared" si="8"/>
        <v>2223</v>
      </c>
      <c r="L186" s="2">
        <f t="shared" si="9"/>
        <v>1832</v>
      </c>
      <c r="M186" s="2">
        <f t="shared" si="10"/>
        <v>1572</v>
      </c>
      <c r="N186" s="2">
        <f t="shared" si="11"/>
        <v>1246</v>
      </c>
      <c r="O186" s="2">
        <f t="shared" si="12"/>
        <v>6250</v>
      </c>
      <c r="P186" s="2">
        <f t="shared" si="13"/>
        <v>18749</v>
      </c>
      <c r="Q186" s="2">
        <f t="shared" si="14"/>
        <v>20649</v>
      </c>
      <c r="R186" s="2">
        <f t="shared" si="15"/>
        <v>3937</v>
      </c>
      <c r="S186" s="2">
        <f t="shared" si="16"/>
        <v>2710</v>
      </c>
      <c r="T186" s="2">
        <f t="shared" si="17"/>
        <v>2096</v>
      </c>
      <c r="U186" s="2">
        <f t="shared" si="18"/>
        <v>1728</v>
      </c>
      <c r="V186" s="2">
        <f t="shared" si="19"/>
        <v>1482</v>
      </c>
      <c r="W186" s="2">
        <f t="shared" si="20"/>
        <v>1175</v>
      </c>
      <c r="X186" s="2">
        <f t="shared" si="21"/>
        <v>7500</v>
      </c>
      <c r="Y186" s="2">
        <f t="shared" si="22"/>
        <v>17499</v>
      </c>
      <c r="Z186" s="2">
        <f t="shared" si="23"/>
        <v>19399</v>
      </c>
      <c r="AA186" s="2">
        <f t="shared" si="24"/>
        <v>3699</v>
      </c>
      <c r="AB186" s="2">
        <f t="shared" si="25"/>
        <v>2546</v>
      </c>
      <c r="AC186" s="2">
        <f t="shared" si="26"/>
        <v>1969</v>
      </c>
      <c r="AD186" s="2">
        <f t="shared" si="27"/>
        <v>1623</v>
      </c>
      <c r="AE186" s="2">
        <f t="shared" si="28"/>
        <v>1392</v>
      </c>
      <c r="AF186" s="2">
        <f t="shared" si="29"/>
        <v>1104</v>
      </c>
      <c r="AG186" s="2">
        <f t="shared" si="30"/>
        <v>8750</v>
      </c>
      <c r="AH186" s="2">
        <f t="shared" si="31"/>
        <v>16249</v>
      </c>
      <c r="AI186" s="2">
        <f t="shared" si="32"/>
        <v>18149</v>
      </c>
      <c r="AJ186" s="2">
        <f t="shared" si="33"/>
        <v>3460</v>
      </c>
      <c r="AK186" s="2">
        <f t="shared" si="34"/>
        <v>2382</v>
      </c>
      <c r="AL186" s="2">
        <f t="shared" si="35"/>
        <v>1842</v>
      </c>
      <c r="AM186" s="2">
        <f t="shared" si="36"/>
        <v>1518</v>
      </c>
      <c r="AN186" s="2">
        <f t="shared" si="37"/>
        <v>1303</v>
      </c>
      <c r="AO186" s="2">
        <f t="shared" si="38"/>
        <v>1033</v>
      </c>
      <c r="AP186" s="2">
        <f t="shared" si="39"/>
        <v>10000</v>
      </c>
      <c r="AQ186" s="2">
        <f t="shared" si="40"/>
        <v>14999</v>
      </c>
      <c r="AR186" s="2">
        <f t="shared" si="41"/>
        <v>16899</v>
      </c>
      <c r="AS186" s="2">
        <f t="shared" si="42"/>
        <v>3222</v>
      </c>
      <c r="AT186" s="2">
        <f t="shared" si="43"/>
        <v>2218</v>
      </c>
      <c r="AU186" s="2">
        <f t="shared" si="44"/>
        <v>1715</v>
      </c>
      <c r="AV186" s="2">
        <f t="shared" si="45"/>
        <v>1414</v>
      </c>
      <c r="AW186" s="2">
        <f t="shared" si="46"/>
        <v>1213</v>
      </c>
      <c r="AX186" s="2">
        <f t="shared" si="47"/>
        <v>962</v>
      </c>
    </row>
    <row r="187" ht="14.25" customHeight="1">
      <c r="A187" s="2" t="str">
        <f t="array" ref="A187">IFERROR(INDEX('Product Price'!A:A,SMALL('Product Price'!$D:$D,185)),"")</f>
        <v>OPPO Reno 16 5G 8/256 GB</v>
      </c>
      <c r="B187" s="2">
        <f t="array" ref="B187">IFERROR(INDEX('Product Price'!B:B,SMALL('Product Price'!$D:$D,185)),"")</f>
        <v>21999</v>
      </c>
      <c r="C187" s="2">
        <f t="array" ref="C187">IFERROR(INDEX('Product Price'!C:C,SMALL('Product Price'!$D:$D,185)),"")</f>
        <v>194</v>
      </c>
      <c r="D187" s="2">
        <f t="shared" si="1"/>
        <v>1900</v>
      </c>
      <c r="E187" s="2">
        <f t="shared" si="2"/>
        <v>23899</v>
      </c>
      <c r="F187" s="2">
        <f t="shared" si="3"/>
        <v>4400</v>
      </c>
      <c r="G187" s="2">
        <f t="shared" si="4"/>
        <v>17599</v>
      </c>
      <c r="H187" s="2">
        <f t="shared" si="5"/>
        <v>19499</v>
      </c>
      <c r="I187" s="2">
        <f t="shared" si="6"/>
        <v>3718</v>
      </c>
      <c r="J187" s="2">
        <f t="shared" si="7"/>
        <v>2559</v>
      </c>
      <c r="K187" s="2">
        <f t="shared" si="8"/>
        <v>1979</v>
      </c>
      <c r="L187" s="2">
        <f t="shared" si="9"/>
        <v>1631</v>
      </c>
      <c r="M187" s="2">
        <f t="shared" si="10"/>
        <v>1400</v>
      </c>
      <c r="N187" s="2">
        <f t="shared" si="11"/>
        <v>1110</v>
      </c>
      <c r="O187" s="2">
        <f t="shared" si="12"/>
        <v>5500</v>
      </c>
      <c r="P187" s="2">
        <f t="shared" si="13"/>
        <v>16499</v>
      </c>
      <c r="Q187" s="2">
        <f t="shared" si="14"/>
        <v>18399</v>
      </c>
      <c r="R187" s="2">
        <f t="shared" si="15"/>
        <v>3508</v>
      </c>
      <c r="S187" s="2">
        <f t="shared" si="16"/>
        <v>2414</v>
      </c>
      <c r="T187" s="2">
        <f t="shared" si="17"/>
        <v>1867</v>
      </c>
      <c r="U187" s="2">
        <f t="shared" si="18"/>
        <v>1539</v>
      </c>
      <c r="V187" s="2">
        <f t="shared" si="19"/>
        <v>1321</v>
      </c>
      <c r="W187" s="2">
        <f t="shared" si="20"/>
        <v>1047</v>
      </c>
      <c r="X187" s="2">
        <f t="shared" si="21"/>
        <v>6600</v>
      </c>
      <c r="Y187" s="2">
        <f t="shared" si="22"/>
        <v>15399</v>
      </c>
      <c r="Z187" s="2">
        <f t="shared" si="23"/>
        <v>17299</v>
      </c>
      <c r="AA187" s="2">
        <f t="shared" si="24"/>
        <v>3298</v>
      </c>
      <c r="AB187" s="2">
        <f t="shared" si="25"/>
        <v>2270</v>
      </c>
      <c r="AC187" s="2">
        <f t="shared" si="26"/>
        <v>1756</v>
      </c>
      <c r="AD187" s="2">
        <f t="shared" si="27"/>
        <v>1447</v>
      </c>
      <c r="AE187" s="2">
        <f t="shared" si="28"/>
        <v>1242</v>
      </c>
      <c r="AF187" s="2">
        <f t="shared" si="29"/>
        <v>985</v>
      </c>
      <c r="AG187" s="2">
        <f t="shared" si="30"/>
        <v>7700</v>
      </c>
      <c r="AH187" s="2">
        <f t="shared" si="31"/>
        <v>14299</v>
      </c>
      <c r="AI187" s="2">
        <f t="shared" si="32"/>
        <v>16199</v>
      </c>
      <c r="AJ187" s="2">
        <f t="shared" si="33"/>
        <v>3089</v>
      </c>
      <c r="AK187" s="2">
        <f t="shared" si="34"/>
        <v>2126</v>
      </c>
      <c r="AL187" s="2">
        <f t="shared" si="35"/>
        <v>1644</v>
      </c>
      <c r="AM187" s="2">
        <f t="shared" si="36"/>
        <v>1355</v>
      </c>
      <c r="AN187" s="2">
        <f t="shared" si="37"/>
        <v>1163</v>
      </c>
      <c r="AO187" s="2">
        <f t="shared" si="38"/>
        <v>922</v>
      </c>
      <c r="AP187" s="2">
        <f t="shared" si="39"/>
        <v>8800</v>
      </c>
      <c r="AQ187" s="2">
        <f t="shared" si="40"/>
        <v>13199</v>
      </c>
      <c r="AR187" s="2">
        <f t="shared" si="41"/>
        <v>15099</v>
      </c>
      <c r="AS187" s="2">
        <f t="shared" si="42"/>
        <v>2879</v>
      </c>
      <c r="AT187" s="2">
        <f t="shared" si="43"/>
        <v>1981</v>
      </c>
      <c r="AU187" s="2">
        <f t="shared" si="44"/>
        <v>1533</v>
      </c>
      <c r="AV187" s="2">
        <f t="shared" si="45"/>
        <v>1263</v>
      </c>
      <c r="AW187" s="2">
        <f t="shared" si="46"/>
        <v>1084</v>
      </c>
      <c r="AX187" s="2">
        <f t="shared" si="47"/>
        <v>859</v>
      </c>
    </row>
    <row r="188" ht="14.25" customHeight="1">
      <c r="A188" s="2" t="str">
        <f t="array" ref="A188">IFERROR(INDEX('Product Price'!A:A,SMALL('Product Price'!$D:$D,186)),"")</f>
        <v>OPPO Reno 16F 5G 8/256 GB</v>
      </c>
      <c r="B188" s="2">
        <f t="array" ref="B188">IFERROR(INDEX('Product Price'!B:B,SMALL('Product Price'!$D:$D,186)),"")</f>
        <v>18999</v>
      </c>
      <c r="C188" s="2">
        <f t="array" ref="C188">IFERROR(INDEX('Product Price'!C:C,SMALL('Product Price'!$D:$D,186)),"")</f>
        <v>195</v>
      </c>
      <c r="D188" s="2">
        <f t="shared" si="1"/>
        <v>1450</v>
      </c>
      <c r="E188" s="2">
        <f t="shared" si="2"/>
        <v>20449</v>
      </c>
      <c r="F188" s="2">
        <f t="shared" si="3"/>
        <v>3800</v>
      </c>
      <c r="G188" s="2">
        <f t="shared" si="4"/>
        <v>15199</v>
      </c>
      <c r="H188" s="2">
        <f t="shared" si="5"/>
        <v>16649</v>
      </c>
      <c r="I188" s="2">
        <f t="shared" si="6"/>
        <v>3174</v>
      </c>
      <c r="J188" s="2">
        <f t="shared" si="7"/>
        <v>2185</v>
      </c>
      <c r="K188" s="2">
        <f t="shared" si="8"/>
        <v>1690</v>
      </c>
      <c r="L188" s="2">
        <f t="shared" si="9"/>
        <v>1393</v>
      </c>
      <c r="M188" s="2">
        <f t="shared" si="10"/>
        <v>1195</v>
      </c>
      <c r="N188" s="2">
        <f t="shared" si="11"/>
        <v>948</v>
      </c>
      <c r="O188" s="2">
        <f t="shared" si="12"/>
        <v>4750</v>
      </c>
      <c r="P188" s="2">
        <f t="shared" si="13"/>
        <v>14249</v>
      </c>
      <c r="Q188" s="2">
        <f t="shared" si="14"/>
        <v>15699</v>
      </c>
      <c r="R188" s="2">
        <f t="shared" si="15"/>
        <v>2993</v>
      </c>
      <c r="S188" s="2">
        <f t="shared" si="16"/>
        <v>2060</v>
      </c>
      <c r="T188" s="2">
        <f t="shared" si="17"/>
        <v>1594</v>
      </c>
      <c r="U188" s="2">
        <f t="shared" si="18"/>
        <v>1314</v>
      </c>
      <c r="V188" s="2">
        <f t="shared" si="19"/>
        <v>1127</v>
      </c>
      <c r="W188" s="2">
        <f t="shared" si="20"/>
        <v>894</v>
      </c>
      <c r="X188" s="2">
        <f t="shared" si="21"/>
        <v>5700</v>
      </c>
      <c r="Y188" s="2">
        <f t="shared" si="22"/>
        <v>13299</v>
      </c>
      <c r="Z188" s="2">
        <f t="shared" si="23"/>
        <v>14749</v>
      </c>
      <c r="AA188" s="2">
        <f t="shared" si="24"/>
        <v>2812</v>
      </c>
      <c r="AB188" s="2">
        <f t="shared" si="25"/>
        <v>1935</v>
      </c>
      <c r="AC188" s="2">
        <f t="shared" si="26"/>
        <v>1497</v>
      </c>
      <c r="AD188" s="2">
        <f t="shared" si="27"/>
        <v>1234</v>
      </c>
      <c r="AE188" s="2">
        <f t="shared" si="28"/>
        <v>1059</v>
      </c>
      <c r="AF188" s="2">
        <f t="shared" si="29"/>
        <v>840</v>
      </c>
      <c r="AG188" s="2">
        <f t="shared" si="30"/>
        <v>6650</v>
      </c>
      <c r="AH188" s="2">
        <f t="shared" si="31"/>
        <v>12349</v>
      </c>
      <c r="AI188" s="2">
        <f t="shared" si="32"/>
        <v>13799</v>
      </c>
      <c r="AJ188" s="2">
        <f t="shared" si="33"/>
        <v>2631</v>
      </c>
      <c r="AK188" s="2">
        <f t="shared" si="34"/>
        <v>1811</v>
      </c>
      <c r="AL188" s="2">
        <f t="shared" si="35"/>
        <v>1401</v>
      </c>
      <c r="AM188" s="2">
        <f t="shared" si="36"/>
        <v>1155</v>
      </c>
      <c r="AN188" s="2">
        <f t="shared" si="37"/>
        <v>991</v>
      </c>
      <c r="AO188" s="2">
        <f t="shared" si="38"/>
        <v>786</v>
      </c>
      <c r="AP188" s="2">
        <f t="shared" si="39"/>
        <v>7600</v>
      </c>
      <c r="AQ188" s="2">
        <f t="shared" si="40"/>
        <v>11399</v>
      </c>
      <c r="AR188" s="2">
        <f t="shared" si="41"/>
        <v>12849</v>
      </c>
      <c r="AS188" s="2">
        <f t="shared" si="42"/>
        <v>2450</v>
      </c>
      <c r="AT188" s="2">
        <f t="shared" si="43"/>
        <v>1686</v>
      </c>
      <c r="AU188" s="2">
        <f t="shared" si="44"/>
        <v>1304</v>
      </c>
      <c r="AV188" s="2">
        <f t="shared" si="45"/>
        <v>1075</v>
      </c>
      <c r="AW188" s="2">
        <f t="shared" si="46"/>
        <v>922</v>
      </c>
      <c r="AX188" s="2">
        <f t="shared" si="47"/>
        <v>731</v>
      </c>
    </row>
    <row r="189" ht="14.25" customHeight="1">
      <c r="A189" s="2" t="str">
        <f t="array" ref="A189">IFERROR(INDEX('Product Price'!A:A,SMALL('Product Price'!$D:$D,187)),"")</f>
        <v>OPPO Reno 16F 5G 8/128 GB</v>
      </c>
      <c r="B189" s="2">
        <f t="array" ref="B189">IFERROR(INDEX('Product Price'!B:B,SMALL('Product Price'!$D:$D,187)),"")</f>
        <v>17999</v>
      </c>
      <c r="C189" s="2">
        <f t="array" ref="C189">IFERROR(INDEX('Product Price'!C:C,SMALL('Product Price'!$D:$D,187)),"")</f>
        <v>196</v>
      </c>
      <c r="D189" s="2">
        <f t="shared" si="1"/>
        <v>1450</v>
      </c>
      <c r="E189" s="2">
        <f t="shared" si="2"/>
        <v>19449</v>
      </c>
      <c r="F189" s="2">
        <f t="shared" si="3"/>
        <v>3600</v>
      </c>
      <c r="G189" s="2">
        <f t="shared" si="4"/>
        <v>14399</v>
      </c>
      <c r="H189" s="2">
        <f t="shared" si="5"/>
        <v>15849</v>
      </c>
      <c r="I189" s="2">
        <f t="shared" si="6"/>
        <v>3022</v>
      </c>
      <c r="J189" s="2">
        <f t="shared" si="7"/>
        <v>2080</v>
      </c>
      <c r="K189" s="2">
        <f t="shared" si="8"/>
        <v>1609</v>
      </c>
      <c r="L189" s="2">
        <f t="shared" si="9"/>
        <v>1326</v>
      </c>
      <c r="M189" s="2">
        <f t="shared" si="10"/>
        <v>1138</v>
      </c>
      <c r="N189" s="2">
        <f t="shared" si="11"/>
        <v>902</v>
      </c>
      <c r="O189" s="2">
        <f t="shared" si="12"/>
        <v>4500</v>
      </c>
      <c r="P189" s="2">
        <f t="shared" si="13"/>
        <v>13499</v>
      </c>
      <c r="Q189" s="2">
        <f t="shared" si="14"/>
        <v>14949</v>
      </c>
      <c r="R189" s="2">
        <f t="shared" si="15"/>
        <v>2850</v>
      </c>
      <c r="S189" s="2">
        <f t="shared" si="16"/>
        <v>1962</v>
      </c>
      <c r="T189" s="2">
        <f t="shared" si="17"/>
        <v>1517</v>
      </c>
      <c r="U189" s="2">
        <f t="shared" si="18"/>
        <v>1251</v>
      </c>
      <c r="V189" s="2">
        <f t="shared" si="19"/>
        <v>1073</v>
      </c>
      <c r="W189" s="2">
        <f t="shared" si="20"/>
        <v>851</v>
      </c>
      <c r="X189" s="2">
        <f t="shared" si="21"/>
        <v>5400</v>
      </c>
      <c r="Y189" s="2">
        <f t="shared" si="22"/>
        <v>12599</v>
      </c>
      <c r="Z189" s="2">
        <f t="shared" si="23"/>
        <v>14049</v>
      </c>
      <c r="AA189" s="2">
        <f t="shared" si="24"/>
        <v>2679</v>
      </c>
      <c r="AB189" s="2">
        <f t="shared" si="25"/>
        <v>1844</v>
      </c>
      <c r="AC189" s="2">
        <f t="shared" si="26"/>
        <v>1426</v>
      </c>
      <c r="AD189" s="2">
        <f t="shared" si="27"/>
        <v>1176</v>
      </c>
      <c r="AE189" s="2">
        <f t="shared" si="28"/>
        <v>1009</v>
      </c>
      <c r="AF189" s="2">
        <f t="shared" si="29"/>
        <v>800</v>
      </c>
      <c r="AG189" s="2">
        <f t="shared" si="30"/>
        <v>6300</v>
      </c>
      <c r="AH189" s="2">
        <f t="shared" si="31"/>
        <v>11699</v>
      </c>
      <c r="AI189" s="2">
        <f t="shared" si="32"/>
        <v>13149</v>
      </c>
      <c r="AJ189" s="2">
        <f t="shared" si="33"/>
        <v>2507</v>
      </c>
      <c r="AK189" s="2">
        <f t="shared" si="34"/>
        <v>1726</v>
      </c>
      <c r="AL189" s="2">
        <f t="shared" si="35"/>
        <v>1335</v>
      </c>
      <c r="AM189" s="2">
        <f t="shared" si="36"/>
        <v>1100</v>
      </c>
      <c r="AN189" s="2">
        <f t="shared" si="37"/>
        <v>944</v>
      </c>
      <c r="AO189" s="2">
        <f t="shared" si="38"/>
        <v>749</v>
      </c>
      <c r="AP189" s="2">
        <f t="shared" si="39"/>
        <v>7200</v>
      </c>
      <c r="AQ189" s="2">
        <f t="shared" si="40"/>
        <v>10799</v>
      </c>
      <c r="AR189" s="2">
        <f t="shared" si="41"/>
        <v>12249</v>
      </c>
      <c r="AS189" s="2">
        <f t="shared" si="42"/>
        <v>2336</v>
      </c>
      <c r="AT189" s="2">
        <f t="shared" si="43"/>
        <v>1607</v>
      </c>
      <c r="AU189" s="2">
        <f t="shared" si="44"/>
        <v>1243</v>
      </c>
      <c r="AV189" s="2">
        <f t="shared" si="45"/>
        <v>1025</v>
      </c>
      <c r="AW189" s="2">
        <f t="shared" si="46"/>
        <v>879</v>
      </c>
      <c r="AX189" s="2">
        <f t="shared" si="47"/>
        <v>697</v>
      </c>
    </row>
    <row r="190" ht="14.25" customHeight="1">
      <c r="A190" s="2" t="str">
        <f t="array" ref="A190">IFERROR(INDEX('Product Price'!A:A,SMALL('Product Price'!$D:$D,188)),"")</f>
        <v>OPPO Reno 15F 5G 8/256 GB</v>
      </c>
      <c r="B190" s="2">
        <f t="array" ref="B190">IFERROR(INDEX('Product Price'!B:B,SMALL('Product Price'!$D:$D,188)),"")</f>
        <v>14999</v>
      </c>
      <c r="C190" s="2">
        <f t="array" ref="C190">IFERROR(INDEX('Product Price'!C:C,SMALL('Product Price'!$D:$D,188)),"")</f>
        <v>191</v>
      </c>
      <c r="D190" s="2">
        <f t="shared" si="1"/>
        <v>1450</v>
      </c>
      <c r="E190" s="2">
        <f t="shared" si="2"/>
        <v>16449</v>
      </c>
      <c r="F190" s="2">
        <f t="shared" si="3"/>
        <v>3000</v>
      </c>
      <c r="G190" s="2">
        <f t="shared" si="4"/>
        <v>11999</v>
      </c>
      <c r="H190" s="2">
        <f t="shared" si="5"/>
        <v>13449</v>
      </c>
      <c r="I190" s="2">
        <f t="shared" si="6"/>
        <v>2564</v>
      </c>
      <c r="J190" s="2">
        <f t="shared" si="7"/>
        <v>1765</v>
      </c>
      <c r="K190" s="2">
        <f t="shared" si="8"/>
        <v>1365</v>
      </c>
      <c r="L190" s="2">
        <f t="shared" si="9"/>
        <v>1125</v>
      </c>
      <c r="M190" s="2">
        <f t="shared" si="10"/>
        <v>965</v>
      </c>
      <c r="N190" s="2">
        <f t="shared" si="11"/>
        <v>766</v>
      </c>
      <c r="O190" s="2">
        <f t="shared" si="12"/>
        <v>3750</v>
      </c>
      <c r="P190" s="2">
        <f t="shared" si="13"/>
        <v>11249</v>
      </c>
      <c r="Q190" s="2">
        <f t="shared" si="14"/>
        <v>12699</v>
      </c>
      <c r="R190" s="2">
        <f t="shared" si="15"/>
        <v>2421</v>
      </c>
      <c r="S190" s="2">
        <f t="shared" si="16"/>
        <v>1667</v>
      </c>
      <c r="T190" s="2">
        <f t="shared" si="17"/>
        <v>1289</v>
      </c>
      <c r="U190" s="2">
        <f t="shared" si="18"/>
        <v>1063</v>
      </c>
      <c r="V190" s="2">
        <f t="shared" si="19"/>
        <v>912</v>
      </c>
      <c r="W190" s="2">
        <f t="shared" si="20"/>
        <v>723</v>
      </c>
      <c r="X190" s="2">
        <f t="shared" si="21"/>
        <v>4500</v>
      </c>
      <c r="Y190" s="2">
        <f t="shared" si="22"/>
        <v>10499</v>
      </c>
      <c r="Z190" s="2">
        <f t="shared" si="23"/>
        <v>11949</v>
      </c>
      <c r="AA190" s="2">
        <f t="shared" si="24"/>
        <v>2278</v>
      </c>
      <c r="AB190" s="2">
        <f t="shared" si="25"/>
        <v>1568</v>
      </c>
      <c r="AC190" s="2">
        <f t="shared" si="26"/>
        <v>1213</v>
      </c>
      <c r="AD190" s="2">
        <f t="shared" si="27"/>
        <v>1000</v>
      </c>
      <c r="AE190" s="2">
        <f t="shared" si="28"/>
        <v>858</v>
      </c>
      <c r="AF190" s="2">
        <f t="shared" si="29"/>
        <v>680</v>
      </c>
      <c r="AG190" s="2">
        <f t="shared" si="30"/>
        <v>5250</v>
      </c>
      <c r="AH190" s="2">
        <f t="shared" si="31"/>
        <v>9749</v>
      </c>
      <c r="AI190" s="2">
        <f t="shared" si="32"/>
        <v>11199</v>
      </c>
      <c r="AJ190" s="2">
        <f t="shared" si="33"/>
        <v>2135</v>
      </c>
      <c r="AK190" s="2">
        <f t="shared" si="34"/>
        <v>1470</v>
      </c>
      <c r="AL190" s="2">
        <f t="shared" si="35"/>
        <v>1137</v>
      </c>
      <c r="AM190" s="2">
        <f t="shared" si="36"/>
        <v>937</v>
      </c>
      <c r="AN190" s="2">
        <f t="shared" si="37"/>
        <v>804</v>
      </c>
      <c r="AO190" s="2">
        <f t="shared" si="38"/>
        <v>638</v>
      </c>
      <c r="AP190" s="2">
        <f t="shared" si="39"/>
        <v>6000</v>
      </c>
      <c r="AQ190" s="2">
        <f t="shared" si="40"/>
        <v>8999</v>
      </c>
      <c r="AR190" s="2">
        <f t="shared" si="41"/>
        <v>10449</v>
      </c>
      <c r="AS190" s="2">
        <f t="shared" si="42"/>
        <v>1992</v>
      </c>
      <c r="AT190" s="2">
        <f t="shared" si="43"/>
        <v>1371</v>
      </c>
      <c r="AU190" s="2">
        <f t="shared" si="44"/>
        <v>1061</v>
      </c>
      <c r="AV190" s="2">
        <f t="shared" si="45"/>
        <v>874</v>
      </c>
      <c r="AW190" s="2">
        <f t="shared" si="46"/>
        <v>750</v>
      </c>
      <c r="AX190" s="2">
        <f t="shared" si="47"/>
        <v>595</v>
      </c>
    </row>
    <row r="191" ht="14.25" customHeight="1">
      <c r="A191" s="2" t="str">
        <f t="array" ref="A191">IFERROR(INDEX('Product Price'!A:A,SMALL('Product Price'!$D:$D,189)),"")</f>
        <v>OPPO A7 ProMax 5G 8/256 GB</v>
      </c>
      <c r="B191" s="2">
        <f t="array" ref="B191">IFERROR(INDEX('Product Price'!B:B,SMALL('Product Price'!$D:$D,189)),"")</f>
        <v>19999</v>
      </c>
      <c r="C191" s="2">
        <f t="array" ref="C191">IFERROR(INDEX('Product Price'!C:C,SMALL('Product Price'!$D:$D,189)),"")</f>
        <v>250</v>
      </c>
      <c r="D191" s="2">
        <f t="shared" si="1"/>
        <v>1450</v>
      </c>
      <c r="E191" s="2">
        <f t="shared" si="2"/>
        <v>21449</v>
      </c>
      <c r="F191" s="2">
        <f t="shared" si="3"/>
        <v>4000</v>
      </c>
      <c r="G191" s="2">
        <f t="shared" si="4"/>
        <v>15999</v>
      </c>
      <c r="H191" s="2">
        <f t="shared" si="5"/>
        <v>17449</v>
      </c>
      <c r="I191" s="2">
        <f t="shared" si="6"/>
        <v>3327</v>
      </c>
      <c r="J191" s="2">
        <f t="shared" si="7"/>
        <v>2290</v>
      </c>
      <c r="K191" s="2">
        <f t="shared" si="8"/>
        <v>1771</v>
      </c>
      <c r="L191" s="2">
        <f t="shared" si="9"/>
        <v>1460</v>
      </c>
      <c r="M191" s="2">
        <f t="shared" si="10"/>
        <v>1252</v>
      </c>
      <c r="N191" s="2">
        <f t="shared" si="11"/>
        <v>993</v>
      </c>
      <c r="O191" s="2">
        <f t="shared" si="12"/>
        <v>5000</v>
      </c>
      <c r="P191" s="2">
        <f t="shared" si="13"/>
        <v>14999</v>
      </c>
      <c r="Q191" s="2">
        <f t="shared" si="14"/>
        <v>16449</v>
      </c>
      <c r="R191" s="2">
        <f t="shared" si="15"/>
        <v>3136</v>
      </c>
      <c r="S191" s="2">
        <f t="shared" si="16"/>
        <v>2159</v>
      </c>
      <c r="T191" s="2">
        <f t="shared" si="17"/>
        <v>1670</v>
      </c>
      <c r="U191" s="2">
        <f t="shared" si="18"/>
        <v>1376</v>
      </c>
      <c r="V191" s="2">
        <f t="shared" si="19"/>
        <v>1181</v>
      </c>
      <c r="W191" s="2">
        <f t="shared" si="20"/>
        <v>936</v>
      </c>
      <c r="X191" s="2">
        <f t="shared" si="21"/>
        <v>6000</v>
      </c>
      <c r="Y191" s="2">
        <f t="shared" si="22"/>
        <v>13999</v>
      </c>
      <c r="Z191" s="2">
        <f t="shared" si="23"/>
        <v>15449</v>
      </c>
      <c r="AA191" s="2">
        <f t="shared" si="24"/>
        <v>2946</v>
      </c>
      <c r="AB191" s="2">
        <f t="shared" si="25"/>
        <v>2027</v>
      </c>
      <c r="AC191" s="2">
        <f t="shared" si="26"/>
        <v>1568</v>
      </c>
      <c r="AD191" s="2">
        <f t="shared" si="27"/>
        <v>1293</v>
      </c>
      <c r="AE191" s="2">
        <f t="shared" si="28"/>
        <v>1109</v>
      </c>
      <c r="AF191" s="2">
        <f t="shared" si="29"/>
        <v>879</v>
      </c>
      <c r="AG191" s="2">
        <f t="shared" si="30"/>
        <v>7000</v>
      </c>
      <c r="AH191" s="2">
        <f t="shared" si="31"/>
        <v>12999</v>
      </c>
      <c r="AI191" s="2">
        <f t="shared" si="32"/>
        <v>14449</v>
      </c>
      <c r="AJ191" s="2">
        <f t="shared" si="33"/>
        <v>2755</v>
      </c>
      <c r="AK191" s="2">
        <f t="shared" si="34"/>
        <v>1896</v>
      </c>
      <c r="AL191" s="2">
        <f t="shared" si="35"/>
        <v>1467</v>
      </c>
      <c r="AM191" s="2">
        <f t="shared" si="36"/>
        <v>1209</v>
      </c>
      <c r="AN191" s="2">
        <f t="shared" si="37"/>
        <v>1037</v>
      </c>
      <c r="AO191" s="2">
        <f t="shared" si="38"/>
        <v>822</v>
      </c>
      <c r="AP191" s="2">
        <f t="shared" si="39"/>
        <v>8000</v>
      </c>
      <c r="AQ191" s="2">
        <f t="shared" si="40"/>
        <v>11999</v>
      </c>
      <c r="AR191" s="2">
        <f t="shared" si="41"/>
        <v>13449</v>
      </c>
      <c r="AS191" s="2">
        <f t="shared" si="42"/>
        <v>2564</v>
      </c>
      <c r="AT191" s="2">
        <f t="shared" si="43"/>
        <v>1765</v>
      </c>
      <c r="AU191" s="2">
        <f t="shared" si="44"/>
        <v>1365</v>
      </c>
      <c r="AV191" s="2">
        <f t="shared" si="45"/>
        <v>1125</v>
      </c>
      <c r="AW191" s="2">
        <f t="shared" si="46"/>
        <v>965</v>
      </c>
      <c r="AX191" s="2">
        <f t="shared" si="47"/>
        <v>766</v>
      </c>
    </row>
    <row r="192" ht="14.25" customHeight="1">
      <c r="A192" s="2" t="str">
        <f t="array" ref="A192">IFERROR(INDEX('Product Price'!A:A,SMALL('Product Price'!$D:$D,190)),"")</f>
        <v>OPPO A7 Pro 5G 8/256 GB</v>
      </c>
      <c r="B192" s="2">
        <f t="array" ref="B192">IFERROR(INDEX('Product Price'!B:B,SMALL('Product Price'!$D:$D,190)),"")</f>
        <v>15999</v>
      </c>
      <c r="C192" s="2">
        <f t="array" ref="C192">IFERROR(INDEX('Product Price'!C:C,SMALL('Product Price'!$D:$D,190)),"")</f>
        <v>251</v>
      </c>
      <c r="D192" s="2">
        <f t="shared" si="1"/>
        <v>1450</v>
      </c>
      <c r="E192" s="2">
        <f t="shared" si="2"/>
        <v>17449</v>
      </c>
      <c r="F192" s="2">
        <f t="shared" si="3"/>
        <v>3200</v>
      </c>
      <c r="G192" s="2">
        <f t="shared" si="4"/>
        <v>12799</v>
      </c>
      <c r="H192" s="2">
        <f t="shared" si="5"/>
        <v>14249</v>
      </c>
      <c r="I192" s="2">
        <f t="shared" si="6"/>
        <v>2717</v>
      </c>
      <c r="J192" s="2">
        <f t="shared" si="7"/>
        <v>1870</v>
      </c>
      <c r="K192" s="2">
        <f t="shared" si="8"/>
        <v>1446</v>
      </c>
      <c r="L192" s="2">
        <f t="shared" si="9"/>
        <v>1192</v>
      </c>
      <c r="M192" s="2">
        <f t="shared" si="10"/>
        <v>1023</v>
      </c>
      <c r="N192" s="2">
        <f t="shared" si="11"/>
        <v>811</v>
      </c>
      <c r="O192" s="2">
        <f t="shared" si="12"/>
        <v>4000</v>
      </c>
      <c r="P192" s="2">
        <f t="shared" si="13"/>
        <v>11999</v>
      </c>
      <c r="Q192" s="2">
        <f t="shared" si="14"/>
        <v>13449</v>
      </c>
      <c r="R192" s="2">
        <f t="shared" si="15"/>
        <v>2564</v>
      </c>
      <c r="S192" s="2">
        <f t="shared" si="16"/>
        <v>1765</v>
      </c>
      <c r="T192" s="2">
        <f t="shared" si="17"/>
        <v>1365</v>
      </c>
      <c r="U192" s="2">
        <f t="shared" si="18"/>
        <v>1125</v>
      </c>
      <c r="V192" s="2">
        <f t="shared" si="19"/>
        <v>965</v>
      </c>
      <c r="W192" s="2">
        <f t="shared" si="20"/>
        <v>766</v>
      </c>
      <c r="X192" s="2">
        <f t="shared" si="21"/>
        <v>4800</v>
      </c>
      <c r="Y192" s="2">
        <f t="shared" si="22"/>
        <v>11199</v>
      </c>
      <c r="Z192" s="2">
        <f t="shared" si="23"/>
        <v>12649</v>
      </c>
      <c r="AA192" s="2">
        <f t="shared" si="24"/>
        <v>2412</v>
      </c>
      <c r="AB192" s="2">
        <f t="shared" si="25"/>
        <v>1660</v>
      </c>
      <c r="AC192" s="2">
        <f t="shared" si="26"/>
        <v>1284</v>
      </c>
      <c r="AD192" s="2">
        <f t="shared" si="27"/>
        <v>1058</v>
      </c>
      <c r="AE192" s="2">
        <f t="shared" si="28"/>
        <v>908</v>
      </c>
      <c r="AF192" s="2">
        <f t="shared" si="29"/>
        <v>720</v>
      </c>
      <c r="AG192" s="2">
        <f t="shared" si="30"/>
        <v>5600</v>
      </c>
      <c r="AH192" s="2">
        <f t="shared" si="31"/>
        <v>10399</v>
      </c>
      <c r="AI192" s="2">
        <f t="shared" si="32"/>
        <v>11849</v>
      </c>
      <c r="AJ192" s="2">
        <f t="shared" si="33"/>
        <v>2259</v>
      </c>
      <c r="AK192" s="2">
        <f t="shared" si="34"/>
        <v>1555</v>
      </c>
      <c r="AL192" s="2">
        <f t="shared" si="35"/>
        <v>1203</v>
      </c>
      <c r="AM192" s="2">
        <f t="shared" si="36"/>
        <v>992</v>
      </c>
      <c r="AN192" s="2">
        <f t="shared" si="37"/>
        <v>851</v>
      </c>
      <c r="AO192" s="2">
        <f t="shared" si="38"/>
        <v>675</v>
      </c>
      <c r="AP192" s="2">
        <f t="shared" si="39"/>
        <v>6400</v>
      </c>
      <c r="AQ192" s="2">
        <f t="shared" si="40"/>
        <v>9599</v>
      </c>
      <c r="AR192" s="2">
        <f t="shared" si="41"/>
        <v>11049</v>
      </c>
      <c r="AS192" s="2">
        <f t="shared" si="42"/>
        <v>2107</v>
      </c>
      <c r="AT192" s="2">
        <f t="shared" si="43"/>
        <v>1450</v>
      </c>
      <c r="AU192" s="2">
        <f t="shared" si="44"/>
        <v>1122</v>
      </c>
      <c r="AV192" s="2">
        <f t="shared" si="45"/>
        <v>925</v>
      </c>
      <c r="AW192" s="2">
        <f t="shared" si="46"/>
        <v>793</v>
      </c>
      <c r="AX192" s="2">
        <f t="shared" si="47"/>
        <v>629</v>
      </c>
    </row>
    <row r="193" ht="14.25" customHeight="1">
      <c r="A193" s="2" t="str">
        <f t="array" ref="A193">IFERROR(INDEX('Product Price'!A:A,SMALL('Product Price'!$D:$D,191)),"")</f>
        <v>OPPO A7 Pro 5G 8/128 GB</v>
      </c>
      <c r="B193" s="2">
        <f t="array" ref="B193">IFERROR(INDEX('Product Price'!B:B,SMALL('Product Price'!$D:$D,191)),"")</f>
        <v>13999</v>
      </c>
      <c r="C193" s="2">
        <f t="array" ref="C193">IFERROR(INDEX('Product Price'!C:C,SMALL('Product Price'!$D:$D,191)),"")</f>
        <v>252</v>
      </c>
      <c r="D193" s="2">
        <f t="shared" si="1"/>
        <v>1450</v>
      </c>
      <c r="E193" s="2">
        <f t="shared" si="2"/>
        <v>15449</v>
      </c>
      <c r="F193" s="2">
        <f t="shared" si="3"/>
        <v>2800</v>
      </c>
      <c r="G193" s="2">
        <f t="shared" si="4"/>
        <v>11199</v>
      </c>
      <c r="H193" s="2">
        <f t="shared" si="5"/>
        <v>12649</v>
      </c>
      <c r="I193" s="2">
        <f t="shared" si="6"/>
        <v>2412</v>
      </c>
      <c r="J193" s="2">
        <f t="shared" si="7"/>
        <v>1660</v>
      </c>
      <c r="K193" s="2">
        <f t="shared" si="8"/>
        <v>1284</v>
      </c>
      <c r="L193" s="2">
        <f t="shared" si="9"/>
        <v>1058</v>
      </c>
      <c r="M193" s="2">
        <f t="shared" si="10"/>
        <v>908</v>
      </c>
      <c r="N193" s="2">
        <f t="shared" si="11"/>
        <v>720</v>
      </c>
      <c r="O193" s="2">
        <f t="shared" si="12"/>
        <v>3500</v>
      </c>
      <c r="P193" s="2">
        <f t="shared" si="13"/>
        <v>10499</v>
      </c>
      <c r="Q193" s="2">
        <f t="shared" si="14"/>
        <v>11949</v>
      </c>
      <c r="R193" s="2">
        <f t="shared" si="15"/>
        <v>2278</v>
      </c>
      <c r="S193" s="2">
        <f t="shared" si="16"/>
        <v>1568</v>
      </c>
      <c r="T193" s="2">
        <f t="shared" si="17"/>
        <v>1213</v>
      </c>
      <c r="U193" s="2">
        <f t="shared" si="18"/>
        <v>1000</v>
      </c>
      <c r="V193" s="2">
        <f t="shared" si="19"/>
        <v>858</v>
      </c>
      <c r="W193" s="2">
        <f t="shared" si="20"/>
        <v>680</v>
      </c>
      <c r="X193" s="2">
        <f t="shared" si="21"/>
        <v>4200</v>
      </c>
      <c r="Y193" s="2">
        <f t="shared" si="22"/>
        <v>9799</v>
      </c>
      <c r="Z193" s="2">
        <f t="shared" si="23"/>
        <v>11249</v>
      </c>
      <c r="AA193" s="2">
        <f t="shared" si="24"/>
        <v>2145</v>
      </c>
      <c r="AB193" s="2">
        <f t="shared" si="25"/>
        <v>1476</v>
      </c>
      <c r="AC193" s="2">
        <f t="shared" si="26"/>
        <v>1142</v>
      </c>
      <c r="AD193" s="2">
        <f t="shared" si="27"/>
        <v>941</v>
      </c>
      <c r="AE193" s="2">
        <f t="shared" si="28"/>
        <v>808</v>
      </c>
      <c r="AF193" s="2">
        <f t="shared" si="29"/>
        <v>640</v>
      </c>
      <c r="AG193" s="2">
        <f t="shared" si="30"/>
        <v>4900</v>
      </c>
      <c r="AH193" s="2">
        <f t="shared" si="31"/>
        <v>9099</v>
      </c>
      <c r="AI193" s="2">
        <f t="shared" si="32"/>
        <v>10549</v>
      </c>
      <c r="AJ193" s="2">
        <f t="shared" si="33"/>
        <v>2012</v>
      </c>
      <c r="AK193" s="2">
        <f t="shared" si="34"/>
        <v>1384</v>
      </c>
      <c r="AL193" s="2">
        <f t="shared" si="35"/>
        <v>1071</v>
      </c>
      <c r="AM193" s="2">
        <f t="shared" si="36"/>
        <v>883</v>
      </c>
      <c r="AN193" s="2">
        <f t="shared" si="37"/>
        <v>757</v>
      </c>
      <c r="AO193" s="2">
        <f t="shared" si="38"/>
        <v>601</v>
      </c>
      <c r="AP193" s="2">
        <f t="shared" si="39"/>
        <v>5600</v>
      </c>
      <c r="AQ193" s="2">
        <f t="shared" si="40"/>
        <v>8399</v>
      </c>
      <c r="AR193" s="2">
        <f t="shared" si="41"/>
        <v>9849</v>
      </c>
      <c r="AS193" s="2">
        <f t="shared" si="42"/>
        <v>1878</v>
      </c>
      <c r="AT193" s="2">
        <f t="shared" si="43"/>
        <v>1293</v>
      </c>
      <c r="AU193" s="2">
        <f t="shared" si="44"/>
        <v>1000</v>
      </c>
      <c r="AV193" s="2">
        <f t="shared" si="45"/>
        <v>824</v>
      </c>
      <c r="AW193" s="2">
        <f t="shared" si="46"/>
        <v>707</v>
      </c>
      <c r="AX193" s="2">
        <f t="shared" si="47"/>
        <v>561</v>
      </c>
    </row>
    <row r="194" ht="14.25" customHeight="1">
      <c r="A194" s="2" t="str">
        <f t="array" ref="A194">IFERROR(INDEX('Product Price'!A:A,SMALL('Product Price'!$D:$D,192)),"")</f>
        <v>OPPO A6s 5G 8/256 GB</v>
      </c>
      <c r="B194" s="2">
        <f t="array" ref="B194">IFERROR(INDEX('Product Price'!B:B,SMALL('Product Price'!$D:$D,192)),"")</f>
        <v>14999</v>
      </c>
      <c r="C194" s="2">
        <f t="array" ref="C194">IFERROR(INDEX('Product Price'!C:C,SMALL('Product Price'!$D:$D,192)),"")</f>
        <v>197</v>
      </c>
      <c r="D194" s="2">
        <f t="shared" si="1"/>
        <v>1450</v>
      </c>
      <c r="E194" s="2">
        <f t="shared" si="2"/>
        <v>16449</v>
      </c>
      <c r="F194" s="2">
        <f t="shared" si="3"/>
        <v>3000</v>
      </c>
      <c r="G194" s="2">
        <f t="shared" si="4"/>
        <v>11999</v>
      </c>
      <c r="H194" s="2">
        <f t="shared" si="5"/>
        <v>13449</v>
      </c>
      <c r="I194" s="2">
        <f t="shared" si="6"/>
        <v>2564</v>
      </c>
      <c r="J194" s="2">
        <f t="shared" si="7"/>
        <v>1765</v>
      </c>
      <c r="K194" s="2">
        <f t="shared" si="8"/>
        <v>1365</v>
      </c>
      <c r="L194" s="2">
        <f t="shared" si="9"/>
        <v>1125</v>
      </c>
      <c r="M194" s="2">
        <f t="shared" si="10"/>
        <v>965</v>
      </c>
      <c r="N194" s="2">
        <f t="shared" si="11"/>
        <v>766</v>
      </c>
      <c r="O194" s="2">
        <f t="shared" si="12"/>
        <v>3750</v>
      </c>
      <c r="P194" s="2">
        <f t="shared" si="13"/>
        <v>11249</v>
      </c>
      <c r="Q194" s="2">
        <f t="shared" si="14"/>
        <v>12699</v>
      </c>
      <c r="R194" s="2">
        <f t="shared" si="15"/>
        <v>2421</v>
      </c>
      <c r="S194" s="2">
        <f t="shared" si="16"/>
        <v>1667</v>
      </c>
      <c r="T194" s="2">
        <f t="shared" si="17"/>
        <v>1289</v>
      </c>
      <c r="U194" s="2">
        <f t="shared" si="18"/>
        <v>1063</v>
      </c>
      <c r="V194" s="2">
        <f t="shared" si="19"/>
        <v>912</v>
      </c>
      <c r="W194" s="2">
        <f t="shared" si="20"/>
        <v>723</v>
      </c>
      <c r="X194" s="2">
        <f t="shared" si="21"/>
        <v>4500</v>
      </c>
      <c r="Y194" s="2">
        <f t="shared" si="22"/>
        <v>10499</v>
      </c>
      <c r="Z194" s="2">
        <f t="shared" si="23"/>
        <v>11949</v>
      </c>
      <c r="AA194" s="2">
        <f t="shared" si="24"/>
        <v>2278</v>
      </c>
      <c r="AB194" s="2">
        <f t="shared" si="25"/>
        <v>1568</v>
      </c>
      <c r="AC194" s="2">
        <f t="shared" si="26"/>
        <v>1213</v>
      </c>
      <c r="AD194" s="2">
        <f t="shared" si="27"/>
        <v>1000</v>
      </c>
      <c r="AE194" s="2">
        <f t="shared" si="28"/>
        <v>858</v>
      </c>
      <c r="AF194" s="2">
        <f t="shared" si="29"/>
        <v>680</v>
      </c>
      <c r="AG194" s="2">
        <f t="shared" si="30"/>
        <v>5250</v>
      </c>
      <c r="AH194" s="2">
        <f t="shared" si="31"/>
        <v>9749</v>
      </c>
      <c r="AI194" s="2">
        <f t="shared" si="32"/>
        <v>11199</v>
      </c>
      <c r="AJ194" s="2">
        <f t="shared" si="33"/>
        <v>2135</v>
      </c>
      <c r="AK194" s="2">
        <f t="shared" si="34"/>
        <v>1470</v>
      </c>
      <c r="AL194" s="2">
        <f t="shared" si="35"/>
        <v>1137</v>
      </c>
      <c r="AM194" s="2">
        <f t="shared" si="36"/>
        <v>937</v>
      </c>
      <c r="AN194" s="2">
        <f t="shared" si="37"/>
        <v>804</v>
      </c>
      <c r="AO194" s="2">
        <f t="shared" si="38"/>
        <v>638</v>
      </c>
      <c r="AP194" s="2">
        <f t="shared" si="39"/>
        <v>6000</v>
      </c>
      <c r="AQ194" s="2">
        <f t="shared" si="40"/>
        <v>8999</v>
      </c>
      <c r="AR194" s="2">
        <f t="shared" si="41"/>
        <v>10449</v>
      </c>
      <c r="AS194" s="2">
        <f t="shared" si="42"/>
        <v>1992</v>
      </c>
      <c r="AT194" s="2">
        <f t="shared" si="43"/>
        <v>1371</v>
      </c>
      <c r="AU194" s="2">
        <f t="shared" si="44"/>
        <v>1061</v>
      </c>
      <c r="AV194" s="2">
        <f t="shared" si="45"/>
        <v>874</v>
      </c>
      <c r="AW194" s="2">
        <f t="shared" si="46"/>
        <v>750</v>
      </c>
      <c r="AX194" s="2">
        <f t="shared" si="47"/>
        <v>595</v>
      </c>
    </row>
    <row r="195" ht="14.25" customHeight="1">
      <c r="A195" s="2" t="str">
        <f t="array" ref="A195">IFERROR(INDEX('Product Price'!A:A,SMALL('Product Price'!$D:$D,193)),"")</f>
        <v>OPPO A6s 5G 8/128 GB</v>
      </c>
      <c r="B195" s="2">
        <f t="array" ref="B195">IFERROR(INDEX('Product Price'!B:B,SMALL('Product Price'!$D:$D,193)),"")</f>
        <v>11999</v>
      </c>
      <c r="C195" s="2">
        <f t="array" ref="C195">IFERROR(INDEX('Product Price'!C:C,SMALL('Product Price'!$D:$D,193)),"")</f>
        <v>198</v>
      </c>
      <c r="D195" s="2">
        <f t="shared" si="1"/>
        <v>1450</v>
      </c>
      <c r="E195" s="2">
        <f t="shared" si="2"/>
        <v>13449</v>
      </c>
      <c r="F195" s="2">
        <f t="shared" si="3"/>
        <v>2400</v>
      </c>
      <c r="G195" s="2">
        <f t="shared" si="4"/>
        <v>9599</v>
      </c>
      <c r="H195" s="2">
        <f t="shared" si="5"/>
        <v>11049</v>
      </c>
      <c r="I195" s="2">
        <f t="shared" si="6"/>
        <v>2107</v>
      </c>
      <c r="J195" s="2">
        <f t="shared" si="7"/>
        <v>1450</v>
      </c>
      <c r="K195" s="2">
        <f t="shared" si="8"/>
        <v>1122</v>
      </c>
      <c r="L195" s="2">
        <f t="shared" si="9"/>
        <v>925</v>
      </c>
      <c r="M195" s="2">
        <f t="shared" si="10"/>
        <v>793</v>
      </c>
      <c r="N195" s="2">
        <f t="shared" si="11"/>
        <v>629</v>
      </c>
      <c r="O195" s="2">
        <f t="shared" si="12"/>
        <v>3000</v>
      </c>
      <c r="P195" s="2">
        <f t="shared" si="13"/>
        <v>8999</v>
      </c>
      <c r="Q195" s="2">
        <f t="shared" si="14"/>
        <v>10449</v>
      </c>
      <c r="R195" s="2">
        <f t="shared" si="15"/>
        <v>1992</v>
      </c>
      <c r="S195" s="2">
        <f t="shared" si="16"/>
        <v>1371</v>
      </c>
      <c r="T195" s="2">
        <f t="shared" si="17"/>
        <v>1061</v>
      </c>
      <c r="U195" s="2">
        <f t="shared" si="18"/>
        <v>874</v>
      </c>
      <c r="V195" s="2">
        <f t="shared" si="19"/>
        <v>750</v>
      </c>
      <c r="W195" s="2">
        <f t="shared" si="20"/>
        <v>595</v>
      </c>
      <c r="X195" s="2">
        <f t="shared" si="21"/>
        <v>3600</v>
      </c>
      <c r="Y195" s="2">
        <f t="shared" si="22"/>
        <v>8399</v>
      </c>
      <c r="Z195" s="2">
        <f t="shared" si="23"/>
        <v>9849</v>
      </c>
      <c r="AA195" s="2">
        <f t="shared" si="24"/>
        <v>1878</v>
      </c>
      <c r="AB195" s="2">
        <f t="shared" si="25"/>
        <v>1293</v>
      </c>
      <c r="AC195" s="2">
        <f t="shared" si="26"/>
        <v>1000</v>
      </c>
      <c r="AD195" s="2">
        <f t="shared" si="27"/>
        <v>824</v>
      </c>
      <c r="AE195" s="2">
        <f t="shared" si="28"/>
        <v>707</v>
      </c>
      <c r="AF195" s="2">
        <f t="shared" si="29"/>
        <v>561</v>
      </c>
      <c r="AG195" s="2">
        <f t="shared" si="30"/>
        <v>4200</v>
      </c>
      <c r="AH195" s="2">
        <f t="shared" si="31"/>
        <v>7799</v>
      </c>
      <c r="AI195" s="2">
        <f t="shared" si="32"/>
        <v>9249</v>
      </c>
      <c r="AJ195" s="2">
        <f t="shared" si="33"/>
        <v>1764</v>
      </c>
      <c r="AK195" s="2">
        <f t="shared" si="34"/>
        <v>1214</v>
      </c>
      <c r="AL195" s="2">
        <f t="shared" si="35"/>
        <v>939</v>
      </c>
      <c r="AM195" s="2">
        <f t="shared" si="36"/>
        <v>774</v>
      </c>
      <c r="AN195" s="2">
        <f t="shared" si="37"/>
        <v>664</v>
      </c>
      <c r="AO195" s="2">
        <f t="shared" si="38"/>
        <v>527</v>
      </c>
      <c r="AP195" s="2">
        <f t="shared" si="39"/>
        <v>4800</v>
      </c>
      <c r="AQ195" s="2">
        <f t="shared" si="40"/>
        <v>7199</v>
      </c>
      <c r="AR195" s="2">
        <f t="shared" si="41"/>
        <v>8649</v>
      </c>
      <c r="AS195" s="2">
        <f t="shared" si="42"/>
        <v>1649</v>
      </c>
      <c r="AT195" s="2">
        <f t="shared" si="43"/>
        <v>1135</v>
      </c>
      <c r="AU195" s="2">
        <f t="shared" si="44"/>
        <v>878</v>
      </c>
      <c r="AV195" s="2">
        <f t="shared" si="45"/>
        <v>724</v>
      </c>
      <c r="AW195" s="2">
        <f t="shared" si="46"/>
        <v>621</v>
      </c>
      <c r="AX195" s="2">
        <f t="shared" si="47"/>
        <v>493</v>
      </c>
    </row>
    <row r="196" ht="14.25" customHeight="1">
      <c r="A196" s="2" t="str">
        <f t="array" ref="A196">IFERROR(INDEX('Product Price'!A:A,SMALL('Product Price'!$D:$D,194)),"")</f>
        <v>OPPO A6 5G 6/128 GB</v>
      </c>
      <c r="B196" s="2">
        <f t="array" ref="B196">IFERROR(INDEX('Product Price'!B:B,SMALL('Product Price'!$D:$D,194)),"")</f>
        <v>8499</v>
      </c>
      <c r="C196" s="2">
        <f t="array" ref="C196">IFERROR(INDEX('Product Price'!C:C,SMALL('Product Price'!$D:$D,194)),"")</f>
        <v>199</v>
      </c>
      <c r="D196" s="2">
        <f t="shared" si="1"/>
        <v>795</v>
      </c>
      <c r="E196" s="2">
        <f t="shared" si="2"/>
        <v>9294</v>
      </c>
      <c r="F196" s="2">
        <f t="shared" si="3"/>
        <v>1700</v>
      </c>
      <c r="G196" s="2">
        <f t="shared" si="4"/>
        <v>6799</v>
      </c>
      <c r="H196" s="2">
        <f t="shared" si="5"/>
        <v>7594</v>
      </c>
      <c r="I196" s="2">
        <f t="shared" si="6"/>
        <v>1448</v>
      </c>
      <c r="J196" s="2">
        <f t="shared" si="7"/>
        <v>997</v>
      </c>
      <c r="K196" s="2">
        <f t="shared" si="8"/>
        <v>771</v>
      </c>
      <c r="L196" s="2">
        <f t="shared" si="9"/>
        <v>636</v>
      </c>
      <c r="M196" s="2">
        <f t="shared" si="10"/>
        <v>545</v>
      </c>
      <c r="N196" s="2">
        <f t="shared" si="11"/>
        <v>433</v>
      </c>
      <c r="O196" s="2">
        <f t="shared" si="12"/>
        <v>2125</v>
      </c>
      <c r="P196" s="2">
        <f t="shared" si="13"/>
        <v>6374</v>
      </c>
      <c r="Q196" s="2">
        <f t="shared" si="14"/>
        <v>7169</v>
      </c>
      <c r="R196" s="2">
        <f t="shared" si="15"/>
        <v>1367</v>
      </c>
      <c r="S196" s="2">
        <f t="shared" si="16"/>
        <v>941</v>
      </c>
      <c r="T196" s="2">
        <f t="shared" si="17"/>
        <v>728</v>
      </c>
      <c r="U196" s="2">
        <f t="shared" si="18"/>
        <v>600</v>
      </c>
      <c r="V196" s="2">
        <f t="shared" si="19"/>
        <v>515</v>
      </c>
      <c r="W196" s="2">
        <f t="shared" si="20"/>
        <v>408</v>
      </c>
      <c r="X196" s="2">
        <f t="shared" si="21"/>
        <v>2550</v>
      </c>
      <c r="Y196" s="2">
        <f t="shared" si="22"/>
        <v>5949</v>
      </c>
      <c r="Z196" s="2">
        <f t="shared" si="23"/>
        <v>6744</v>
      </c>
      <c r="AA196" s="2">
        <f t="shared" si="24"/>
        <v>1286</v>
      </c>
      <c r="AB196" s="2">
        <f t="shared" si="25"/>
        <v>885</v>
      </c>
      <c r="AC196" s="2">
        <f t="shared" si="26"/>
        <v>685</v>
      </c>
      <c r="AD196" s="2">
        <f t="shared" si="27"/>
        <v>565</v>
      </c>
      <c r="AE196" s="2">
        <f t="shared" si="28"/>
        <v>484</v>
      </c>
      <c r="AF196" s="2" t="str">
        <f t="shared" si="29"/>
        <v>-</v>
      </c>
      <c r="AG196" s="2">
        <f t="shared" si="30"/>
        <v>2975</v>
      </c>
      <c r="AH196" s="2">
        <f t="shared" si="31"/>
        <v>5524</v>
      </c>
      <c r="AI196" s="2">
        <f t="shared" si="32"/>
        <v>6319</v>
      </c>
      <c r="AJ196" s="2">
        <f t="shared" si="33"/>
        <v>1205</v>
      </c>
      <c r="AK196" s="2">
        <f t="shared" si="34"/>
        <v>830</v>
      </c>
      <c r="AL196" s="2">
        <f t="shared" si="35"/>
        <v>642</v>
      </c>
      <c r="AM196" s="2">
        <f t="shared" si="36"/>
        <v>529</v>
      </c>
      <c r="AN196" s="2">
        <f t="shared" si="37"/>
        <v>454</v>
      </c>
      <c r="AO196" s="2" t="str">
        <f t="shared" si="38"/>
        <v>-</v>
      </c>
      <c r="AP196" s="2">
        <f t="shared" si="39"/>
        <v>3400</v>
      </c>
      <c r="AQ196" s="2">
        <f t="shared" si="40"/>
        <v>5099</v>
      </c>
      <c r="AR196" s="2">
        <f t="shared" si="41"/>
        <v>5894</v>
      </c>
      <c r="AS196" s="2">
        <f t="shared" si="42"/>
        <v>1124</v>
      </c>
      <c r="AT196" s="2">
        <f t="shared" si="43"/>
        <v>774</v>
      </c>
      <c r="AU196" s="2">
        <f t="shared" si="44"/>
        <v>599</v>
      </c>
      <c r="AV196" s="2">
        <f t="shared" si="45"/>
        <v>493</v>
      </c>
      <c r="AW196" s="2">
        <f t="shared" si="46"/>
        <v>423</v>
      </c>
      <c r="AX196" s="2" t="str">
        <f t="shared" si="47"/>
        <v>-</v>
      </c>
    </row>
    <row r="197" ht="14.25" customHeight="1">
      <c r="A197" s="2" t="str">
        <f t="array" ref="A197">IFERROR(INDEX('Product Price'!A:A,SMALL('Product Price'!$D:$D,195)),"")</f>
        <v>OPPO A6 4G 6/128 GB</v>
      </c>
      <c r="B197" s="2">
        <f t="array" ref="B197">IFERROR(INDEX('Product Price'!B:B,SMALL('Product Price'!$D:$D,195)),"")</f>
        <v>6499</v>
      </c>
      <c r="C197" s="2">
        <f t="array" ref="C197">IFERROR(INDEX('Product Price'!C:C,SMALL('Product Price'!$D:$D,195)),"")</f>
        <v>200</v>
      </c>
      <c r="D197" s="2">
        <f t="shared" si="1"/>
        <v>795</v>
      </c>
      <c r="E197" s="2">
        <f t="shared" si="2"/>
        <v>7294</v>
      </c>
      <c r="F197" s="2">
        <f t="shared" si="3"/>
        <v>1300</v>
      </c>
      <c r="G197" s="2">
        <f t="shared" si="4"/>
        <v>5199</v>
      </c>
      <c r="H197" s="2">
        <f t="shared" si="5"/>
        <v>5994</v>
      </c>
      <c r="I197" s="2">
        <f t="shared" si="6"/>
        <v>1143</v>
      </c>
      <c r="J197" s="2">
        <f t="shared" si="7"/>
        <v>787</v>
      </c>
      <c r="K197" s="2">
        <f t="shared" si="8"/>
        <v>609</v>
      </c>
      <c r="L197" s="2">
        <f t="shared" si="9"/>
        <v>502</v>
      </c>
      <c r="M197" s="2">
        <f t="shared" si="10"/>
        <v>431</v>
      </c>
      <c r="N197" s="2" t="str">
        <f t="shared" si="11"/>
        <v>-</v>
      </c>
      <c r="O197" s="2">
        <f t="shared" si="12"/>
        <v>1625</v>
      </c>
      <c r="P197" s="2">
        <f t="shared" si="13"/>
        <v>4874</v>
      </c>
      <c r="Q197" s="2">
        <f t="shared" si="14"/>
        <v>5669</v>
      </c>
      <c r="R197" s="2">
        <f t="shared" si="15"/>
        <v>1081</v>
      </c>
      <c r="S197" s="2">
        <f t="shared" si="16"/>
        <v>744</v>
      </c>
      <c r="T197" s="2">
        <f t="shared" si="17"/>
        <v>576</v>
      </c>
      <c r="U197" s="2">
        <f t="shared" si="18"/>
        <v>475</v>
      </c>
      <c r="V197" s="2">
        <f t="shared" si="19"/>
        <v>407</v>
      </c>
      <c r="W197" s="2" t="str">
        <f t="shared" si="20"/>
        <v>-</v>
      </c>
      <c r="X197" s="2">
        <f t="shared" si="21"/>
        <v>1950</v>
      </c>
      <c r="Y197" s="2">
        <f t="shared" si="22"/>
        <v>4549</v>
      </c>
      <c r="Z197" s="2">
        <f t="shared" si="23"/>
        <v>5344</v>
      </c>
      <c r="AA197" s="2">
        <f t="shared" si="24"/>
        <v>1019</v>
      </c>
      <c r="AB197" s="2">
        <f t="shared" si="25"/>
        <v>702</v>
      </c>
      <c r="AC197" s="2">
        <f t="shared" si="26"/>
        <v>543</v>
      </c>
      <c r="AD197" s="2">
        <f t="shared" si="27"/>
        <v>447</v>
      </c>
      <c r="AE197" s="2" t="str">
        <f t="shared" si="28"/>
        <v>-</v>
      </c>
      <c r="AF197" s="2" t="str">
        <f t="shared" si="29"/>
        <v>-</v>
      </c>
      <c r="AG197" s="2">
        <f t="shared" si="30"/>
        <v>2275</v>
      </c>
      <c r="AH197" s="2">
        <f t="shared" si="31"/>
        <v>4224</v>
      </c>
      <c r="AI197" s="2">
        <f t="shared" si="32"/>
        <v>5019</v>
      </c>
      <c r="AJ197" s="2">
        <f t="shared" si="33"/>
        <v>957</v>
      </c>
      <c r="AK197" s="2">
        <f t="shared" si="34"/>
        <v>659</v>
      </c>
      <c r="AL197" s="2">
        <f t="shared" si="35"/>
        <v>510</v>
      </c>
      <c r="AM197" s="2">
        <f t="shared" si="36"/>
        <v>420</v>
      </c>
      <c r="AN197" s="2" t="str">
        <f t="shared" si="37"/>
        <v>-</v>
      </c>
      <c r="AO197" s="2" t="str">
        <f t="shared" si="38"/>
        <v>-</v>
      </c>
      <c r="AP197" s="2">
        <f t="shared" si="39"/>
        <v>2600</v>
      </c>
      <c r="AQ197" s="2">
        <f t="shared" si="40"/>
        <v>3899</v>
      </c>
      <c r="AR197" s="2">
        <f t="shared" si="41"/>
        <v>4694</v>
      </c>
      <c r="AS197" s="2">
        <f t="shared" si="42"/>
        <v>895</v>
      </c>
      <c r="AT197" s="2">
        <f t="shared" si="43"/>
        <v>616</v>
      </c>
      <c r="AU197" s="2">
        <f t="shared" si="44"/>
        <v>477</v>
      </c>
      <c r="AV197" s="2" t="str">
        <f t="shared" si="45"/>
        <v>-</v>
      </c>
      <c r="AW197" s="2" t="str">
        <f t="shared" si="46"/>
        <v>-</v>
      </c>
      <c r="AX197" s="2" t="str">
        <f t="shared" si="47"/>
        <v>-</v>
      </c>
    </row>
    <row r="198" ht="14.25" customHeight="1">
      <c r="A198" s="2" t="str">
        <f t="array" ref="A198">IFERROR(INDEX('Product Price'!A:A,SMALL('Product Price'!$D:$D,196)),"")</f>
        <v>OPPO A6x 5G 4/128 GB</v>
      </c>
      <c r="B198" s="2">
        <f t="array" ref="B198">IFERROR(INDEX('Product Price'!B:B,SMALL('Product Price'!$D:$D,196)),"")</f>
        <v>8999</v>
      </c>
      <c r="C198" s="2">
        <f t="array" ref="C198">IFERROR(INDEX('Product Price'!C:C,SMALL('Product Price'!$D:$D,196)),"")</f>
        <v>203</v>
      </c>
      <c r="D198" s="2">
        <f t="shared" si="1"/>
        <v>795</v>
      </c>
      <c r="E198" s="2">
        <f t="shared" si="2"/>
        <v>9794</v>
      </c>
      <c r="F198" s="2">
        <f t="shared" si="3"/>
        <v>1800</v>
      </c>
      <c r="G198" s="2">
        <f t="shared" si="4"/>
        <v>7199</v>
      </c>
      <c r="H198" s="2">
        <f t="shared" si="5"/>
        <v>7994</v>
      </c>
      <c r="I198" s="2">
        <f t="shared" si="6"/>
        <v>1524</v>
      </c>
      <c r="J198" s="2">
        <f t="shared" si="7"/>
        <v>1049</v>
      </c>
      <c r="K198" s="2">
        <f t="shared" si="8"/>
        <v>812</v>
      </c>
      <c r="L198" s="2">
        <f t="shared" si="9"/>
        <v>669</v>
      </c>
      <c r="M198" s="2">
        <f t="shared" si="10"/>
        <v>574</v>
      </c>
      <c r="N198" s="2">
        <f t="shared" si="11"/>
        <v>455</v>
      </c>
      <c r="O198" s="2">
        <f t="shared" si="12"/>
        <v>2250</v>
      </c>
      <c r="P198" s="2">
        <f t="shared" si="13"/>
        <v>6749</v>
      </c>
      <c r="Q198" s="2">
        <f t="shared" si="14"/>
        <v>7544</v>
      </c>
      <c r="R198" s="2">
        <f t="shared" si="15"/>
        <v>1439</v>
      </c>
      <c r="S198" s="2">
        <f t="shared" si="16"/>
        <v>990</v>
      </c>
      <c r="T198" s="2">
        <f t="shared" si="17"/>
        <v>766</v>
      </c>
      <c r="U198" s="2">
        <f t="shared" si="18"/>
        <v>631</v>
      </c>
      <c r="V198" s="2">
        <f t="shared" si="19"/>
        <v>542</v>
      </c>
      <c r="W198" s="2">
        <f t="shared" si="20"/>
        <v>430</v>
      </c>
      <c r="X198" s="2">
        <f t="shared" si="21"/>
        <v>2700</v>
      </c>
      <c r="Y198" s="2">
        <f t="shared" si="22"/>
        <v>6299</v>
      </c>
      <c r="Z198" s="2">
        <f t="shared" si="23"/>
        <v>7094</v>
      </c>
      <c r="AA198" s="2">
        <f t="shared" si="24"/>
        <v>1353</v>
      </c>
      <c r="AB198" s="2">
        <f t="shared" si="25"/>
        <v>931</v>
      </c>
      <c r="AC198" s="2">
        <f t="shared" si="26"/>
        <v>720</v>
      </c>
      <c r="AD198" s="2">
        <f t="shared" si="27"/>
        <v>594</v>
      </c>
      <c r="AE198" s="2">
        <f t="shared" si="28"/>
        <v>509</v>
      </c>
      <c r="AF198" s="2">
        <f t="shared" si="29"/>
        <v>404</v>
      </c>
      <c r="AG198" s="2">
        <f t="shared" si="30"/>
        <v>3150</v>
      </c>
      <c r="AH198" s="2">
        <f t="shared" si="31"/>
        <v>5849</v>
      </c>
      <c r="AI198" s="2">
        <f t="shared" si="32"/>
        <v>6644</v>
      </c>
      <c r="AJ198" s="2">
        <f t="shared" si="33"/>
        <v>1267</v>
      </c>
      <c r="AK198" s="2">
        <f t="shared" si="34"/>
        <v>872</v>
      </c>
      <c r="AL198" s="2">
        <f t="shared" si="35"/>
        <v>675</v>
      </c>
      <c r="AM198" s="2">
        <f t="shared" si="36"/>
        <v>556</v>
      </c>
      <c r="AN198" s="2">
        <f t="shared" si="37"/>
        <v>477</v>
      </c>
      <c r="AO198" s="2" t="str">
        <f t="shared" si="38"/>
        <v>-</v>
      </c>
      <c r="AP198" s="2">
        <f t="shared" si="39"/>
        <v>3600</v>
      </c>
      <c r="AQ198" s="2">
        <f t="shared" si="40"/>
        <v>5399</v>
      </c>
      <c r="AR198" s="2">
        <f t="shared" si="41"/>
        <v>6194</v>
      </c>
      <c r="AS198" s="2">
        <f t="shared" si="42"/>
        <v>1181</v>
      </c>
      <c r="AT198" s="2">
        <f t="shared" si="43"/>
        <v>813</v>
      </c>
      <c r="AU198" s="2">
        <f t="shared" si="44"/>
        <v>629</v>
      </c>
      <c r="AV198" s="2">
        <f t="shared" si="45"/>
        <v>519</v>
      </c>
      <c r="AW198" s="2">
        <f t="shared" si="46"/>
        <v>445</v>
      </c>
      <c r="AX198" s="2" t="str">
        <f t="shared" si="47"/>
        <v>-</v>
      </c>
    </row>
    <row r="199" ht="14.25" customHeight="1">
      <c r="A199" s="2" t="str">
        <f t="array" ref="A199">IFERROR(INDEX('Product Price'!A:A,SMALL('Product Price'!$D:$D,197)),"")</f>
        <v>OPPO Pad 5 Matte Display Edition 5G 8/256 GB</v>
      </c>
      <c r="B199" s="2">
        <f t="array" ref="B199">IFERROR(INDEX('Product Price'!B:B,SMALL('Product Price'!$D:$D,197)),"")</f>
        <v>18999</v>
      </c>
      <c r="C199" s="2">
        <f t="array" ref="C199">IFERROR(INDEX('Product Price'!C:C,SMALL('Product Price'!$D:$D,197)),"")</f>
        <v>270</v>
      </c>
      <c r="D199" s="2">
        <f t="shared" si="1"/>
        <v>1450</v>
      </c>
      <c r="E199" s="2">
        <f t="shared" si="2"/>
        <v>20449</v>
      </c>
      <c r="F199" s="2">
        <f t="shared" si="3"/>
        <v>3800</v>
      </c>
      <c r="G199" s="2">
        <f t="shared" si="4"/>
        <v>15199</v>
      </c>
      <c r="H199" s="2">
        <f t="shared" si="5"/>
        <v>16649</v>
      </c>
      <c r="I199" s="2">
        <f t="shared" si="6"/>
        <v>3174</v>
      </c>
      <c r="J199" s="2">
        <f t="shared" si="7"/>
        <v>2185</v>
      </c>
      <c r="K199" s="2">
        <f t="shared" si="8"/>
        <v>1690</v>
      </c>
      <c r="L199" s="2">
        <f t="shared" si="9"/>
        <v>1393</v>
      </c>
      <c r="M199" s="2">
        <f t="shared" si="10"/>
        <v>1195</v>
      </c>
      <c r="N199" s="2">
        <f t="shared" si="11"/>
        <v>948</v>
      </c>
      <c r="O199" s="2">
        <f t="shared" si="12"/>
        <v>4750</v>
      </c>
      <c r="P199" s="2">
        <f t="shared" si="13"/>
        <v>14249</v>
      </c>
      <c r="Q199" s="2">
        <f t="shared" si="14"/>
        <v>15699</v>
      </c>
      <c r="R199" s="2">
        <f t="shared" si="15"/>
        <v>2993</v>
      </c>
      <c r="S199" s="2">
        <f t="shared" si="16"/>
        <v>2060</v>
      </c>
      <c r="T199" s="2">
        <f t="shared" si="17"/>
        <v>1594</v>
      </c>
      <c r="U199" s="2">
        <f t="shared" si="18"/>
        <v>1314</v>
      </c>
      <c r="V199" s="2">
        <f t="shared" si="19"/>
        <v>1127</v>
      </c>
      <c r="W199" s="2">
        <f t="shared" si="20"/>
        <v>894</v>
      </c>
      <c r="X199" s="2">
        <f t="shared" si="21"/>
        <v>5700</v>
      </c>
      <c r="Y199" s="2">
        <f t="shared" si="22"/>
        <v>13299</v>
      </c>
      <c r="Z199" s="2">
        <f t="shared" si="23"/>
        <v>14749</v>
      </c>
      <c r="AA199" s="2">
        <f t="shared" si="24"/>
        <v>2812</v>
      </c>
      <c r="AB199" s="2">
        <f t="shared" si="25"/>
        <v>1935</v>
      </c>
      <c r="AC199" s="2">
        <f t="shared" si="26"/>
        <v>1497</v>
      </c>
      <c r="AD199" s="2">
        <f t="shared" si="27"/>
        <v>1234</v>
      </c>
      <c r="AE199" s="2">
        <f t="shared" si="28"/>
        <v>1059</v>
      </c>
      <c r="AF199" s="2">
        <f t="shared" si="29"/>
        <v>840</v>
      </c>
      <c r="AG199" s="2">
        <f t="shared" si="30"/>
        <v>6650</v>
      </c>
      <c r="AH199" s="2">
        <f t="shared" si="31"/>
        <v>12349</v>
      </c>
      <c r="AI199" s="2">
        <f t="shared" si="32"/>
        <v>13799</v>
      </c>
      <c r="AJ199" s="2">
        <f t="shared" si="33"/>
        <v>2631</v>
      </c>
      <c r="AK199" s="2">
        <f t="shared" si="34"/>
        <v>1811</v>
      </c>
      <c r="AL199" s="2">
        <f t="shared" si="35"/>
        <v>1401</v>
      </c>
      <c r="AM199" s="2">
        <f t="shared" si="36"/>
        <v>1155</v>
      </c>
      <c r="AN199" s="2">
        <f t="shared" si="37"/>
        <v>991</v>
      </c>
      <c r="AO199" s="2">
        <f t="shared" si="38"/>
        <v>786</v>
      </c>
      <c r="AP199" s="2">
        <f t="shared" si="39"/>
        <v>7600</v>
      </c>
      <c r="AQ199" s="2">
        <f t="shared" si="40"/>
        <v>11399</v>
      </c>
      <c r="AR199" s="2">
        <f t="shared" si="41"/>
        <v>12849</v>
      </c>
      <c r="AS199" s="2">
        <f t="shared" si="42"/>
        <v>2450</v>
      </c>
      <c r="AT199" s="2">
        <f t="shared" si="43"/>
        <v>1686</v>
      </c>
      <c r="AU199" s="2">
        <f t="shared" si="44"/>
        <v>1304</v>
      </c>
      <c r="AV199" s="2">
        <f t="shared" si="45"/>
        <v>1075</v>
      </c>
      <c r="AW199" s="2">
        <f t="shared" si="46"/>
        <v>922</v>
      </c>
      <c r="AX199" s="2">
        <f t="shared" si="47"/>
        <v>731</v>
      </c>
    </row>
    <row r="200" ht="14.25" customHeight="1">
      <c r="A200" s="2" t="str">
        <f t="array" ref="A200">IFERROR(INDEX('Product Price'!A:A,SMALL('Product Price'!$D:$D,198)),"")</f>
        <v>OPPA Pad SE Matte Display Edition 8/256 GB</v>
      </c>
      <c r="B200" s="2">
        <f t="array" ref="B200">IFERROR(INDEX('Product Price'!B:B,SMALL('Product Price'!$D:$D,198)),"")</f>
        <v>11999</v>
      </c>
      <c r="C200" s="2">
        <f t="array" ref="C200">IFERROR(INDEX('Product Price'!C:C,SMALL('Product Price'!$D:$D,198)),"")</f>
        <v>271</v>
      </c>
      <c r="D200" s="2">
        <f t="shared" si="1"/>
        <v>1450</v>
      </c>
      <c r="E200" s="2">
        <f t="shared" si="2"/>
        <v>13449</v>
      </c>
      <c r="F200" s="2">
        <f t="shared" si="3"/>
        <v>2400</v>
      </c>
      <c r="G200" s="2">
        <f t="shared" si="4"/>
        <v>9599</v>
      </c>
      <c r="H200" s="2">
        <f t="shared" si="5"/>
        <v>11049</v>
      </c>
      <c r="I200" s="2">
        <f t="shared" si="6"/>
        <v>2107</v>
      </c>
      <c r="J200" s="2">
        <f t="shared" si="7"/>
        <v>1450</v>
      </c>
      <c r="K200" s="2">
        <f t="shared" si="8"/>
        <v>1122</v>
      </c>
      <c r="L200" s="2">
        <f t="shared" si="9"/>
        <v>925</v>
      </c>
      <c r="M200" s="2">
        <f t="shared" si="10"/>
        <v>793</v>
      </c>
      <c r="N200" s="2">
        <f t="shared" si="11"/>
        <v>629</v>
      </c>
      <c r="O200" s="2">
        <f t="shared" si="12"/>
        <v>3000</v>
      </c>
      <c r="P200" s="2">
        <f t="shared" si="13"/>
        <v>8999</v>
      </c>
      <c r="Q200" s="2">
        <f t="shared" si="14"/>
        <v>10449</v>
      </c>
      <c r="R200" s="2">
        <f t="shared" si="15"/>
        <v>1992</v>
      </c>
      <c r="S200" s="2">
        <f t="shared" si="16"/>
        <v>1371</v>
      </c>
      <c r="T200" s="2">
        <f t="shared" si="17"/>
        <v>1061</v>
      </c>
      <c r="U200" s="2">
        <f t="shared" si="18"/>
        <v>874</v>
      </c>
      <c r="V200" s="2">
        <f t="shared" si="19"/>
        <v>750</v>
      </c>
      <c r="W200" s="2">
        <f t="shared" si="20"/>
        <v>595</v>
      </c>
      <c r="X200" s="2">
        <f t="shared" si="21"/>
        <v>3600</v>
      </c>
      <c r="Y200" s="2">
        <f t="shared" si="22"/>
        <v>8399</v>
      </c>
      <c r="Z200" s="2">
        <f t="shared" si="23"/>
        <v>9849</v>
      </c>
      <c r="AA200" s="2">
        <f t="shared" si="24"/>
        <v>1878</v>
      </c>
      <c r="AB200" s="2">
        <f t="shared" si="25"/>
        <v>1293</v>
      </c>
      <c r="AC200" s="2">
        <f t="shared" si="26"/>
        <v>1000</v>
      </c>
      <c r="AD200" s="2">
        <f t="shared" si="27"/>
        <v>824</v>
      </c>
      <c r="AE200" s="2">
        <f t="shared" si="28"/>
        <v>707</v>
      </c>
      <c r="AF200" s="2">
        <f t="shared" si="29"/>
        <v>561</v>
      </c>
      <c r="AG200" s="2">
        <f t="shared" si="30"/>
        <v>4200</v>
      </c>
      <c r="AH200" s="2">
        <f t="shared" si="31"/>
        <v>7799</v>
      </c>
      <c r="AI200" s="2">
        <f t="shared" si="32"/>
        <v>9249</v>
      </c>
      <c r="AJ200" s="2">
        <f t="shared" si="33"/>
        <v>1764</v>
      </c>
      <c r="AK200" s="2">
        <f t="shared" si="34"/>
        <v>1214</v>
      </c>
      <c r="AL200" s="2">
        <f t="shared" si="35"/>
        <v>939</v>
      </c>
      <c r="AM200" s="2">
        <f t="shared" si="36"/>
        <v>774</v>
      </c>
      <c r="AN200" s="2">
        <f t="shared" si="37"/>
        <v>664</v>
      </c>
      <c r="AO200" s="2">
        <f t="shared" si="38"/>
        <v>527</v>
      </c>
      <c r="AP200" s="2">
        <f t="shared" si="39"/>
        <v>4800</v>
      </c>
      <c r="AQ200" s="2">
        <f t="shared" si="40"/>
        <v>7199</v>
      </c>
      <c r="AR200" s="2">
        <f t="shared" si="41"/>
        <v>8649</v>
      </c>
      <c r="AS200" s="2">
        <f t="shared" si="42"/>
        <v>1649</v>
      </c>
      <c r="AT200" s="2">
        <f t="shared" si="43"/>
        <v>1135</v>
      </c>
      <c r="AU200" s="2">
        <f t="shared" si="44"/>
        <v>878</v>
      </c>
      <c r="AV200" s="2">
        <f t="shared" si="45"/>
        <v>724</v>
      </c>
      <c r="AW200" s="2">
        <f t="shared" si="46"/>
        <v>621</v>
      </c>
      <c r="AX200" s="2">
        <f t="shared" si="47"/>
        <v>493</v>
      </c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1.25"/>
    <col customWidth="1" min="2" max="3" width="12.63"/>
    <col customWidth="1" min="4" max="4" width="8.25"/>
    <col customWidth="1" min="5" max="6" width="12.63"/>
  </cols>
  <sheetData>
    <row r="1" ht="14.25" customHeight="1">
      <c r="A1" s="1">
        <v>0.0115</v>
      </c>
      <c r="B1" s="2">
        <v>400.0</v>
      </c>
      <c r="C1" s="2">
        <v>0.0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4.25" customHeight="1">
      <c r="A2" s="9"/>
      <c r="B2" s="2" t="s">
        <v>8</v>
      </c>
      <c r="C2" s="2" t="s">
        <v>9</v>
      </c>
      <c r="D2" s="2" t="s">
        <v>10</v>
      </c>
      <c r="E2" s="2" t="s">
        <v>11</v>
      </c>
      <c r="F2" s="15" t="s">
        <v>312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19" t="s">
        <v>313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1" t="s">
        <v>12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</row>
    <row r="3" ht="14.25" customHeight="1">
      <c r="A3" s="2" t="s">
        <v>314</v>
      </c>
      <c r="B3" s="29">
        <v>13999.0</v>
      </c>
      <c r="C3" s="2">
        <v>48.0</v>
      </c>
      <c r="D3" s="2">
        <f t="shared" ref="D3:D200" si="1">IF(AND(B3&gt;=3900,B3&lt;=10000),795,IF(AND(B3&gt;=10001,B3&lt;=20000),1450,IF(AND(B3&gt;=20001,B3&lt;=40000),1900,IF(AND(B3&gt;=40001,B3&lt;=60000),2475,IF(AND(B3&gt;=60001,B3&lt;=80000),4025,IF(AND(B3&gt;=80001,B3&lt;=100000),5175,IF(AND(B3&gt;=100001,B3&lt;=120000),6785,"")))))))</f>
        <v>1450</v>
      </c>
      <c r="E3" s="23">
        <f t="shared" ref="E3:E62" si="2">IFERROR(B3+D3,"")</f>
        <v>15449</v>
      </c>
      <c r="F3" s="25">
        <f t="shared" ref="F3:F62" si="3">IFERROR(ROUNDUP($B3*5%,0),"")</f>
        <v>700</v>
      </c>
      <c r="G3" s="23">
        <f t="shared" ref="G3:G62" si="4">$B3-F3</f>
        <v>13299</v>
      </c>
      <c r="H3" s="23">
        <f t="shared" ref="H3:H62" si="5">$G3+D3</f>
        <v>14749</v>
      </c>
      <c r="I3" s="2">
        <f t="shared" ref="I3:I62" si="6">IF(((G3*$A$1)*6)&lt;$C$1,"-",IF(ROUNDUP((((G3*100/107)*(1+($A$1*6)))/6)*1.07,0)&lt;$B$1,"-",ROUNDUP(((((G3*100/107)+$D3)*(1+($A$1*6)))/6)*1.07,0)))</f>
        <v>2646</v>
      </c>
      <c r="J3" s="2">
        <f t="shared" ref="J3:J62" si="7">IF(((G3*$A$1)*9)&lt;$C$1,"-",IF(ROUNDUP((((G3*100/107)*(1+($A$1*9)))/9)*1.07,0)&lt;$B$1,"-",ROUNDUP(((((G3*100/107)+$D3)*(1+($A$1*9)))/9)*1.07,0)))</f>
        <v>1821</v>
      </c>
      <c r="K3" s="2">
        <f t="shared" ref="K3:K62" si="8">IF(((G3*$A$1)*12)&lt;$C$1,"-",IF(ROUNDUP((((G3*100/107)*(1+($A$1*12)))/12)*1.07,0)&lt;$B$1,"-",ROUNDUP(((((G3*100/107)+$D3)*(1+($A$1*12)))/12)*1.07,0)))</f>
        <v>1409</v>
      </c>
      <c r="L3" s="2">
        <f t="shared" ref="L3:L62" si="9">IF(((G3*$A$1)*15)&lt;$C$1,"-",IF(ROUNDUP((((G3*100/107)*(1+($A$1*15)))/15)*1.07,0)&lt;$B$1,"-",ROUNDUP(((((G3*100/107)+$D3)*(1+($A$1*15)))/15)*1.07,0)))</f>
        <v>1161</v>
      </c>
      <c r="M3" s="2">
        <f t="shared" ref="M3:M62" si="10">IF(((G3*$A$1)*18)&lt;$C$1,"-",IF(ROUNDUP((((G3*100/107)*(1+($A$1*18)))/18)*1.07,0)&lt;$B$1,"-",ROUNDUP(((((G3*100/107)+$D3)*(1+($A$1*18)))/18)*1.07,0)))</f>
        <v>996</v>
      </c>
      <c r="N3" s="2">
        <f t="shared" ref="N3:N62" si="11">IF(((G3*$A$1)*24)&lt;$C$1,"-",IF(ROUNDUP((((G3*100/107)*(1+($A$1*24)))/24)*1.07,0)&lt;$B$1,"-",ROUNDUP(((((G3*100/107)+$D3)*(1+($A$1*24)))/24)*1.07,0)))</f>
        <v>790</v>
      </c>
      <c r="O3" s="25">
        <f t="shared" ref="O3:O62" si="12">ROUNDUP($B3*10%,0)</f>
        <v>1400</v>
      </c>
      <c r="P3" s="23">
        <f t="shared" ref="P3:P62" si="13">$B3-O3</f>
        <v>12599</v>
      </c>
      <c r="Q3" s="23">
        <f t="shared" ref="Q3:Q62" si="14">P3+$D3</f>
        <v>14049</v>
      </c>
      <c r="R3" s="2">
        <f t="shared" ref="R3:R62" si="15">IF(((P3*$A$1)*6)&lt;$C$1,"-",IF(ROUNDUP((((P3*100/107)*(1+($A$1*6)))/6)*1.07,0)&lt;$B$1,"-",ROUNDUP(((((P3*100/107)+$D3)*(1+($A$1*6)))/6)*1.07,0)))</f>
        <v>2522</v>
      </c>
      <c r="S3" s="2">
        <f t="shared" ref="S3:S62" si="16">IF(((P3*$A$1)*9)&lt;$C$1,"-",IF(ROUNDUP((((P3*100/107)*(1+($A$1*9)))/9)*1.07,0)&lt;$B$1,"-",ROUNDUP(((((P3*100/107)+$D3)*(1+($A$1*9)))/9)*1.07,0)))</f>
        <v>1736</v>
      </c>
      <c r="T3" s="2">
        <f t="shared" ref="T3:T62" si="17">IF(((P3*$A$1)*12)&lt;$C$1,"-",IF(ROUNDUP((((P3*100/107)*(1+($A$1*12)))/12)*1.07,0)&lt;$B$1,"-",ROUNDUP(((((P3*100/107)+$D3)*(1+($A$1*12)))/12)*1.07,0)))</f>
        <v>1342</v>
      </c>
      <c r="U3" s="2">
        <f t="shared" ref="U3:U62" si="18">IF(((P3*$A$1)*15)&lt;$C$1,"-",IF(ROUNDUP((((P3*100/107)*(1+($A$1*15)))/15)*1.07,0)&lt;$B$1,"-",ROUNDUP(((((P3*100/107)+$D3)*(1+($A$1*15)))/15)*1.07,0)))</f>
        <v>1107</v>
      </c>
      <c r="V3" s="2">
        <f t="shared" ref="V3:V62" si="19">IF(((P3*$A$1)*18)&lt;$C$1,"-",IF(ROUNDUP((((P3*100/107)*(1+($A$1*18)))/18)*1.07,0)&lt;$B$1,"-",ROUNDUP(((((P3*100/107)+$D3)*(1+($A$1*18)))/18)*1.07,0)))</f>
        <v>949</v>
      </c>
      <c r="W3" s="2">
        <f t="shared" ref="W3:W62" si="20">IF(((P3*$A$1)*24)&lt;$C$1,"-",IF(ROUNDUP((((P3*100/107)*(1+($A$1*24)))/24)*1.07,0)&lt;$B$1,"-",ROUNDUP(((((P3*100/107)+$D3)*(1+($A$1*24)))/24)*1.07,0)))</f>
        <v>753</v>
      </c>
      <c r="X3" s="25">
        <f t="shared" ref="X3:X62" si="21">ROUNDUP($B3*15%,0)</f>
        <v>2100</v>
      </c>
      <c r="Y3" s="23">
        <f t="shared" ref="Y3:Y62" si="22">$B3-X3</f>
        <v>11899</v>
      </c>
      <c r="Z3" s="23">
        <f t="shared" ref="Z3:Z62" si="23">Y3+$D3</f>
        <v>13349</v>
      </c>
      <c r="AA3" s="2">
        <f t="shared" ref="AA3:AA62" si="24">IF(((Y3*$A$1)*6)&lt;$C$1,"-",IF(ROUNDUP((((Y3*100/107)*(1+($A$1*6)))/6)*1.07,0)&lt;$B$1,"-",ROUNDUP(((((Y3*100/107)+$D3)*(1+($A$1*6)))/6)*1.07,0)))</f>
        <v>2397</v>
      </c>
      <c r="AB3" s="2">
        <f t="shared" ref="AB3:AB62" si="25">IF(((Y3*$A$1)*9)&lt;$C$1,"-",IF(ROUNDUP((((Y3*100/107)*(1+($A$1*9)))/9)*1.07,0)&lt;$B$1,"-",ROUNDUP(((((Y3*100/107)+$D3)*(1+($A$1*9)))/9)*1.07,0)))</f>
        <v>1650</v>
      </c>
      <c r="AC3" s="2">
        <f t="shared" ref="AC3:AC62" si="26">IF(((Y3*$A$1)*12)&lt;$C$1,"-",IF(ROUNDUP((((Y3*100/107)*(1+($A$1*12)))/12)*1.07,0)&lt;$B$1,"-",ROUNDUP(((((Y3*100/107)+$D3)*(1+($A$1*12)))/12)*1.07,0)))</f>
        <v>1276</v>
      </c>
      <c r="AD3" s="2">
        <f t="shared" ref="AD3:AD62" si="27">IF(((Y3*$A$1)*15)&lt;$C$1,"-",IF(ROUNDUP((((Y3*100/107)*(1+($A$1*15)))/15)*1.07,0)&lt;$B$1,"-",ROUNDUP(((((Y3*100/107)+$D3)*(1+($A$1*15)))/15)*1.07,0)))</f>
        <v>1052</v>
      </c>
      <c r="AE3" s="2">
        <f t="shared" ref="AE3:AE62" si="28">IF(((Y3*$A$1)*18)&lt;$C$1,"-",IF(ROUNDUP((((Y3*100/107)*(1+($A$1*18)))/18)*1.07,0)&lt;$B$1,"-",ROUNDUP(((((Y3*100/107)+$D3)*(1+($A$1*18)))/18)*1.07,0)))</f>
        <v>902</v>
      </c>
      <c r="AF3" s="2">
        <f t="shared" ref="AF3:AF62" si="29">IF(((Y3*$A$1)*24)&lt;$C$1,"-",IF(ROUNDUP((((Y3*100/107)*(1+($A$1*24)))/24)*1.07,0)&lt;$B$1,"-",ROUNDUP(((((Y3*100/107)+$D3)*(1+($A$1*24)))/24)*1.07,0)))</f>
        <v>716</v>
      </c>
    </row>
    <row r="4" ht="14.25" customHeight="1">
      <c r="A4" s="2" t="s">
        <v>315</v>
      </c>
      <c r="B4" s="32">
        <v>8499.0</v>
      </c>
      <c r="C4" s="2">
        <v>52.0</v>
      </c>
      <c r="D4" s="2">
        <f t="shared" si="1"/>
        <v>795</v>
      </c>
      <c r="E4" s="23">
        <f t="shared" si="2"/>
        <v>9294</v>
      </c>
      <c r="F4" s="25">
        <f t="shared" si="3"/>
        <v>425</v>
      </c>
      <c r="G4" s="23">
        <f t="shared" si="4"/>
        <v>8074</v>
      </c>
      <c r="H4" s="23">
        <f t="shared" si="5"/>
        <v>8869</v>
      </c>
      <c r="I4" s="2">
        <f t="shared" si="6"/>
        <v>1591</v>
      </c>
      <c r="J4" s="2">
        <f t="shared" si="7"/>
        <v>1095</v>
      </c>
      <c r="K4" s="2">
        <f t="shared" si="8"/>
        <v>847</v>
      </c>
      <c r="L4" s="2">
        <f t="shared" si="9"/>
        <v>698</v>
      </c>
      <c r="M4" s="2">
        <f t="shared" si="10"/>
        <v>599</v>
      </c>
      <c r="N4" s="2">
        <f t="shared" si="11"/>
        <v>475</v>
      </c>
      <c r="O4" s="25">
        <f t="shared" si="12"/>
        <v>850</v>
      </c>
      <c r="P4" s="23">
        <f t="shared" si="13"/>
        <v>7649</v>
      </c>
      <c r="Q4" s="23">
        <f t="shared" si="14"/>
        <v>8444</v>
      </c>
      <c r="R4" s="2">
        <f t="shared" si="15"/>
        <v>1515</v>
      </c>
      <c r="S4" s="2">
        <f t="shared" si="16"/>
        <v>1043</v>
      </c>
      <c r="T4" s="2">
        <f t="shared" si="17"/>
        <v>807</v>
      </c>
      <c r="U4" s="2">
        <f t="shared" si="18"/>
        <v>665</v>
      </c>
      <c r="V4" s="2">
        <f t="shared" si="19"/>
        <v>570</v>
      </c>
      <c r="W4" s="2">
        <f t="shared" si="20"/>
        <v>452</v>
      </c>
      <c r="X4" s="25">
        <f t="shared" si="21"/>
        <v>1275</v>
      </c>
      <c r="Y4" s="23">
        <f t="shared" si="22"/>
        <v>7224</v>
      </c>
      <c r="Z4" s="23">
        <f t="shared" si="23"/>
        <v>8019</v>
      </c>
      <c r="AA4" s="2">
        <f t="shared" si="24"/>
        <v>1439</v>
      </c>
      <c r="AB4" s="2">
        <f t="shared" si="25"/>
        <v>991</v>
      </c>
      <c r="AC4" s="2">
        <f t="shared" si="26"/>
        <v>766</v>
      </c>
      <c r="AD4" s="2">
        <f t="shared" si="27"/>
        <v>632</v>
      </c>
      <c r="AE4" s="2">
        <f t="shared" si="28"/>
        <v>542</v>
      </c>
      <c r="AF4" s="2" t="str">
        <f t="shared" si="29"/>
        <v>-</v>
      </c>
    </row>
    <row r="5" ht="14.25" customHeight="1">
      <c r="A5" s="2" t="s">
        <v>316</v>
      </c>
      <c r="B5" s="32">
        <v>7999.0</v>
      </c>
      <c r="C5" s="2">
        <v>53.0</v>
      </c>
      <c r="D5" s="2">
        <f t="shared" si="1"/>
        <v>795</v>
      </c>
      <c r="E5" s="23">
        <f t="shared" si="2"/>
        <v>8794</v>
      </c>
      <c r="F5" s="25">
        <f t="shared" si="3"/>
        <v>400</v>
      </c>
      <c r="G5" s="23">
        <f t="shared" si="4"/>
        <v>7599</v>
      </c>
      <c r="H5" s="23">
        <f t="shared" si="5"/>
        <v>8394</v>
      </c>
      <c r="I5" s="2">
        <f t="shared" si="6"/>
        <v>1506</v>
      </c>
      <c r="J5" s="2">
        <f t="shared" si="7"/>
        <v>1037</v>
      </c>
      <c r="K5" s="2">
        <f t="shared" si="8"/>
        <v>802</v>
      </c>
      <c r="L5" s="2">
        <f t="shared" si="9"/>
        <v>661</v>
      </c>
      <c r="M5" s="2">
        <f t="shared" si="10"/>
        <v>567</v>
      </c>
      <c r="N5" s="2">
        <f t="shared" si="11"/>
        <v>450</v>
      </c>
      <c r="O5" s="25">
        <f t="shared" si="12"/>
        <v>800</v>
      </c>
      <c r="P5" s="23">
        <f t="shared" si="13"/>
        <v>7199</v>
      </c>
      <c r="Q5" s="23">
        <f t="shared" si="14"/>
        <v>7994</v>
      </c>
      <c r="R5" s="2">
        <f t="shared" si="15"/>
        <v>1435</v>
      </c>
      <c r="S5" s="2">
        <f t="shared" si="16"/>
        <v>987</v>
      </c>
      <c r="T5" s="2">
        <f t="shared" si="17"/>
        <v>764</v>
      </c>
      <c r="U5" s="2">
        <f t="shared" si="18"/>
        <v>630</v>
      </c>
      <c r="V5" s="2">
        <f t="shared" si="19"/>
        <v>540</v>
      </c>
      <c r="W5" s="2" t="str">
        <f t="shared" si="20"/>
        <v>-</v>
      </c>
      <c r="X5" s="25">
        <f t="shared" si="21"/>
        <v>1200</v>
      </c>
      <c r="Y5" s="23">
        <f t="shared" si="22"/>
        <v>6799</v>
      </c>
      <c r="Z5" s="23">
        <f t="shared" si="23"/>
        <v>7594</v>
      </c>
      <c r="AA5" s="2">
        <f t="shared" si="24"/>
        <v>1363</v>
      </c>
      <c r="AB5" s="2">
        <f t="shared" si="25"/>
        <v>938</v>
      </c>
      <c r="AC5" s="2">
        <f t="shared" si="26"/>
        <v>726</v>
      </c>
      <c r="AD5" s="2">
        <f t="shared" si="27"/>
        <v>598</v>
      </c>
      <c r="AE5" s="2">
        <f t="shared" si="28"/>
        <v>513</v>
      </c>
      <c r="AF5" s="2" t="str">
        <f t="shared" si="29"/>
        <v>-</v>
      </c>
    </row>
    <row r="6" ht="14.25" customHeight="1">
      <c r="A6" s="2" t="s">
        <v>317</v>
      </c>
      <c r="B6" s="29">
        <v>6999.0</v>
      </c>
      <c r="C6" s="2">
        <v>54.0</v>
      </c>
      <c r="D6" s="2">
        <f t="shared" si="1"/>
        <v>795</v>
      </c>
      <c r="E6" s="23">
        <f t="shared" si="2"/>
        <v>7794</v>
      </c>
      <c r="F6" s="25">
        <f t="shared" si="3"/>
        <v>350</v>
      </c>
      <c r="G6" s="23">
        <f t="shared" si="4"/>
        <v>6649</v>
      </c>
      <c r="H6" s="23">
        <f t="shared" si="5"/>
        <v>7444</v>
      </c>
      <c r="I6" s="2">
        <f t="shared" si="6"/>
        <v>1337</v>
      </c>
      <c r="J6" s="2">
        <f t="shared" si="7"/>
        <v>920</v>
      </c>
      <c r="K6" s="2">
        <f t="shared" si="8"/>
        <v>712</v>
      </c>
      <c r="L6" s="2">
        <f t="shared" si="9"/>
        <v>587</v>
      </c>
      <c r="M6" s="2">
        <f t="shared" si="10"/>
        <v>503</v>
      </c>
      <c r="N6" s="2" t="str">
        <f t="shared" si="11"/>
        <v>-</v>
      </c>
      <c r="O6" s="25">
        <f t="shared" si="12"/>
        <v>700</v>
      </c>
      <c r="P6" s="23">
        <f t="shared" si="13"/>
        <v>6299</v>
      </c>
      <c r="Q6" s="23">
        <f t="shared" si="14"/>
        <v>7094</v>
      </c>
      <c r="R6" s="2">
        <f t="shared" si="15"/>
        <v>1274</v>
      </c>
      <c r="S6" s="2">
        <f t="shared" si="16"/>
        <v>877</v>
      </c>
      <c r="T6" s="2">
        <f t="shared" si="17"/>
        <v>679</v>
      </c>
      <c r="U6" s="2">
        <f t="shared" si="18"/>
        <v>559</v>
      </c>
      <c r="V6" s="2">
        <f t="shared" si="19"/>
        <v>480</v>
      </c>
      <c r="W6" s="2" t="str">
        <f t="shared" si="20"/>
        <v>-</v>
      </c>
      <c r="X6" s="25">
        <f t="shared" si="21"/>
        <v>1050</v>
      </c>
      <c r="Y6" s="23">
        <f t="shared" si="22"/>
        <v>5949</v>
      </c>
      <c r="Z6" s="23">
        <f t="shared" si="23"/>
        <v>6744</v>
      </c>
      <c r="AA6" s="2">
        <f t="shared" si="24"/>
        <v>1212</v>
      </c>
      <c r="AB6" s="2">
        <f t="shared" si="25"/>
        <v>834</v>
      </c>
      <c r="AC6" s="2">
        <f t="shared" si="26"/>
        <v>645</v>
      </c>
      <c r="AD6" s="2">
        <f t="shared" si="27"/>
        <v>532</v>
      </c>
      <c r="AE6" s="2" t="str">
        <f t="shared" si="28"/>
        <v>-</v>
      </c>
      <c r="AF6" s="2" t="str">
        <f t="shared" si="29"/>
        <v>-</v>
      </c>
    </row>
    <row r="7" ht="14.25" customHeight="1">
      <c r="A7" s="2" t="s">
        <v>318</v>
      </c>
      <c r="B7" s="32">
        <v>6499.0</v>
      </c>
      <c r="C7" s="2">
        <v>56.0</v>
      </c>
      <c r="D7" s="2">
        <f t="shared" si="1"/>
        <v>795</v>
      </c>
      <c r="E7" s="23">
        <f t="shared" si="2"/>
        <v>7294</v>
      </c>
      <c r="F7" s="25">
        <f t="shared" si="3"/>
        <v>325</v>
      </c>
      <c r="G7" s="23">
        <f t="shared" si="4"/>
        <v>6174</v>
      </c>
      <c r="H7" s="23">
        <f t="shared" si="5"/>
        <v>6969</v>
      </c>
      <c r="I7" s="2">
        <f t="shared" si="6"/>
        <v>1252</v>
      </c>
      <c r="J7" s="2">
        <f t="shared" si="7"/>
        <v>862</v>
      </c>
      <c r="K7" s="2">
        <f t="shared" si="8"/>
        <v>667</v>
      </c>
      <c r="L7" s="2">
        <f t="shared" si="9"/>
        <v>550</v>
      </c>
      <c r="M7" s="2">
        <f t="shared" si="10"/>
        <v>472</v>
      </c>
      <c r="N7" s="2" t="str">
        <f t="shared" si="11"/>
        <v>-</v>
      </c>
      <c r="O7" s="25">
        <f t="shared" si="12"/>
        <v>650</v>
      </c>
      <c r="P7" s="23">
        <f t="shared" si="13"/>
        <v>5849</v>
      </c>
      <c r="Q7" s="23">
        <f t="shared" si="14"/>
        <v>6644</v>
      </c>
      <c r="R7" s="2">
        <f t="shared" si="15"/>
        <v>1194</v>
      </c>
      <c r="S7" s="2">
        <f t="shared" si="16"/>
        <v>822</v>
      </c>
      <c r="T7" s="2">
        <f t="shared" si="17"/>
        <v>636</v>
      </c>
      <c r="U7" s="2">
        <f t="shared" si="18"/>
        <v>524</v>
      </c>
      <c r="V7" s="2" t="str">
        <f t="shared" si="19"/>
        <v>-</v>
      </c>
      <c r="W7" s="2" t="str">
        <f t="shared" si="20"/>
        <v>-</v>
      </c>
      <c r="X7" s="25">
        <f t="shared" si="21"/>
        <v>975</v>
      </c>
      <c r="Y7" s="23">
        <f t="shared" si="22"/>
        <v>5524</v>
      </c>
      <c r="Z7" s="23">
        <f t="shared" si="23"/>
        <v>6319</v>
      </c>
      <c r="AA7" s="2">
        <f t="shared" si="24"/>
        <v>1136</v>
      </c>
      <c r="AB7" s="2">
        <f t="shared" si="25"/>
        <v>782</v>
      </c>
      <c r="AC7" s="2">
        <f t="shared" si="26"/>
        <v>605</v>
      </c>
      <c r="AD7" s="2">
        <f t="shared" si="27"/>
        <v>499</v>
      </c>
      <c r="AE7" s="2" t="str">
        <f t="shared" si="28"/>
        <v>-</v>
      </c>
      <c r="AF7" s="2" t="str">
        <f t="shared" si="29"/>
        <v>-</v>
      </c>
    </row>
    <row r="8" ht="14.25" customHeight="1">
      <c r="A8" s="2"/>
      <c r="B8" s="29"/>
      <c r="C8" s="2"/>
      <c r="D8" s="2" t="str">
        <f t="shared" si="1"/>
        <v/>
      </c>
      <c r="E8" s="23">
        <f t="shared" si="2"/>
        <v>0</v>
      </c>
      <c r="F8" s="25">
        <f t="shared" si="3"/>
        <v>0</v>
      </c>
      <c r="G8" s="23">
        <f t="shared" si="4"/>
        <v>0</v>
      </c>
      <c r="H8" s="23">
        <f t="shared" si="5"/>
        <v>0</v>
      </c>
      <c r="I8" s="2" t="str">
        <f t="shared" si="6"/>
        <v>-</v>
      </c>
      <c r="J8" s="2" t="str">
        <f t="shared" si="7"/>
        <v>-</v>
      </c>
      <c r="K8" s="2" t="str">
        <f t="shared" si="8"/>
        <v>-</v>
      </c>
      <c r="L8" s="2" t="str">
        <f t="shared" si="9"/>
        <v>-</v>
      </c>
      <c r="M8" s="2" t="str">
        <f t="shared" si="10"/>
        <v>-</v>
      </c>
      <c r="N8" s="2" t="str">
        <f t="shared" si="11"/>
        <v>-</v>
      </c>
      <c r="O8" s="25">
        <f t="shared" si="12"/>
        <v>0</v>
      </c>
      <c r="P8" s="23">
        <f t="shared" si="13"/>
        <v>0</v>
      </c>
      <c r="Q8" s="23">
        <f t="shared" si="14"/>
        <v>0</v>
      </c>
      <c r="R8" s="2" t="str">
        <f t="shared" si="15"/>
        <v>-</v>
      </c>
      <c r="S8" s="2" t="str">
        <f t="shared" si="16"/>
        <v>-</v>
      </c>
      <c r="T8" s="2" t="str">
        <f t="shared" si="17"/>
        <v>-</v>
      </c>
      <c r="U8" s="2" t="str">
        <f t="shared" si="18"/>
        <v>-</v>
      </c>
      <c r="V8" s="2" t="str">
        <f t="shared" si="19"/>
        <v>-</v>
      </c>
      <c r="W8" s="2" t="str">
        <f t="shared" si="20"/>
        <v>-</v>
      </c>
      <c r="X8" s="25">
        <f t="shared" si="21"/>
        <v>0</v>
      </c>
      <c r="Y8" s="23">
        <f t="shared" si="22"/>
        <v>0</v>
      </c>
      <c r="Z8" s="23">
        <f t="shared" si="23"/>
        <v>0</v>
      </c>
      <c r="AA8" s="2" t="str">
        <f t="shared" si="24"/>
        <v>-</v>
      </c>
      <c r="AB8" s="2" t="str">
        <f t="shared" si="25"/>
        <v>-</v>
      </c>
      <c r="AC8" s="2" t="str">
        <f t="shared" si="26"/>
        <v>-</v>
      </c>
      <c r="AD8" s="2" t="str">
        <f t="shared" si="27"/>
        <v>-</v>
      </c>
      <c r="AE8" s="2" t="str">
        <f t="shared" si="28"/>
        <v>-</v>
      </c>
      <c r="AF8" s="2" t="str">
        <f t="shared" si="29"/>
        <v>-</v>
      </c>
    </row>
    <row r="9" ht="14.25" customHeight="1">
      <c r="A9" s="2"/>
      <c r="B9" s="29"/>
      <c r="C9" s="2"/>
      <c r="D9" s="2" t="str">
        <f t="shared" si="1"/>
        <v/>
      </c>
      <c r="E9" s="23">
        <f t="shared" si="2"/>
        <v>0</v>
      </c>
      <c r="F9" s="25">
        <f t="shared" si="3"/>
        <v>0</v>
      </c>
      <c r="G9" s="23">
        <f t="shared" si="4"/>
        <v>0</v>
      </c>
      <c r="H9" s="23">
        <f t="shared" si="5"/>
        <v>0</v>
      </c>
      <c r="I9" s="2" t="str">
        <f t="shared" si="6"/>
        <v>-</v>
      </c>
      <c r="J9" s="2" t="str">
        <f t="shared" si="7"/>
        <v>-</v>
      </c>
      <c r="K9" s="2" t="str">
        <f t="shared" si="8"/>
        <v>-</v>
      </c>
      <c r="L9" s="2" t="str">
        <f t="shared" si="9"/>
        <v>-</v>
      </c>
      <c r="M9" s="2" t="str">
        <f t="shared" si="10"/>
        <v>-</v>
      </c>
      <c r="N9" s="2" t="str">
        <f t="shared" si="11"/>
        <v>-</v>
      </c>
      <c r="O9" s="25">
        <f t="shared" si="12"/>
        <v>0</v>
      </c>
      <c r="P9" s="23">
        <f t="shared" si="13"/>
        <v>0</v>
      </c>
      <c r="Q9" s="23">
        <f t="shared" si="14"/>
        <v>0</v>
      </c>
      <c r="R9" s="2" t="str">
        <f t="shared" si="15"/>
        <v>-</v>
      </c>
      <c r="S9" s="2" t="str">
        <f t="shared" si="16"/>
        <v>-</v>
      </c>
      <c r="T9" s="2" t="str">
        <f t="shared" si="17"/>
        <v>-</v>
      </c>
      <c r="U9" s="2" t="str">
        <f t="shared" si="18"/>
        <v>-</v>
      </c>
      <c r="V9" s="2" t="str">
        <f t="shared" si="19"/>
        <v>-</v>
      </c>
      <c r="W9" s="2" t="str">
        <f t="shared" si="20"/>
        <v>-</v>
      </c>
      <c r="X9" s="25">
        <f t="shared" si="21"/>
        <v>0</v>
      </c>
      <c r="Y9" s="23">
        <f t="shared" si="22"/>
        <v>0</v>
      </c>
      <c r="Z9" s="23">
        <f t="shared" si="23"/>
        <v>0</v>
      </c>
      <c r="AA9" s="2" t="str">
        <f t="shared" si="24"/>
        <v>-</v>
      </c>
      <c r="AB9" s="2" t="str">
        <f t="shared" si="25"/>
        <v>-</v>
      </c>
      <c r="AC9" s="2" t="str">
        <f t="shared" si="26"/>
        <v>-</v>
      </c>
      <c r="AD9" s="2" t="str">
        <f t="shared" si="27"/>
        <v>-</v>
      </c>
      <c r="AE9" s="2" t="str">
        <f t="shared" si="28"/>
        <v>-</v>
      </c>
      <c r="AF9" s="2" t="str">
        <f t="shared" si="29"/>
        <v>-</v>
      </c>
    </row>
    <row r="10" ht="14.25" customHeight="1">
      <c r="A10" s="2"/>
      <c r="B10" s="29"/>
      <c r="C10" s="2"/>
      <c r="D10" s="2" t="str">
        <f t="shared" si="1"/>
        <v/>
      </c>
      <c r="E10" s="23">
        <f t="shared" si="2"/>
        <v>0</v>
      </c>
      <c r="F10" s="25">
        <f t="shared" si="3"/>
        <v>0</v>
      </c>
      <c r="G10" s="23">
        <f t="shared" si="4"/>
        <v>0</v>
      </c>
      <c r="H10" s="23">
        <f t="shared" si="5"/>
        <v>0</v>
      </c>
      <c r="I10" s="2" t="str">
        <f t="shared" si="6"/>
        <v>-</v>
      </c>
      <c r="J10" s="2" t="str">
        <f t="shared" si="7"/>
        <v>-</v>
      </c>
      <c r="K10" s="2" t="str">
        <f t="shared" si="8"/>
        <v>-</v>
      </c>
      <c r="L10" s="2" t="str">
        <f t="shared" si="9"/>
        <v>-</v>
      </c>
      <c r="M10" s="2" t="str">
        <f t="shared" si="10"/>
        <v>-</v>
      </c>
      <c r="N10" s="2" t="str">
        <f t="shared" si="11"/>
        <v>-</v>
      </c>
      <c r="O10" s="25">
        <f t="shared" si="12"/>
        <v>0</v>
      </c>
      <c r="P10" s="23">
        <f t="shared" si="13"/>
        <v>0</v>
      </c>
      <c r="Q10" s="23">
        <f t="shared" si="14"/>
        <v>0</v>
      </c>
      <c r="R10" s="2" t="str">
        <f t="shared" si="15"/>
        <v>-</v>
      </c>
      <c r="S10" s="2" t="str">
        <f t="shared" si="16"/>
        <v>-</v>
      </c>
      <c r="T10" s="2" t="str">
        <f t="shared" si="17"/>
        <v>-</v>
      </c>
      <c r="U10" s="2" t="str">
        <f t="shared" si="18"/>
        <v>-</v>
      </c>
      <c r="V10" s="2" t="str">
        <f t="shared" si="19"/>
        <v>-</v>
      </c>
      <c r="W10" s="2" t="str">
        <f t="shared" si="20"/>
        <v>-</v>
      </c>
      <c r="X10" s="25">
        <f t="shared" si="21"/>
        <v>0</v>
      </c>
      <c r="Y10" s="23">
        <f t="shared" si="22"/>
        <v>0</v>
      </c>
      <c r="Z10" s="23">
        <f t="shared" si="23"/>
        <v>0</v>
      </c>
      <c r="AA10" s="2" t="str">
        <f t="shared" si="24"/>
        <v>-</v>
      </c>
      <c r="AB10" s="2" t="str">
        <f t="shared" si="25"/>
        <v>-</v>
      </c>
      <c r="AC10" s="2" t="str">
        <f t="shared" si="26"/>
        <v>-</v>
      </c>
      <c r="AD10" s="2" t="str">
        <f t="shared" si="27"/>
        <v>-</v>
      </c>
      <c r="AE10" s="2" t="str">
        <f t="shared" si="28"/>
        <v>-</v>
      </c>
      <c r="AF10" s="2" t="str">
        <f t="shared" si="29"/>
        <v>-</v>
      </c>
    </row>
    <row r="11" ht="14.25" customHeight="1">
      <c r="A11" s="2"/>
      <c r="B11" s="29"/>
      <c r="C11" s="2"/>
      <c r="D11" s="2" t="str">
        <f t="shared" si="1"/>
        <v/>
      </c>
      <c r="E11" s="23">
        <f t="shared" si="2"/>
        <v>0</v>
      </c>
      <c r="F11" s="25">
        <f t="shared" si="3"/>
        <v>0</v>
      </c>
      <c r="G11" s="23">
        <f t="shared" si="4"/>
        <v>0</v>
      </c>
      <c r="H11" s="23">
        <f t="shared" si="5"/>
        <v>0</v>
      </c>
      <c r="I11" s="2" t="str">
        <f t="shared" si="6"/>
        <v>-</v>
      </c>
      <c r="J11" s="2" t="str">
        <f t="shared" si="7"/>
        <v>-</v>
      </c>
      <c r="K11" s="2" t="str">
        <f t="shared" si="8"/>
        <v>-</v>
      </c>
      <c r="L11" s="2" t="str">
        <f t="shared" si="9"/>
        <v>-</v>
      </c>
      <c r="M11" s="2" t="str">
        <f t="shared" si="10"/>
        <v>-</v>
      </c>
      <c r="N11" s="2" t="str">
        <f t="shared" si="11"/>
        <v>-</v>
      </c>
      <c r="O11" s="25">
        <f t="shared" si="12"/>
        <v>0</v>
      </c>
      <c r="P11" s="23">
        <f t="shared" si="13"/>
        <v>0</v>
      </c>
      <c r="Q11" s="23">
        <f t="shared" si="14"/>
        <v>0</v>
      </c>
      <c r="R11" s="2" t="str">
        <f t="shared" si="15"/>
        <v>-</v>
      </c>
      <c r="S11" s="2" t="str">
        <f t="shared" si="16"/>
        <v>-</v>
      </c>
      <c r="T11" s="2" t="str">
        <f t="shared" si="17"/>
        <v>-</v>
      </c>
      <c r="U11" s="2" t="str">
        <f t="shared" si="18"/>
        <v>-</v>
      </c>
      <c r="V11" s="2" t="str">
        <f t="shared" si="19"/>
        <v>-</v>
      </c>
      <c r="W11" s="2" t="str">
        <f t="shared" si="20"/>
        <v>-</v>
      </c>
      <c r="X11" s="25">
        <f t="shared" si="21"/>
        <v>0</v>
      </c>
      <c r="Y11" s="23">
        <f t="shared" si="22"/>
        <v>0</v>
      </c>
      <c r="Z11" s="23">
        <f t="shared" si="23"/>
        <v>0</v>
      </c>
      <c r="AA11" s="2" t="str">
        <f t="shared" si="24"/>
        <v>-</v>
      </c>
      <c r="AB11" s="2" t="str">
        <f t="shared" si="25"/>
        <v>-</v>
      </c>
      <c r="AC11" s="2" t="str">
        <f t="shared" si="26"/>
        <v>-</v>
      </c>
      <c r="AD11" s="2" t="str">
        <f t="shared" si="27"/>
        <v>-</v>
      </c>
      <c r="AE11" s="2" t="str">
        <f t="shared" si="28"/>
        <v>-</v>
      </c>
      <c r="AF11" s="2" t="str">
        <f t="shared" si="29"/>
        <v>-</v>
      </c>
    </row>
    <row r="12" ht="14.25" customHeight="1">
      <c r="A12" s="2"/>
      <c r="B12" s="29"/>
      <c r="C12" s="2"/>
      <c r="D12" s="2" t="str">
        <f t="shared" si="1"/>
        <v/>
      </c>
      <c r="E12" s="23">
        <f t="shared" si="2"/>
        <v>0</v>
      </c>
      <c r="F12" s="25">
        <f t="shared" si="3"/>
        <v>0</v>
      </c>
      <c r="G12" s="23">
        <f t="shared" si="4"/>
        <v>0</v>
      </c>
      <c r="H12" s="23">
        <f t="shared" si="5"/>
        <v>0</v>
      </c>
      <c r="I12" s="2" t="str">
        <f t="shared" si="6"/>
        <v>-</v>
      </c>
      <c r="J12" s="2" t="str">
        <f t="shared" si="7"/>
        <v>-</v>
      </c>
      <c r="K12" s="2" t="str">
        <f t="shared" si="8"/>
        <v>-</v>
      </c>
      <c r="L12" s="2" t="str">
        <f t="shared" si="9"/>
        <v>-</v>
      </c>
      <c r="M12" s="2" t="str">
        <f t="shared" si="10"/>
        <v>-</v>
      </c>
      <c r="N12" s="2" t="str">
        <f t="shared" si="11"/>
        <v>-</v>
      </c>
      <c r="O12" s="25">
        <f t="shared" si="12"/>
        <v>0</v>
      </c>
      <c r="P12" s="23">
        <f t="shared" si="13"/>
        <v>0</v>
      </c>
      <c r="Q12" s="23">
        <f t="shared" si="14"/>
        <v>0</v>
      </c>
      <c r="R12" s="2" t="str">
        <f t="shared" si="15"/>
        <v>-</v>
      </c>
      <c r="S12" s="2" t="str">
        <f t="shared" si="16"/>
        <v>-</v>
      </c>
      <c r="T12" s="2" t="str">
        <f t="shared" si="17"/>
        <v>-</v>
      </c>
      <c r="U12" s="2" t="str">
        <f t="shared" si="18"/>
        <v>-</v>
      </c>
      <c r="V12" s="2" t="str">
        <f t="shared" si="19"/>
        <v>-</v>
      </c>
      <c r="W12" s="2" t="str">
        <f t="shared" si="20"/>
        <v>-</v>
      </c>
      <c r="X12" s="25">
        <f t="shared" si="21"/>
        <v>0</v>
      </c>
      <c r="Y12" s="23">
        <f t="shared" si="22"/>
        <v>0</v>
      </c>
      <c r="Z12" s="23">
        <f t="shared" si="23"/>
        <v>0</v>
      </c>
      <c r="AA12" s="2" t="str">
        <f t="shared" si="24"/>
        <v>-</v>
      </c>
      <c r="AB12" s="2" t="str">
        <f t="shared" si="25"/>
        <v>-</v>
      </c>
      <c r="AC12" s="2" t="str">
        <f t="shared" si="26"/>
        <v>-</v>
      </c>
      <c r="AD12" s="2" t="str">
        <f t="shared" si="27"/>
        <v>-</v>
      </c>
      <c r="AE12" s="2" t="str">
        <f t="shared" si="28"/>
        <v>-</v>
      </c>
      <c r="AF12" s="2" t="str">
        <f t="shared" si="29"/>
        <v>-</v>
      </c>
    </row>
    <row r="13" ht="14.25" customHeight="1">
      <c r="A13" s="2"/>
      <c r="B13" s="29"/>
      <c r="C13" s="2"/>
      <c r="D13" s="2" t="str">
        <f t="shared" si="1"/>
        <v/>
      </c>
      <c r="E13" s="23">
        <f t="shared" si="2"/>
        <v>0</v>
      </c>
      <c r="F13" s="25">
        <f t="shared" si="3"/>
        <v>0</v>
      </c>
      <c r="G13" s="23">
        <f t="shared" si="4"/>
        <v>0</v>
      </c>
      <c r="H13" s="23">
        <f t="shared" si="5"/>
        <v>0</v>
      </c>
      <c r="I13" s="2" t="str">
        <f t="shared" si="6"/>
        <v>-</v>
      </c>
      <c r="J13" s="2" t="str">
        <f t="shared" si="7"/>
        <v>-</v>
      </c>
      <c r="K13" s="2" t="str">
        <f t="shared" si="8"/>
        <v>-</v>
      </c>
      <c r="L13" s="2" t="str">
        <f t="shared" si="9"/>
        <v>-</v>
      </c>
      <c r="M13" s="2" t="str">
        <f t="shared" si="10"/>
        <v>-</v>
      </c>
      <c r="N13" s="2" t="str">
        <f t="shared" si="11"/>
        <v>-</v>
      </c>
      <c r="O13" s="25">
        <f t="shared" si="12"/>
        <v>0</v>
      </c>
      <c r="P13" s="23">
        <f t="shared" si="13"/>
        <v>0</v>
      </c>
      <c r="Q13" s="23">
        <f t="shared" si="14"/>
        <v>0</v>
      </c>
      <c r="R13" s="2" t="str">
        <f t="shared" si="15"/>
        <v>-</v>
      </c>
      <c r="S13" s="2" t="str">
        <f t="shared" si="16"/>
        <v>-</v>
      </c>
      <c r="T13" s="2" t="str">
        <f t="shared" si="17"/>
        <v>-</v>
      </c>
      <c r="U13" s="2" t="str">
        <f t="shared" si="18"/>
        <v>-</v>
      </c>
      <c r="V13" s="2" t="str">
        <f t="shared" si="19"/>
        <v>-</v>
      </c>
      <c r="W13" s="2" t="str">
        <f t="shared" si="20"/>
        <v>-</v>
      </c>
      <c r="X13" s="25">
        <f t="shared" si="21"/>
        <v>0</v>
      </c>
      <c r="Y13" s="23">
        <f t="shared" si="22"/>
        <v>0</v>
      </c>
      <c r="Z13" s="23">
        <f t="shared" si="23"/>
        <v>0</v>
      </c>
      <c r="AA13" s="2" t="str">
        <f t="shared" si="24"/>
        <v>-</v>
      </c>
      <c r="AB13" s="2" t="str">
        <f t="shared" si="25"/>
        <v>-</v>
      </c>
      <c r="AC13" s="2" t="str">
        <f t="shared" si="26"/>
        <v>-</v>
      </c>
      <c r="AD13" s="2" t="str">
        <f t="shared" si="27"/>
        <v>-</v>
      </c>
      <c r="AE13" s="2" t="str">
        <f t="shared" si="28"/>
        <v>-</v>
      </c>
      <c r="AF13" s="2" t="str">
        <f t="shared" si="29"/>
        <v>-</v>
      </c>
    </row>
    <row r="14" ht="14.25" customHeight="1">
      <c r="A14" s="2"/>
      <c r="B14" s="29"/>
      <c r="C14" s="2"/>
      <c r="D14" s="2" t="str">
        <f t="shared" si="1"/>
        <v/>
      </c>
      <c r="E14" s="23">
        <f t="shared" si="2"/>
        <v>0</v>
      </c>
      <c r="F14" s="25">
        <f t="shared" si="3"/>
        <v>0</v>
      </c>
      <c r="G14" s="23">
        <f t="shared" si="4"/>
        <v>0</v>
      </c>
      <c r="H14" s="23">
        <f t="shared" si="5"/>
        <v>0</v>
      </c>
      <c r="I14" s="2" t="str">
        <f t="shared" si="6"/>
        <v>-</v>
      </c>
      <c r="J14" s="2" t="str">
        <f t="shared" si="7"/>
        <v>-</v>
      </c>
      <c r="K14" s="2" t="str">
        <f t="shared" si="8"/>
        <v>-</v>
      </c>
      <c r="L14" s="2" t="str">
        <f t="shared" si="9"/>
        <v>-</v>
      </c>
      <c r="M14" s="2" t="str">
        <f t="shared" si="10"/>
        <v>-</v>
      </c>
      <c r="N14" s="2" t="str">
        <f t="shared" si="11"/>
        <v>-</v>
      </c>
      <c r="O14" s="25">
        <f t="shared" si="12"/>
        <v>0</v>
      </c>
      <c r="P14" s="23">
        <f t="shared" si="13"/>
        <v>0</v>
      </c>
      <c r="Q14" s="23">
        <f t="shared" si="14"/>
        <v>0</v>
      </c>
      <c r="R14" s="2" t="str">
        <f t="shared" si="15"/>
        <v>-</v>
      </c>
      <c r="S14" s="2" t="str">
        <f t="shared" si="16"/>
        <v>-</v>
      </c>
      <c r="T14" s="2" t="str">
        <f t="shared" si="17"/>
        <v>-</v>
      </c>
      <c r="U14" s="2" t="str">
        <f t="shared" si="18"/>
        <v>-</v>
      </c>
      <c r="V14" s="2" t="str">
        <f t="shared" si="19"/>
        <v>-</v>
      </c>
      <c r="W14" s="2" t="str">
        <f t="shared" si="20"/>
        <v>-</v>
      </c>
      <c r="X14" s="25">
        <f t="shared" si="21"/>
        <v>0</v>
      </c>
      <c r="Y14" s="23">
        <f t="shared" si="22"/>
        <v>0</v>
      </c>
      <c r="Z14" s="23">
        <f t="shared" si="23"/>
        <v>0</v>
      </c>
      <c r="AA14" s="2" t="str">
        <f t="shared" si="24"/>
        <v>-</v>
      </c>
      <c r="AB14" s="2" t="str">
        <f t="shared" si="25"/>
        <v>-</v>
      </c>
      <c r="AC14" s="2" t="str">
        <f t="shared" si="26"/>
        <v>-</v>
      </c>
      <c r="AD14" s="2" t="str">
        <f t="shared" si="27"/>
        <v>-</v>
      </c>
      <c r="AE14" s="2" t="str">
        <f t="shared" si="28"/>
        <v>-</v>
      </c>
      <c r="AF14" s="2" t="str">
        <f t="shared" si="29"/>
        <v>-</v>
      </c>
    </row>
    <row r="15" ht="14.25" customHeight="1">
      <c r="A15" s="2"/>
      <c r="B15" s="23"/>
      <c r="C15" s="2"/>
      <c r="D15" s="2" t="str">
        <f t="shared" si="1"/>
        <v/>
      </c>
      <c r="E15" s="23">
        <f t="shared" si="2"/>
        <v>0</v>
      </c>
      <c r="F15" s="25">
        <f t="shared" si="3"/>
        <v>0</v>
      </c>
      <c r="G15" s="23">
        <f t="shared" si="4"/>
        <v>0</v>
      </c>
      <c r="H15" s="23">
        <f t="shared" si="5"/>
        <v>0</v>
      </c>
      <c r="I15" s="2" t="str">
        <f t="shared" si="6"/>
        <v>-</v>
      </c>
      <c r="J15" s="2" t="str">
        <f t="shared" si="7"/>
        <v>-</v>
      </c>
      <c r="K15" s="2" t="str">
        <f t="shared" si="8"/>
        <v>-</v>
      </c>
      <c r="L15" s="2" t="str">
        <f t="shared" si="9"/>
        <v>-</v>
      </c>
      <c r="M15" s="2" t="str">
        <f t="shared" si="10"/>
        <v>-</v>
      </c>
      <c r="N15" s="2" t="str">
        <f t="shared" si="11"/>
        <v>-</v>
      </c>
      <c r="O15" s="25">
        <f t="shared" si="12"/>
        <v>0</v>
      </c>
      <c r="P15" s="23">
        <f t="shared" si="13"/>
        <v>0</v>
      </c>
      <c r="Q15" s="23">
        <f t="shared" si="14"/>
        <v>0</v>
      </c>
      <c r="R15" s="2" t="str">
        <f t="shared" si="15"/>
        <v>-</v>
      </c>
      <c r="S15" s="2" t="str">
        <f t="shared" si="16"/>
        <v>-</v>
      </c>
      <c r="T15" s="2" t="str">
        <f t="shared" si="17"/>
        <v>-</v>
      </c>
      <c r="U15" s="2" t="str">
        <f t="shared" si="18"/>
        <v>-</v>
      </c>
      <c r="V15" s="2" t="str">
        <f t="shared" si="19"/>
        <v>-</v>
      </c>
      <c r="W15" s="2" t="str">
        <f t="shared" si="20"/>
        <v>-</v>
      </c>
      <c r="X15" s="25">
        <f t="shared" si="21"/>
        <v>0</v>
      </c>
      <c r="Y15" s="23">
        <f t="shared" si="22"/>
        <v>0</v>
      </c>
      <c r="Z15" s="23">
        <f t="shared" si="23"/>
        <v>0</v>
      </c>
      <c r="AA15" s="2" t="str">
        <f t="shared" si="24"/>
        <v>-</v>
      </c>
      <c r="AB15" s="2" t="str">
        <f t="shared" si="25"/>
        <v>-</v>
      </c>
      <c r="AC15" s="2" t="str">
        <f t="shared" si="26"/>
        <v>-</v>
      </c>
      <c r="AD15" s="2" t="str">
        <f t="shared" si="27"/>
        <v>-</v>
      </c>
      <c r="AE15" s="2" t="str">
        <f t="shared" si="28"/>
        <v>-</v>
      </c>
      <c r="AF15" s="2" t="str">
        <f t="shared" si="29"/>
        <v>-</v>
      </c>
    </row>
    <row r="16" ht="14.25" customHeight="1">
      <c r="A16" s="2"/>
      <c r="B16" s="23"/>
      <c r="C16" s="2"/>
      <c r="D16" s="2" t="str">
        <f t="shared" si="1"/>
        <v/>
      </c>
      <c r="E16" s="23">
        <f t="shared" si="2"/>
        <v>0</v>
      </c>
      <c r="F16" s="25">
        <f t="shared" si="3"/>
        <v>0</v>
      </c>
      <c r="G16" s="23">
        <f t="shared" si="4"/>
        <v>0</v>
      </c>
      <c r="H16" s="23">
        <f t="shared" si="5"/>
        <v>0</v>
      </c>
      <c r="I16" s="2" t="str">
        <f t="shared" si="6"/>
        <v>-</v>
      </c>
      <c r="J16" s="2" t="str">
        <f t="shared" si="7"/>
        <v>-</v>
      </c>
      <c r="K16" s="2" t="str">
        <f t="shared" si="8"/>
        <v>-</v>
      </c>
      <c r="L16" s="2" t="str">
        <f t="shared" si="9"/>
        <v>-</v>
      </c>
      <c r="M16" s="2" t="str">
        <f t="shared" si="10"/>
        <v>-</v>
      </c>
      <c r="N16" s="2" t="str">
        <f t="shared" si="11"/>
        <v>-</v>
      </c>
      <c r="O16" s="25">
        <f t="shared" si="12"/>
        <v>0</v>
      </c>
      <c r="P16" s="23">
        <f t="shared" si="13"/>
        <v>0</v>
      </c>
      <c r="Q16" s="23">
        <f t="shared" si="14"/>
        <v>0</v>
      </c>
      <c r="R16" s="2" t="str">
        <f t="shared" si="15"/>
        <v>-</v>
      </c>
      <c r="S16" s="2" t="str">
        <f t="shared" si="16"/>
        <v>-</v>
      </c>
      <c r="T16" s="2" t="str">
        <f t="shared" si="17"/>
        <v>-</v>
      </c>
      <c r="U16" s="2" t="str">
        <f t="shared" si="18"/>
        <v>-</v>
      </c>
      <c r="V16" s="2" t="str">
        <f t="shared" si="19"/>
        <v>-</v>
      </c>
      <c r="W16" s="2" t="str">
        <f t="shared" si="20"/>
        <v>-</v>
      </c>
      <c r="X16" s="25">
        <f t="shared" si="21"/>
        <v>0</v>
      </c>
      <c r="Y16" s="23">
        <f t="shared" si="22"/>
        <v>0</v>
      </c>
      <c r="Z16" s="23">
        <f t="shared" si="23"/>
        <v>0</v>
      </c>
      <c r="AA16" s="2" t="str">
        <f t="shared" si="24"/>
        <v>-</v>
      </c>
      <c r="AB16" s="2" t="str">
        <f t="shared" si="25"/>
        <v>-</v>
      </c>
      <c r="AC16" s="2" t="str">
        <f t="shared" si="26"/>
        <v>-</v>
      </c>
      <c r="AD16" s="2" t="str">
        <f t="shared" si="27"/>
        <v>-</v>
      </c>
      <c r="AE16" s="2" t="str">
        <f t="shared" si="28"/>
        <v>-</v>
      </c>
      <c r="AF16" s="2" t="str">
        <f t="shared" si="29"/>
        <v>-</v>
      </c>
    </row>
    <row r="17" ht="14.25" customHeight="1">
      <c r="A17" s="2"/>
      <c r="B17" s="23"/>
      <c r="C17" s="2"/>
      <c r="D17" s="2" t="str">
        <f t="shared" si="1"/>
        <v/>
      </c>
      <c r="E17" s="23">
        <f t="shared" si="2"/>
        <v>0</v>
      </c>
      <c r="F17" s="25">
        <f t="shared" si="3"/>
        <v>0</v>
      </c>
      <c r="G17" s="23">
        <f t="shared" si="4"/>
        <v>0</v>
      </c>
      <c r="H17" s="23">
        <f t="shared" si="5"/>
        <v>0</v>
      </c>
      <c r="I17" s="2" t="str">
        <f t="shared" si="6"/>
        <v>-</v>
      </c>
      <c r="J17" s="2" t="str">
        <f t="shared" si="7"/>
        <v>-</v>
      </c>
      <c r="K17" s="2" t="str">
        <f t="shared" si="8"/>
        <v>-</v>
      </c>
      <c r="L17" s="2" t="str">
        <f t="shared" si="9"/>
        <v>-</v>
      </c>
      <c r="M17" s="2" t="str">
        <f t="shared" si="10"/>
        <v>-</v>
      </c>
      <c r="N17" s="2" t="str">
        <f t="shared" si="11"/>
        <v>-</v>
      </c>
      <c r="O17" s="25">
        <f t="shared" si="12"/>
        <v>0</v>
      </c>
      <c r="P17" s="23">
        <f t="shared" si="13"/>
        <v>0</v>
      </c>
      <c r="Q17" s="23">
        <f t="shared" si="14"/>
        <v>0</v>
      </c>
      <c r="R17" s="2" t="str">
        <f t="shared" si="15"/>
        <v>-</v>
      </c>
      <c r="S17" s="2" t="str">
        <f t="shared" si="16"/>
        <v>-</v>
      </c>
      <c r="T17" s="2" t="str">
        <f t="shared" si="17"/>
        <v>-</v>
      </c>
      <c r="U17" s="2" t="str">
        <f t="shared" si="18"/>
        <v>-</v>
      </c>
      <c r="V17" s="2" t="str">
        <f t="shared" si="19"/>
        <v>-</v>
      </c>
      <c r="W17" s="2" t="str">
        <f t="shared" si="20"/>
        <v>-</v>
      </c>
      <c r="X17" s="25">
        <f t="shared" si="21"/>
        <v>0</v>
      </c>
      <c r="Y17" s="23">
        <f t="shared" si="22"/>
        <v>0</v>
      </c>
      <c r="Z17" s="23">
        <f t="shared" si="23"/>
        <v>0</v>
      </c>
      <c r="AA17" s="2" t="str">
        <f t="shared" si="24"/>
        <v>-</v>
      </c>
      <c r="AB17" s="2" t="str">
        <f t="shared" si="25"/>
        <v>-</v>
      </c>
      <c r="AC17" s="2" t="str">
        <f t="shared" si="26"/>
        <v>-</v>
      </c>
      <c r="AD17" s="2" t="str">
        <f t="shared" si="27"/>
        <v>-</v>
      </c>
      <c r="AE17" s="2" t="str">
        <f t="shared" si="28"/>
        <v>-</v>
      </c>
      <c r="AF17" s="2" t="str">
        <f t="shared" si="29"/>
        <v>-</v>
      </c>
    </row>
    <row r="18" ht="14.25" customHeight="1">
      <c r="A18" s="2"/>
      <c r="B18" s="23"/>
      <c r="C18" s="2"/>
      <c r="D18" s="2" t="str">
        <f t="shared" si="1"/>
        <v/>
      </c>
      <c r="E18" s="23">
        <f t="shared" si="2"/>
        <v>0</v>
      </c>
      <c r="F18" s="25">
        <f t="shared" si="3"/>
        <v>0</v>
      </c>
      <c r="G18" s="23">
        <f t="shared" si="4"/>
        <v>0</v>
      </c>
      <c r="H18" s="23">
        <f t="shared" si="5"/>
        <v>0</v>
      </c>
      <c r="I18" s="2" t="str">
        <f t="shared" si="6"/>
        <v>-</v>
      </c>
      <c r="J18" s="2" t="str">
        <f t="shared" si="7"/>
        <v>-</v>
      </c>
      <c r="K18" s="2" t="str">
        <f t="shared" si="8"/>
        <v>-</v>
      </c>
      <c r="L18" s="2" t="str">
        <f t="shared" si="9"/>
        <v>-</v>
      </c>
      <c r="M18" s="2" t="str">
        <f t="shared" si="10"/>
        <v>-</v>
      </c>
      <c r="N18" s="2" t="str">
        <f t="shared" si="11"/>
        <v>-</v>
      </c>
      <c r="O18" s="25">
        <f t="shared" si="12"/>
        <v>0</v>
      </c>
      <c r="P18" s="23">
        <f t="shared" si="13"/>
        <v>0</v>
      </c>
      <c r="Q18" s="23">
        <f t="shared" si="14"/>
        <v>0</v>
      </c>
      <c r="R18" s="2" t="str">
        <f t="shared" si="15"/>
        <v>-</v>
      </c>
      <c r="S18" s="2" t="str">
        <f t="shared" si="16"/>
        <v>-</v>
      </c>
      <c r="T18" s="2" t="str">
        <f t="shared" si="17"/>
        <v>-</v>
      </c>
      <c r="U18" s="2" t="str">
        <f t="shared" si="18"/>
        <v>-</v>
      </c>
      <c r="V18" s="2" t="str">
        <f t="shared" si="19"/>
        <v>-</v>
      </c>
      <c r="W18" s="2" t="str">
        <f t="shared" si="20"/>
        <v>-</v>
      </c>
      <c r="X18" s="25">
        <f t="shared" si="21"/>
        <v>0</v>
      </c>
      <c r="Y18" s="23">
        <f t="shared" si="22"/>
        <v>0</v>
      </c>
      <c r="Z18" s="23">
        <f t="shared" si="23"/>
        <v>0</v>
      </c>
      <c r="AA18" s="2" t="str">
        <f t="shared" si="24"/>
        <v>-</v>
      </c>
      <c r="AB18" s="2" t="str">
        <f t="shared" si="25"/>
        <v>-</v>
      </c>
      <c r="AC18" s="2" t="str">
        <f t="shared" si="26"/>
        <v>-</v>
      </c>
      <c r="AD18" s="2" t="str">
        <f t="shared" si="27"/>
        <v>-</v>
      </c>
      <c r="AE18" s="2" t="str">
        <f t="shared" si="28"/>
        <v>-</v>
      </c>
      <c r="AF18" s="2" t="str">
        <f t="shared" si="29"/>
        <v>-</v>
      </c>
    </row>
    <row r="19" ht="14.25" customHeight="1">
      <c r="A19" s="2"/>
      <c r="B19" s="23"/>
      <c r="C19" s="2"/>
      <c r="D19" s="2" t="str">
        <f t="shared" si="1"/>
        <v/>
      </c>
      <c r="E19" s="23">
        <f t="shared" si="2"/>
        <v>0</v>
      </c>
      <c r="F19" s="25">
        <f t="shared" si="3"/>
        <v>0</v>
      </c>
      <c r="G19" s="23">
        <f t="shared" si="4"/>
        <v>0</v>
      </c>
      <c r="H19" s="23">
        <f t="shared" si="5"/>
        <v>0</v>
      </c>
      <c r="I19" s="2" t="str">
        <f t="shared" si="6"/>
        <v>-</v>
      </c>
      <c r="J19" s="2" t="str">
        <f t="shared" si="7"/>
        <v>-</v>
      </c>
      <c r="K19" s="2" t="str">
        <f t="shared" si="8"/>
        <v>-</v>
      </c>
      <c r="L19" s="2" t="str">
        <f t="shared" si="9"/>
        <v>-</v>
      </c>
      <c r="M19" s="2" t="str">
        <f t="shared" si="10"/>
        <v>-</v>
      </c>
      <c r="N19" s="2" t="str">
        <f t="shared" si="11"/>
        <v>-</v>
      </c>
      <c r="O19" s="25">
        <f t="shared" si="12"/>
        <v>0</v>
      </c>
      <c r="P19" s="23">
        <f t="shared" si="13"/>
        <v>0</v>
      </c>
      <c r="Q19" s="23">
        <f t="shared" si="14"/>
        <v>0</v>
      </c>
      <c r="R19" s="2" t="str">
        <f t="shared" si="15"/>
        <v>-</v>
      </c>
      <c r="S19" s="2" t="str">
        <f t="shared" si="16"/>
        <v>-</v>
      </c>
      <c r="T19" s="2" t="str">
        <f t="shared" si="17"/>
        <v>-</v>
      </c>
      <c r="U19" s="2" t="str">
        <f t="shared" si="18"/>
        <v>-</v>
      </c>
      <c r="V19" s="2" t="str">
        <f t="shared" si="19"/>
        <v>-</v>
      </c>
      <c r="W19" s="2" t="str">
        <f t="shared" si="20"/>
        <v>-</v>
      </c>
      <c r="X19" s="25">
        <f t="shared" si="21"/>
        <v>0</v>
      </c>
      <c r="Y19" s="23">
        <f t="shared" si="22"/>
        <v>0</v>
      </c>
      <c r="Z19" s="23">
        <f t="shared" si="23"/>
        <v>0</v>
      </c>
      <c r="AA19" s="2" t="str">
        <f t="shared" si="24"/>
        <v>-</v>
      </c>
      <c r="AB19" s="2" t="str">
        <f t="shared" si="25"/>
        <v>-</v>
      </c>
      <c r="AC19" s="2" t="str">
        <f t="shared" si="26"/>
        <v>-</v>
      </c>
      <c r="AD19" s="2" t="str">
        <f t="shared" si="27"/>
        <v>-</v>
      </c>
      <c r="AE19" s="2" t="str">
        <f t="shared" si="28"/>
        <v>-</v>
      </c>
      <c r="AF19" s="2" t="str">
        <f t="shared" si="29"/>
        <v>-</v>
      </c>
    </row>
    <row r="20" ht="14.25" customHeight="1">
      <c r="A20" s="2"/>
      <c r="B20" s="23"/>
      <c r="C20" s="2"/>
      <c r="D20" s="2" t="str">
        <f t="shared" si="1"/>
        <v/>
      </c>
      <c r="E20" s="23">
        <f t="shared" si="2"/>
        <v>0</v>
      </c>
      <c r="F20" s="25">
        <f t="shared" si="3"/>
        <v>0</v>
      </c>
      <c r="G20" s="23">
        <f t="shared" si="4"/>
        <v>0</v>
      </c>
      <c r="H20" s="23">
        <f t="shared" si="5"/>
        <v>0</v>
      </c>
      <c r="I20" s="2" t="str">
        <f t="shared" si="6"/>
        <v>-</v>
      </c>
      <c r="J20" s="2" t="str">
        <f t="shared" si="7"/>
        <v>-</v>
      </c>
      <c r="K20" s="2" t="str">
        <f t="shared" si="8"/>
        <v>-</v>
      </c>
      <c r="L20" s="2" t="str">
        <f t="shared" si="9"/>
        <v>-</v>
      </c>
      <c r="M20" s="2" t="str">
        <f t="shared" si="10"/>
        <v>-</v>
      </c>
      <c r="N20" s="2" t="str">
        <f t="shared" si="11"/>
        <v>-</v>
      </c>
      <c r="O20" s="25">
        <f t="shared" si="12"/>
        <v>0</v>
      </c>
      <c r="P20" s="23">
        <f t="shared" si="13"/>
        <v>0</v>
      </c>
      <c r="Q20" s="23">
        <f t="shared" si="14"/>
        <v>0</v>
      </c>
      <c r="R20" s="2" t="str">
        <f t="shared" si="15"/>
        <v>-</v>
      </c>
      <c r="S20" s="2" t="str">
        <f t="shared" si="16"/>
        <v>-</v>
      </c>
      <c r="T20" s="2" t="str">
        <f t="shared" si="17"/>
        <v>-</v>
      </c>
      <c r="U20" s="2" t="str">
        <f t="shared" si="18"/>
        <v>-</v>
      </c>
      <c r="V20" s="2" t="str">
        <f t="shared" si="19"/>
        <v>-</v>
      </c>
      <c r="W20" s="2" t="str">
        <f t="shared" si="20"/>
        <v>-</v>
      </c>
      <c r="X20" s="25">
        <f t="shared" si="21"/>
        <v>0</v>
      </c>
      <c r="Y20" s="23">
        <f t="shared" si="22"/>
        <v>0</v>
      </c>
      <c r="Z20" s="23">
        <f t="shared" si="23"/>
        <v>0</v>
      </c>
      <c r="AA20" s="2" t="str">
        <f t="shared" si="24"/>
        <v>-</v>
      </c>
      <c r="AB20" s="2" t="str">
        <f t="shared" si="25"/>
        <v>-</v>
      </c>
      <c r="AC20" s="2" t="str">
        <f t="shared" si="26"/>
        <v>-</v>
      </c>
      <c r="AD20" s="2" t="str">
        <f t="shared" si="27"/>
        <v>-</v>
      </c>
      <c r="AE20" s="2" t="str">
        <f t="shared" si="28"/>
        <v>-</v>
      </c>
      <c r="AF20" s="2" t="str">
        <f t="shared" si="29"/>
        <v>-</v>
      </c>
    </row>
    <row r="21" ht="14.25" customHeight="1">
      <c r="A21" s="2"/>
      <c r="B21" s="23"/>
      <c r="C21" s="2"/>
      <c r="D21" s="2" t="str">
        <f t="shared" si="1"/>
        <v/>
      </c>
      <c r="E21" s="23">
        <f t="shared" si="2"/>
        <v>0</v>
      </c>
      <c r="F21" s="25">
        <f t="shared" si="3"/>
        <v>0</v>
      </c>
      <c r="G21" s="23">
        <f t="shared" si="4"/>
        <v>0</v>
      </c>
      <c r="H21" s="23">
        <f t="shared" si="5"/>
        <v>0</v>
      </c>
      <c r="I21" s="2" t="str">
        <f t="shared" si="6"/>
        <v>-</v>
      </c>
      <c r="J21" s="2" t="str">
        <f t="shared" si="7"/>
        <v>-</v>
      </c>
      <c r="K21" s="2" t="str">
        <f t="shared" si="8"/>
        <v>-</v>
      </c>
      <c r="L21" s="2" t="str">
        <f t="shared" si="9"/>
        <v>-</v>
      </c>
      <c r="M21" s="2" t="str">
        <f t="shared" si="10"/>
        <v>-</v>
      </c>
      <c r="N21" s="2" t="str">
        <f t="shared" si="11"/>
        <v>-</v>
      </c>
      <c r="O21" s="25">
        <f t="shared" si="12"/>
        <v>0</v>
      </c>
      <c r="P21" s="23">
        <f t="shared" si="13"/>
        <v>0</v>
      </c>
      <c r="Q21" s="23">
        <f t="shared" si="14"/>
        <v>0</v>
      </c>
      <c r="R21" s="2" t="str">
        <f t="shared" si="15"/>
        <v>-</v>
      </c>
      <c r="S21" s="2" t="str">
        <f t="shared" si="16"/>
        <v>-</v>
      </c>
      <c r="T21" s="2" t="str">
        <f t="shared" si="17"/>
        <v>-</v>
      </c>
      <c r="U21" s="2" t="str">
        <f t="shared" si="18"/>
        <v>-</v>
      </c>
      <c r="V21" s="2" t="str">
        <f t="shared" si="19"/>
        <v>-</v>
      </c>
      <c r="W21" s="2" t="str">
        <f t="shared" si="20"/>
        <v>-</v>
      </c>
      <c r="X21" s="25">
        <f t="shared" si="21"/>
        <v>0</v>
      </c>
      <c r="Y21" s="23">
        <f t="shared" si="22"/>
        <v>0</v>
      </c>
      <c r="Z21" s="23">
        <f t="shared" si="23"/>
        <v>0</v>
      </c>
      <c r="AA21" s="2" t="str">
        <f t="shared" si="24"/>
        <v>-</v>
      </c>
      <c r="AB21" s="2" t="str">
        <f t="shared" si="25"/>
        <v>-</v>
      </c>
      <c r="AC21" s="2" t="str">
        <f t="shared" si="26"/>
        <v>-</v>
      </c>
      <c r="AD21" s="2" t="str">
        <f t="shared" si="27"/>
        <v>-</v>
      </c>
      <c r="AE21" s="2" t="str">
        <f t="shared" si="28"/>
        <v>-</v>
      </c>
      <c r="AF21" s="2" t="str">
        <f t="shared" si="29"/>
        <v>-</v>
      </c>
    </row>
    <row r="22" ht="14.25" customHeight="1">
      <c r="A22" s="2"/>
      <c r="B22" s="23"/>
      <c r="C22" s="2"/>
      <c r="D22" s="2" t="str">
        <f t="shared" si="1"/>
        <v/>
      </c>
      <c r="E22" s="23">
        <f t="shared" si="2"/>
        <v>0</v>
      </c>
      <c r="F22" s="25">
        <f t="shared" si="3"/>
        <v>0</v>
      </c>
      <c r="G22" s="23">
        <f t="shared" si="4"/>
        <v>0</v>
      </c>
      <c r="H22" s="23">
        <f t="shared" si="5"/>
        <v>0</v>
      </c>
      <c r="I22" s="2" t="str">
        <f t="shared" si="6"/>
        <v>-</v>
      </c>
      <c r="J22" s="2" t="str">
        <f t="shared" si="7"/>
        <v>-</v>
      </c>
      <c r="K22" s="2" t="str">
        <f t="shared" si="8"/>
        <v>-</v>
      </c>
      <c r="L22" s="2" t="str">
        <f t="shared" si="9"/>
        <v>-</v>
      </c>
      <c r="M22" s="2" t="str">
        <f t="shared" si="10"/>
        <v>-</v>
      </c>
      <c r="N22" s="2" t="str">
        <f t="shared" si="11"/>
        <v>-</v>
      </c>
      <c r="O22" s="25">
        <f t="shared" si="12"/>
        <v>0</v>
      </c>
      <c r="P22" s="23">
        <f t="shared" si="13"/>
        <v>0</v>
      </c>
      <c r="Q22" s="23">
        <f t="shared" si="14"/>
        <v>0</v>
      </c>
      <c r="R22" s="2" t="str">
        <f t="shared" si="15"/>
        <v>-</v>
      </c>
      <c r="S22" s="2" t="str">
        <f t="shared" si="16"/>
        <v>-</v>
      </c>
      <c r="T22" s="2" t="str">
        <f t="shared" si="17"/>
        <v>-</v>
      </c>
      <c r="U22" s="2" t="str">
        <f t="shared" si="18"/>
        <v>-</v>
      </c>
      <c r="V22" s="2" t="str">
        <f t="shared" si="19"/>
        <v>-</v>
      </c>
      <c r="W22" s="2" t="str">
        <f t="shared" si="20"/>
        <v>-</v>
      </c>
      <c r="X22" s="25">
        <f t="shared" si="21"/>
        <v>0</v>
      </c>
      <c r="Y22" s="23">
        <f t="shared" si="22"/>
        <v>0</v>
      </c>
      <c r="Z22" s="23">
        <f t="shared" si="23"/>
        <v>0</v>
      </c>
      <c r="AA22" s="2" t="str">
        <f t="shared" si="24"/>
        <v>-</v>
      </c>
      <c r="AB22" s="2" t="str">
        <f t="shared" si="25"/>
        <v>-</v>
      </c>
      <c r="AC22" s="2" t="str">
        <f t="shared" si="26"/>
        <v>-</v>
      </c>
      <c r="AD22" s="2" t="str">
        <f t="shared" si="27"/>
        <v>-</v>
      </c>
      <c r="AE22" s="2" t="str">
        <f t="shared" si="28"/>
        <v>-</v>
      </c>
      <c r="AF22" s="2" t="str">
        <f t="shared" si="29"/>
        <v>-</v>
      </c>
    </row>
    <row r="23" ht="14.25" customHeight="1">
      <c r="A23" s="2"/>
      <c r="B23" s="23"/>
      <c r="C23" s="2"/>
      <c r="D23" s="2" t="str">
        <f t="shared" si="1"/>
        <v/>
      </c>
      <c r="E23" s="23">
        <f t="shared" si="2"/>
        <v>0</v>
      </c>
      <c r="F23" s="25">
        <f t="shared" si="3"/>
        <v>0</v>
      </c>
      <c r="G23" s="23">
        <f t="shared" si="4"/>
        <v>0</v>
      </c>
      <c r="H23" s="23">
        <f t="shared" si="5"/>
        <v>0</v>
      </c>
      <c r="I23" s="2" t="str">
        <f t="shared" si="6"/>
        <v>-</v>
      </c>
      <c r="J23" s="2" t="str">
        <f t="shared" si="7"/>
        <v>-</v>
      </c>
      <c r="K23" s="2" t="str">
        <f t="shared" si="8"/>
        <v>-</v>
      </c>
      <c r="L23" s="2" t="str">
        <f t="shared" si="9"/>
        <v>-</v>
      </c>
      <c r="M23" s="2" t="str">
        <f t="shared" si="10"/>
        <v>-</v>
      </c>
      <c r="N23" s="2" t="str">
        <f t="shared" si="11"/>
        <v>-</v>
      </c>
      <c r="O23" s="25">
        <f t="shared" si="12"/>
        <v>0</v>
      </c>
      <c r="P23" s="23">
        <f t="shared" si="13"/>
        <v>0</v>
      </c>
      <c r="Q23" s="23">
        <f t="shared" si="14"/>
        <v>0</v>
      </c>
      <c r="R23" s="2" t="str">
        <f t="shared" si="15"/>
        <v>-</v>
      </c>
      <c r="S23" s="2" t="str">
        <f t="shared" si="16"/>
        <v>-</v>
      </c>
      <c r="T23" s="2" t="str">
        <f t="shared" si="17"/>
        <v>-</v>
      </c>
      <c r="U23" s="2" t="str">
        <f t="shared" si="18"/>
        <v>-</v>
      </c>
      <c r="V23" s="2" t="str">
        <f t="shared" si="19"/>
        <v>-</v>
      </c>
      <c r="W23" s="2" t="str">
        <f t="shared" si="20"/>
        <v>-</v>
      </c>
      <c r="X23" s="25">
        <f t="shared" si="21"/>
        <v>0</v>
      </c>
      <c r="Y23" s="23">
        <f t="shared" si="22"/>
        <v>0</v>
      </c>
      <c r="Z23" s="23">
        <f t="shared" si="23"/>
        <v>0</v>
      </c>
      <c r="AA23" s="2" t="str">
        <f t="shared" si="24"/>
        <v>-</v>
      </c>
      <c r="AB23" s="2" t="str">
        <f t="shared" si="25"/>
        <v>-</v>
      </c>
      <c r="AC23" s="2" t="str">
        <f t="shared" si="26"/>
        <v>-</v>
      </c>
      <c r="AD23" s="2" t="str">
        <f t="shared" si="27"/>
        <v>-</v>
      </c>
      <c r="AE23" s="2" t="str">
        <f t="shared" si="28"/>
        <v>-</v>
      </c>
      <c r="AF23" s="2" t="str">
        <f t="shared" si="29"/>
        <v>-</v>
      </c>
    </row>
    <row r="24" ht="14.25" customHeight="1">
      <c r="A24" s="2"/>
      <c r="B24" s="23"/>
      <c r="C24" s="2"/>
      <c r="D24" s="2" t="str">
        <f t="shared" si="1"/>
        <v/>
      </c>
      <c r="E24" s="23">
        <f t="shared" si="2"/>
        <v>0</v>
      </c>
      <c r="F24" s="25">
        <f t="shared" si="3"/>
        <v>0</v>
      </c>
      <c r="G24" s="23">
        <f t="shared" si="4"/>
        <v>0</v>
      </c>
      <c r="H24" s="23">
        <f t="shared" si="5"/>
        <v>0</v>
      </c>
      <c r="I24" s="2" t="str">
        <f t="shared" si="6"/>
        <v>-</v>
      </c>
      <c r="J24" s="2" t="str">
        <f t="shared" si="7"/>
        <v>-</v>
      </c>
      <c r="K24" s="2" t="str">
        <f t="shared" si="8"/>
        <v>-</v>
      </c>
      <c r="L24" s="2" t="str">
        <f t="shared" si="9"/>
        <v>-</v>
      </c>
      <c r="M24" s="2" t="str">
        <f t="shared" si="10"/>
        <v>-</v>
      </c>
      <c r="N24" s="2" t="str">
        <f t="shared" si="11"/>
        <v>-</v>
      </c>
      <c r="O24" s="25">
        <f t="shared" si="12"/>
        <v>0</v>
      </c>
      <c r="P24" s="23">
        <f t="shared" si="13"/>
        <v>0</v>
      </c>
      <c r="Q24" s="23">
        <f t="shared" si="14"/>
        <v>0</v>
      </c>
      <c r="R24" s="2" t="str">
        <f t="shared" si="15"/>
        <v>-</v>
      </c>
      <c r="S24" s="2" t="str">
        <f t="shared" si="16"/>
        <v>-</v>
      </c>
      <c r="T24" s="2" t="str">
        <f t="shared" si="17"/>
        <v>-</v>
      </c>
      <c r="U24" s="2" t="str">
        <f t="shared" si="18"/>
        <v>-</v>
      </c>
      <c r="V24" s="2" t="str">
        <f t="shared" si="19"/>
        <v>-</v>
      </c>
      <c r="W24" s="2" t="str">
        <f t="shared" si="20"/>
        <v>-</v>
      </c>
      <c r="X24" s="25">
        <f t="shared" si="21"/>
        <v>0</v>
      </c>
      <c r="Y24" s="23">
        <f t="shared" si="22"/>
        <v>0</v>
      </c>
      <c r="Z24" s="23">
        <f t="shared" si="23"/>
        <v>0</v>
      </c>
      <c r="AA24" s="2" t="str">
        <f t="shared" si="24"/>
        <v>-</v>
      </c>
      <c r="AB24" s="2" t="str">
        <f t="shared" si="25"/>
        <v>-</v>
      </c>
      <c r="AC24" s="2" t="str">
        <f t="shared" si="26"/>
        <v>-</v>
      </c>
      <c r="AD24" s="2" t="str">
        <f t="shared" si="27"/>
        <v>-</v>
      </c>
      <c r="AE24" s="2" t="str">
        <f t="shared" si="28"/>
        <v>-</v>
      </c>
      <c r="AF24" s="2" t="str">
        <f t="shared" si="29"/>
        <v>-</v>
      </c>
    </row>
    <row r="25" ht="14.25" customHeight="1">
      <c r="A25" s="2"/>
      <c r="B25" s="23"/>
      <c r="C25" s="2"/>
      <c r="D25" s="2" t="str">
        <f t="shared" si="1"/>
        <v/>
      </c>
      <c r="E25" s="23">
        <f t="shared" si="2"/>
        <v>0</v>
      </c>
      <c r="F25" s="25">
        <f t="shared" si="3"/>
        <v>0</v>
      </c>
      <c r="G25" s="23">
        <f t="shared" si="4"/>
        <v>0</v>
      </c>
      <c r="H25" s="23">
        <f t="shared" si="5"/>
        <v>0</v>
      </c>
      <c r="I25" s="2" t="str">
        <f t="shared" si="6"/>
        <v>-</v>
      </c>
      <c r="J25" s="2" t="str">
        <f t="shared" si="7"/>
        <v>-</v>
      </c>
      <c r="K25" s="2" t="str">
        <f t="shared" si="8"/>
        <v>-</v>
      </c>
      <c r="L25" s="2" t="str">
        <f t="shared" si="9"/>
        <v>-</v>
      </c>
      <c r="M25" s="2" t="str">
        <f t="shared" si="10"/>
        <v>-</v>
      </c>
      <c r="N25" s="2" t="str">
        <f t="shared" si="11"/>
        <v>-</v>
      </c>
      <c r="O25" s="25">
        <f t="shared" si="12"/>
        <v>0</v>
      </c>
      <c r="P25" s="23">
        <f t="shared" si="13"/>
        <v>0</v>
      </c>
      <c r="Q25" s="23">
        <f t="shared" si="14"/>
        <v>0</v>
      </c>
      <c r="R25" s="2" t="str">
        <f t="shared" si="15"/>
        <v>-</v>
      </c>
      <c r="S25" s="2" t="str">
        <f t="shared" si="16"/>
        <v>-</v>
      </c>
      <c r="T25" s="2" t="str">
        <f t="shared" si="17"/>
        <v>-</v>
      </c>
      <c r="U25" s="2" t="str">
        <f t="shared" si="18"/>
        <v>-</v>
      </c>
      <c r="V25" s="2" t="str">
        <f t="shared" si="19"/>
        <v>-</v>
      </c>
      <c r="W25" s="2" t="str">
        <f t="shared" si="20"/>
        <v>-</v>
      </c>
      <c r="X25" s="25">
        <f t="shared" si="21"/>
        <v>0</v>
      </c>
      <c r="Y25" s="23">
        <f t="shared" si="22"/>
        <v>0</v>
      </c>
      <c r="Z25" s="23">
        <f t="shared" si="23"/>
        <v>0</v>
      </c>
      <c r="AA25" s="2" t="str">
        <f t="shared" si="24"/>
        <v>-</v>
      </c>
      <c r="AB25" s="2" t="str">
        <f t="shared" si="25"/>
        <v>-</v>
      </c>
      <c r="AC25" s="2" t="str">
        <f t="shared" si="26"/>
        <v>-</v>
      </c>
      <c r="AD25" s="2" t="str">
        <f t="shared" si="27"/>
        <v>-</v>
      </c>
      <c r="AE25" s="2" t="str">
        <f t="shared" si="28"/>
        <v>-</v>
      </c>
      <c r="AF25" s="2" t="str">
        <f t="shared" si="29"/>
        <v>-</v>
      </c>
    </row>
    <row r="26" ht="14.25" customHeight="1">
      <c r="A26" s="2"/>
      <c r="B26" s="23"/>
      <c r="C26" s="2"/>
      <c r="D26" s="2" t="str">
        <f t="shared" si="1"/>
        <v/>
      </c>
      <c r="E26" s="23">
        <f t="shared" si="2"/>
        <v>0</v>
      </c>
      <c r="F26" s="25">
        <f t="shared" si="3"/>
        <v>0</v>
      </c>
      <c r="G26" s="23">
        <f t="shared" si="4"/>
        <v>0</v>
      </c>
      <c r="H26" s="23">
        <f t="shared" si="5"/>
        <v>0</v>
      </c>
      <c r="I26" s="2" t="str">
        <f t="shared" si="6"/>
        <v>-</v>
      </c>
      <c r="J26" s="2" t="str">
        <f t="shared" si="7"/>
        <v>-</v>
      </c>
      <c r="K26" s="2" t="str">
        <f t="shared" si="8"/>
        <v>-</v>
      </c>
      <c r="L26" s="2" t="str">
        <f t="shared" si="9"/>
        <v>-</v>
      </c>
      <c r="M26" s="2" t="str">
        <f t="shared" si="10"/>
        <v>-</v>
      </c>
      <c r="N26" s="2" t="str">
        <f t="shared" si="11"/>
        <v>-</v>
      </c>
      <c r="O26" s="25">
        <f t="shared" si="12"/>
        <v>0</v>
      </c>
      <c r="P26" s="23">
        <f t="shared" si="13"/>
        <v>0</v>
      </c>
      <c r="Q26" s="23">
        <f t="shared" si="14"/>
        <v>0</v>
      </c>
      <c r="R26" s="2" t="str">
        <f t="shared" si="15"/>
        <v>-</v>
      </c>
      <c r="S26" s="2" t="str">
        <f t="shared" si="16"/>
        <v>-</v>
      </c>
      <c r="T26" s="2" t="str">
        <f t="shared" si="17"/>
        <v>-</v>
      </c>
      <c r="U26" s="2" t="str">
        <f t="shared" si="18"/>
        <v>-</v>
      </c>
      <c r="V26" s="2" t="str">
        <f t="shared" si="19"/>
        <v>-</v>
      </c>
      <c r="W26" s="2" t="str">
        <f t="shared" si="20"/>
        <v>-</v>
      </c>
      <c r="X26" s="25">
        <f t="shared" si="21"/>
        <v>0</v>
      </c>
      <c r="Y26" s="23">
        <f t="shared" si="22"/>
        <v>0</v>
      </c>
      <c r="Z26" s="23">
        <f t="shared" si="23"/>
        <v>0</v>
      </c>
      <c r="AA26" s="2" t="str">
        <f t="shared" si="24"/>
        <v>-</v>
      </c>
      <c r="AB26" s="2" t="str">
        <f t="shared" si="25"/>
        <v>-</v>
      </c>
      <c r="AC26" s="2" t="str">
        <f t="shared" si="26"/>
        <v>-</v>
      </c>
      <c r="AD26" s="2" t="str">
        <f t="shared" si="27"/>
        <v>-</v>
      </c>
      <c r="AE26" s="2" t="str">
        <f t="shared" si="28"/>
        <v>-</v>
      </c>
      <c r="AF26" s="2" t="str">
        <f t="shared" si="29"/>
        <v>-</v>
      </c>
    </row>
    <row r="27" ht="14.25" customHeight="1">
      <c r="A27" s="2"/>
      <c r="B27" s="23"/>
      <c r="C27" s="2"/>
      <c r="D27" s="2" t="str">
        <f t="shared" si="1"/>
        <v/>
      </c>
      <c r="E27" s="23">
        <f t="shared" si="2"/>
        <v>0</v>
      </c>
      <c r="F27" s="25">
        <f t="shared" si="3"/>
        <v>0</v>
      </c>
      <c r="G27" s="23">
        <f t="shared" si="4"/>
        <v>0</v>
      </c>
      <c r="H27" s="23">
        <f t="shared" si="5"/>
        <v>0</v>
      </c>
      <c r="I27" s="2" t="str">
        <f t="shared" si="6"/>
        <v>-</v>
      </c>
      <c r="J27" s="2" t="str">
        <f t="shared" si="7"/>
        <v>-</v>
      </c>
      <c r="K27" s="2" t="str">
        <f t="shared" si="8"/>
        <v>-</v>
      </c>
      <c r="L27" s="2" t="str">
        <f t="shared" si="9"/>
        <v>-</v>
      </c>
      <c r="M27" s="2" t="str">
        <f t="shared" si="10"/>
        <v>-</v>
      </c>
      <c r="N27" s="2" t="str">
        <f t="shared" si="11"/>
        <v>-</v>
      </c>
      <c r="O27" s="25">
        <f t="shared" si="12"/>
        <v>0</v>
      </c>
      <c r="P27" s="23">
        <f t="shared" si="13"/>
        <v>0</v>
      </c>
      <c r="Q27" s="23">
        <f t="shared" si="14"/>
        <v>0</v>
      </c>
      <c r="R27" s="2" t="str">
        <f t="shared" si="15"/>
        <v>-</v>
      </c>
      <c r="S27" s="2" t="str">
        <f t="shared" si="16"/>
        <v>-</v>
      </c>
      <c r="T27" s="2" t="str">
        <f t="shared" si="17"/>
        <v>-</v>
      </c>
      <c r="U27" s="2" t="str">
        <f t="shared" si="18"/>
        <v>-</v>
      </c>
      <c r="V27" s="2" t="str">
        <f t="shared" si="19"/>
        <v>-</v>
      </c>
      <c r="W27" s="2" t="str">
        <f t="shared" si="20"/>
        <v>-</v>
      </c>
      <c r="X27" s="25">
        <f t="shared" si="21"/>
        <v>0</v>
      </c>
      <c r="Y27" s="23">
        <f t="shared" si="22"/>
        <v>0</v>
      </c>
      <c r="Z27" s="23">
        <f t="shared" si="23"/>
        <v>0</v>
      </c>
      <c r="AA27" s="2" t="str">
        <f t="shared" si="24"/>
        <v>-</v>
      </c>
      <c r="AB27" s="2" t="str">
        <f t="shared" si="25"/>
        <v>-</v>
      </c>
      <c r="AC27" s="2" t="str">
        <f t="shared" si="26"/>
        <v>-</v>
      </c>
      <c r="AD27" s="2" t="str">
        <f t="shared" si="27"/>
        <v>-</v>
      </c>
      <c r="AE27" s="2" t="str">
        <f t="shared" si="28"/>
        <v>-</v>
      </c>
      <c r="AF27" s="2" t="str">
        <f t="shared" si="29"/>
        <v>-</v>
      </c>
    </row>
    <row r="28" ht="14.25" customHeight="1">
      <c r="A28" s="2"/>
      <c r="B28" s="29"/>
      <c r="C28" s="2"/>
      <c r="D28" s="2" t="str">
        <f t="shared" si="1"/>
        <v/>
      </c>
      <c r="E28" s="29">
        <f t="shared" si="2"/>
        <v>0</v>
      </c>
      <c r="F28" s="25">
        <f t="shared" si="3"/>
        <v>0</v>
      </c>
      <c r="G28" s="29">
        <f t="shared" si="4"/>
        <v>0</v>
      </c>
      <c r="H28" s="29">
        <f t="shared" si="5"/>
        <v>0</v>
      </c>
      <c r="I28" s="2" t="str">
        <f t="shared" si="6"/>
        <v>-</v>
      </c>
      <c r="J28" s="2" t="str">
        <f t="shared" si="7"/>
        <v>-</v>
      </c>
      <c r="K28" s="2" t="str">
        <f t="shared" si="8"/>
        <v>-</v>
      </c>
      <c r="L28" s="2" t="str">
        <f t="shared" si="9"/>
        <v>-</v>
      </c>
      <c r="M28" s="2" t="str">
        <f t="shared" si="10"/>
        <v>-</v>
      </c>
      <c r="N28" s="2" t="str">
        <f t="shared" si="11"/>
        <v>-</v>
      </c>
      <c r="O28" s="25">
        <f t="shared" si="12"/>
        <v>0</v>
      </c>
      <c r="P28" s="29">
        <f t="shared" si="13"/>
        <v>0</v>
      </c>
      <c r="Q28" s="29">
        <f t="shared" si="14"/>
        <v>0</v>
      </c>
      <c r="R28" s="2" t="str">
        <f t="shared" si="15"/>
        <v>-</v>
      </c>
      <c r="S28" s="2" t="str">
        <f t="shared" si="16"/>
        <v>-</v>
      </c>
      <c r="T28" s="2" t="str">
        <f t="shared" si="17"/>
        <v>-</v>
      </c>
      <c r="U28" s="2" t="str">
        <f t="shared" si="18"/>
        <v>-</v>
      </c>
      <c r="V28" s="2" t="str">
        <f t="shared" si="19"/>
        <v>-</v>
      </c>
      <c r="W28" s="2" t="str">
        <f t="shared" si="20"/>
        <v>-</v>
      </c>
      <c r="X28" s="25">
        <f t="shared" si="21"/>
        <v>0</v>
      </c>
      <c r="Y28" s="29">
        <f t="shared" si="22"/>
        <v>0</v>
      </c>
      <c r="Z28" s="29">
        <f t="shared" si="23"/>
        <v>0</v>
      </c>
      <c r="AA28" s="2" t="str">
        <f t="shared" si="24"/>
        <v>-</v>
      </c>
      <c r="AB28" s="2" t="str">
        <f t="shared" si="25"/>
        <v>-</v>
      </c>
      <c r="AC28" s="2" t="str">
        <f t="shared" si="26"/>
        <v>-</v>
      </c>
      <c r="AD28" s="2" t="str">
        <f t="shared" si="27"/>
        <v>-</v>
      </c>
      <c r="AE28" s="2" t="str">
        <f t="shared" si="28"/>
        <v>-</v>
      </c>
      <c r="AF28" s="2" t="str">
        <f t="shared" si="29"/>
        <v>-</v>
      </c>
    </row>
    <row r="29" ht="14.25" customHeight="1">
      <c r="A29" s="2"/>
      <c r="B29" s="29"/>
      <c r="C29" s="2"/>
      <c r="D29" s="2" t="str">
        <f t="shared" si="1"/>
        <v/>
      </c>
      <c r="E29" s="29">
        <f t="shared" si="2"/>
        <v>0</v>
      </c>
      <c r="F29" s="25">
        <f t="shared" si="3"/>
        <v>0</v>
      </c>
      <c r="G29" s="29">
        <f t="shared" si="4"/>
        <v>0</v>
      </c>
      <c r="H29" s="29">
        <f t="shared" si="5"/>
        <v>0</v>
      </c>
      <c r="I29" s="2" t="str">
        <f t="shared" si="6"/>
        <v>-</v>
      </c>
      <c r="J29" s="2" t="str">
        <f t="shared" si="7"/>
        <v>-</v>
      </c>
      <c r="K29" s="2" t="str">
        <f t="shared" si="8"/>
        <v>-</v>
      </c>
      <c r="L29" s="2" t="str">
        <f t="shared" si="9"/>
        <v>-</v>
      </c>
      <c r="M29" s="2" t="str">
        <f t="shared" si="10"/>
        <v>-</v>
      </c>
      <c r="N29" s="2" t="str">
        <f t="shared" si="11"/>
        <v>-</v>
      </c>
      <c r="O29" s="25">
        <f t="shared" si="12"/>
        <v>0</v>
      </c>
      <c r="P29" s="29">
        <f t="shared" si="13"/>
        <v>0</v>
      </c>
      <c r="Q29" s="29">
        <f t="shared" si="14"/>
        <v>0</v>
      </c>
      <c r="R29" s="2" t="str">
        <f t="shared" si="15"/>
        <v>-</v>
      </c>
      <c r="S29" s="2" t="str">
        <f t="shared" si="16"/>
        <v>-</v>
      </c>
      <c r="T29" s="2" t="str">
        <f t="shared" si="17"/>
        <v>-</v>
      </c>
      <c r="U29" s="2" t="str">
        <f t="shared" si="18"/>
        <v>-</v>
      </c>
      <c r="V29" s="2" t="str">
        <f t="shared" si="19"/>
        <v>-</v>
      </c>
      <c r="W29" s="2" t="str">
        <f t="shared" si="20"/>
        <v>-</v>
      </c>
      <c r="X29" s="25">
        <f t="shared" si="21"/>
        <v>0</v>
      </c>
      <c r="Y29" s="29">
        <f t="shared" si="22"/>
        <v>0</v>
      </c>
      <c r="Z29" s="29">
        <f t="shared" si="23"/>
        <v>0</v>
      </c>
      <c r="AA29" s="2" t="str">
        <f t="shared" si="24"/>
        <v>-</v>
      </c>
      <c r="AB29" s="2" t="str">
        <f t="shared" si="25"/>
        <v>-</v>
      </c>
      <c r="AC29" s="2" t="str">
        <f t="shared" si="26"/>
        <v>-</v>
      </c>
      <c r="AD29" s="2" t="str">
        <f t="shared" si="27"/>
        <v>-</v>
      </c>
      <c r="AE29" s="2" t="str">
        <f t="shared" si="28"/>
        <v>-</v>
      </c>
      <c r="AF29" s="2" t="str">
        <f t="shared" si="29"/>
        <v>-</v>
      </c>
    </row>
    <row r="30" ht="14.25" customHeight="1">
      <c r="A30" s="2"/>
      <c r="B30" s="29"/>
      <c r="C30" s="2"/>
      <c r="D30" s="2" t="str">
        <f t="shared" si="1"/>
        <v/>
      </c>
      <c r="E30" s="29">
        <f t="shared" si="2"/>
        <v>0</v>
      </c>
      <c r="F30" s="25">
        <f t="shared" si="3"/>
        <v>0</v>
      </c>
      <c r="G30" s="29">
        <f t="shared" si="4"/>
        <v>0</v>
      </c>
      <c r="H30" s="29">
        <f t="shared" si="5"/>
        <v>0</v>
      </c>
      <c r="I30" s="2" t="str">
        <f t="shared" si="6"/>
        <v>-</v>
      </c>
      <c r="J30" s="2" t="str">
        <f t="shared" si="7"/>
        <v>-</v>
      </c>
      <c r="K30" s="2" t="str">
        <f t="shared" si="8"/>
        <v>-</v>
      </c>
      <c r="L30" s="2" t="str">
        <f t="shared" si="9"/>
        <v>-</v>
      </c>
      <c r="M30" s="2" t="str">
        <f t="shared" si="10"/>
        <v>-</v>
      </c>
      <c r="N30" s="2" t="str">
        <f t="shared" si="11"/>
        <v>-</v>
      </c>
      <c r="O30" s="25">
        <f t="shared" si="12"/>
        <v>0</v>
      </c>
      <c r="P30" s="29">
        <f t="shared" si="13"/>
        <v>0</v>
      </c>
      <c r="Q30" s="29">
        <f t="shared" si="14"/>
        <v>0</v>
      </c>
      <c r="R30" s="2" t="str">
        <f t="shared" si="15"/>
        <v>-</v>
      </c>
      <c r="S30" s="2" t="str">
        <f t="shared" si="16"/>
        <v>-</v>
      </c>
      <c r="T30" s="2" t="str">
        <f t="shared" si="17"/>
        <v>-</v>
      </c>
      <c r="U30" s="2" t="str">
        <f t="shared" si="18"/>
        <v>-</v>
      </c>
      <c r="V30" s="2" t="str">
        <f t="shared" si="19"/>
        <v>-</v>
      </c>
      <c r="W30" s="2" t="str">
        <f t="shared" si="20"/>
        <v>-</v>
      </c>
      <c r="X30" s="25">
        <f t="shared" si="21"/>
        <v>0</v>
      </c>
      <c r="Y30" s="29">
        <f t="shared" si="22"/>
        <v>0</v>
      </c>
      <c r="Z30" s="29">
        <f t="shared" si="23"/>
        <v>0</v>
      </c>
      <c r="AA30" s="2" t="str">
        <f t="shared" si="24"/>
        <v>-</v>
      </c>
      <c r="AB30" s="2" t="str">
        <f t="shared" si="25"/>
        <v>-</v>
      </c>
      <c r="AC30" s="2" t="str">
        <f t="shared" si="26"/>
        <v>-</v>
      </c>
      <c r="AD30" s="2" t="str">
        <f t="shared" si="27"/>
        <v>-</v>
      </c>
      <c r="AE30" s="2" t="str">
        <f t="shared" si="28"/>
        <v>-</v>
      </c>
      <c r="AF30" s="2" t="str">
        <f t="shared" si="29"/>
        <v>-</v>
      </c>
    </row>
    <row r="31" ht="14.25" customHeight="1">
      <c r="A31" s="2"/>
      <c r="B31" s="29"/>
      <c r="C31" s="2"/>
      <c r="D31" s="2" t="str">
        <f t="shared" si="1"/>
        <v/>
      </c>
      <c r="E31" s="29">
        <f t="shared" si="2"/>
        <v>0</v>
      </c>
      <c r="F31" s="25">
        <f t="shared" si="3"/>
        <v>0</v>
      </c>
      <c r="G31" s="29">
        <f t="shared" si="4"/>
        <v>0</v>
      </c>
      <c r="H31" s="29">
        <f t="shared" si="5"/>
        <v>0</v>
      </c>
      <c r="I31" s="2" t="str">
        <f t="shared" si="6"/>
        <v>-</v>
      </c>
      <c r="J31" s="2" t="str">
        <f t="shared" si="7"/>
        <v>-</v>
      </c>
      <c r="K31" s="2" t="str">
        <f t="shared" si="8"/>
        <v>-</v>
      </c>
      <c r="L31" s="2" t="str">
        <f t="shared" si="9"/>
        <v>-</v>
      </c>
      <c r="M31" s="2" t="str">
        <f t="shared" si="10"/>
        <v>-</v>
      </c>
      <c r="N31" s="2" t="str">
        <f t="shared" si="11"/>
        <v>-</v>
      </c>
      <c r="O31" s="25">
        <f t="shared" si="12"/>
        <v>0</v>
      </c>
      <c r="P31" s="29">
        <f t="shared" si="13"/>
        <v>0</v>
      </c>
      <c r="Q31" s="29">
        <f t="shared" si="14"/>
        <v>0</v>
      </c>
      <c r="R31" s="2" t="str">
        <f t="shared" si="15"/>
        <v>-</v>
      </c>
      <c r="S31" s="2" t="str">
        <f t="shared" si="16"/>
        <v>-</v>
      </c>
      <c r="T31" s="2" t="str">
        <f t="shared" si="17"/>
        <v>-</v>
      </c>
      <c r="U31" s="2" t="str">
        <f t="shared" si="18"/>
        <v>-</v>
      </c>
      <c r="V31" s="2" t="str">
        <f t="shared" si="19"/>
        <v>-</v>
      </c>
      <c r="W31" s="2" t="str">
        <f t="shared" si="20"/>
        <v>-</v>
      </c>
      <c r="X31" s="25">
        <f t="shared" si="21"/>
        <v>0</v>
      </c>
      <c r="Y31" s="29">
        <f t="shared" si="22"/>
        <v>0</v>
      </c>
      <c r="Z31" s="29">
        <f t="shared" si="23"/>
        <v>0</v>
      </c>
      <c r="AA31" s="2" t="str">
        <f t="shared" si="24"/>
        <v>-</v>
      </c>
      <c r="AB31" s="2" t="str">
        <f t="shared" si="25"/>
        <v>-</v>
      </c>
      <c r="AC31" s="2" t="str">
        <f t="shared" si="26"/>
        <v>-</v>
      </c>
      <c r="AD31" s="2" t="str">
        <f t="shared" si="27"/>
        <v>-</v>
      </c>
      <c r="AE31" s="2" t="str">
        <f t="shared" si="28"/>
        <v>-</v>
      </c>
      <c r="AF31" s="2" t="str">
        <f t="shared" si="29"/>
        <v>-</v>
      </c>
    </row>
    <row r="32" ht="14.25" customHeight="1">
      <c r="A32" s="2"/>
      <c r="B32" s="29"/>
      <c r="C32" s="2"/>
      <c r="D32" s="2" t="str">
        <f t="shared" si="1"/>
        <v/>
      </c>
      <c r="E32" s="29">
        <f t="shared" si="2"/>
        <v>0</v>
      </c>
      <c r="F32" s="25">
        <f t="shared" si="3"/>
        <v>0</v>
      </c>
      <c r="G32" s="29">
        <f t="shared" si="4"/>
        <v>0</v>
      </c>
      <c r="H32" s="29">
        <f t="shared" si="5"/>
        <v>0</v>
      </c>
      <c r="I32" s="2" t="str">
        <f t="shared" si="6"/>
        <v>-</v>
      </c>
      <c r="J32" s="2" t="str">
        <f t="shared" si="7"/>
        <v>-</v>
      </c>
      <c r="K32" s="2" t="str">
        <f t="shared" si="8"/>
        <v>-</v>
      </c>
      <c r="L32" s="2" t="str">
        <f t="shared" si="9"/>
        <v>-</v>
      </c>
      <c r="M32" s="2" t="str">
        <f t="shared" si="10"/>
        <v>-</v>
      </c>
      <c r="N32" s="2" t="str">
        <f t="shared" si="11"/>
        <v>-</v>
      </c>
      <c r="O32" s="25">
        <f t="shared" si="12"/>
        <v>0</v>
      </c>
      <c r="P32" s="29">
        <f t="shared" si="13"/>
        <v>0</v>
      </c>
      <c r="Q32" s="29">
        <f t="shared" si="14"/>
        <v>0</v>
      </c>
      <c r="R32" s="2" t="str">
        <f t="shared" si="15"/>
        <v>-</v>
      </c>
      <c r="S32" s="2" t="str">
        <f t="shared" si="16"/>
        <v>-</v>
      </c>
      <c r="T32" s="2" t="str">
        <f t="shared" si="17"/>
        <v>-</v>
      </c>
      <c r="U32" s="2" t="str">
        <f t="shared" si="18"/>
        <v>-</v>
      </c>
      <c r="V32" s="2" t="str">
        <f t="shared" si="19"/>
        <v>-</v>
      </c>
      <c r="W32" s="2" t="str">
        <f t="shared" si="20"/>
        <v>-</v>
      </c>
      <c r="X32" s="25">
        <f t="shared" si="21"/>
        <v>0</v>
      </c>
      <c r="Y32" s="29">
        <f t="shared" si="22"/>
        <v>0</v>
      </c>
      <c r="Z32" s="29">
        <f t="shared" si="23"/>
        <v>0</v>
      </c>
      <c r="AA32" s="2" t="str">
        <f t="shared" si="24"/>
        <v>-</v>
      </c>
      <c r="AB32" s="2" t="str">
        <f t="shared" si="25"/>
        <v>-</v>
      </c>
      <c r="AC32" s="2" t="str">
        <f t="shared" si="26"/>
        <v>-</v>
      </c>
      <c r="AD32" s="2" t="str">
        <f t="shared" si="27"/>
        <v>-</v>
      </c>
      <c r="AE32" s="2" t="str">
        <f t="shared" si="28"/>
        <v>-</v>
      </c>
      <c r="AF32" s="2" t="str">
        <f t="shared" si="29"/>
        <v>-</v>
      </c>
    </row>
    <row r="33" ht="14.25" customHeight="1">
      <c r="A33" s="2"/>
      <c r="B33" s="29"/>
      <c r="C33" s="2"/>
      <c r="D33" s="2" t="str">
        <f t="shared" si="1"/>
        <v/>
      </c>
      <c r="E33" s="29">
        <f t="shared" si="2"/>
        <v>0</v>
      </c>
      <c r="F33" s="25">
        <f t="shared" si="3"/>
        <v>0</v>
      </c>
      <c r="G33" s="29">
        <f t="shared" si="4"/>
        <v>0</v>
      </c>
      <c r="H33" s="29">
        <f t="shared" si="5"/>
        <v>0</v>
      </c>
      <c r="I33" s="2" t="str">
        <f t="shared" si="6"/>
        <v>-</v>
      </c>
      <c r="J33" s="2" t="str">
        <f t="shared" si="7"/>
        <v>-</v>
      </c>
      <c r="K33" s="2" t="str">
        <f t="shared" si="8"/>
        <v>-</v>
      </c>
      <c r="L33" s="2" t="str">
        <f t="shared" si="9"/>
        <v>-</v>
      </c>
      <c r="M33" s="2" t="str">
        <f t="shared" si="10"/>
        <v>-</v>
      </c>
      <c r="N33" s="2" t="str">
        <f t="shared" si="11"/>
        <v>-</v>
      </c>
      <c r="O33" s="25">
        <f t="shared" si="12"/>
        <v>0</v>
      </c>
      <c r="P33" s="29">
        <f t="shared" si="13"/>
        <v>0</v>
      </c>
      <c r="Q33" s="29">
        <f t="shared" si="14"/>
        <v>0</v>
      </c>
      <c r="R33" s="2" t="str">
        <f t="shared" si="15"/>
        <v>-</v>
      </c>
      <c r="S33" s="2" t="str">
        <f t="shared" si="16"/>
        <v>-</v>
      </c>
      <c r="T33" s="2" t="str">
        <f t="shared" si="17"/>
        <v>-</v>
      </c>
      <c r="U33" s="2" t="str">
        <f t="shared" si="18"/>
        <v>-</v>
      </c>
      <c r="V33" s="2" t="str">
        <f t="shared" si="19"/>
        <v>-</v>
      </c>
      <c r="W33" s="2" t="str">
        <f t="shared" si="20"/>
        <v>-</v>
      </c>
      <c r="X33" s="25">
        <f t="shared" si="21"/>
        <v>0</v>
      </c>
      <c r="Y33" s="29">
        <f t="shared" si="22"/>
        <v>0</v>
      </c>
      <c r="Z33" s="29">
        <f t="shared" si="23"/>
        <v>0</v>
      </c>
      <c r="AA33" s="2" t="str">
        <f t="shared" si="24"/>
        <v>-</v>
      </c>
      <c r="AB33" s="2" t="str">
        <f t="shared" si="25"/>
        <v>-</v>
      </c>
      <c r="AC33" s="2" t="str">
        <f t="shared" si="26"/>
        <v>-</v>
      </c>
      <c r="AD33" s="2" t="str">
        <f t="shared" si="27"/>
        <v>-</v>
      </c>
      <c r="AE33" s="2" t="str">
        <f t="shared" si="28"/>
        <v>-</v>
      </c>
      <c r="AF33" s="2" t="str">
        <f t="shared" si="29"/>
        <v>-</v>
      </c>
    </row>
    <row r="34" ht="14.25" customHeight="1">
      <c r="A34" s="2"/>
      <c r="B34" s="29"/>
      <c r="C34" s="2"/>
      <c r="D34" s="2" t="str">
        <f t="shared" si="1"/>
        <v/>
      </c>
      <c r="E34" s="29">
        <f t="shared" si="2"/>
        <v>0</v>
      </c>
      <c r="F34" s="25">
        <f t="shared" si="3"/>
        <v>0</v>
      </c>
      <c r="G34" s="29">
        <f t="shared" si="4"/>
        <v>0</v>
      </c>
      <c r="H34" s="29">
        <f t="shared" si="5"/>
        <v>0</v>
      </c>
      <c r="I34" s="2" t="str">
        <f t="shared" si="6"/>
        <v>-</v>
      </c>
      <c r="J34" s="2" t="str">
        <f t="shared" si="7"/>
        <v>-</v>
      </c>
      <c r="K34" s="2" t="str">
        <f t="shared" si="8"/>
        <v>-</v>
      </c>
      <c r="L34" s="2" t="str">
        <f t="shared" si="9"/>
        <v>-</v>
      </c>
      <c r="M34" s="2" t="str">
        <f t="shared" si="10"/>
        <v>-</v>
      </c>
      <c r="N34" s="2" t="str">
        <f t="shared" si="11"/>
        <v>-</v>
      </c>
      <c r="O34" s="25">
        <f t="shared" si="12"/>
        <v>0</v>
      </c>
      <c r="P34" s="29">
        <f t="shared" si="13"/>
        <v>0</v>
      </c>
      <c r="Q34" s="29">
        <f t="shared" si="14"/>
        <v>0</v>
      </c>
      <c r="R34" s="2" t="str">
        <f t="shared" si="15"/>
        <v>-</v>
      </c>
      <c r="S34" s="2" t="str">
        <f t="shared" si="16"/>
        <v>-</v>
      </c>
      <c r="T34" s="2" t="str">
        <f t="shared" si="17"/>
        <v>-</v>
      </c>
      <c r="U34" s="2" t="str">
        <f t="shared" si="18"/>
        <v>-</v>
      </c>
      <c r="V34" s="2" t="str">
        <f t="shared" si="19"/>
        <v>-</v>
      </c>
      <c r="W34" s="2" t="str">
        <f t="shared" si="20"/>
        <v>-</v>
      </c>
      <c r="X34" s="25">
        <f t="shared" si="21"/>
        <v>0</v>
      </c>
      <c r="Y34" s="29">
        <f t="shared" si="22"/>
        <v>0</v>
      </c>
      <c r="Z34" s="29">
        <f t="shared" si="23"/>
        <v>0</v>
      </c>
      <c r="AA34" s="2" t="str">
        <f t="shared" si="24"/>
        <v>-</v>
      </c>
      <c r="AB34" s="2" t="str">
        <f t="shared" si="25"/>
        <v>-</v>
      </c>
      <c r="AC34" s="2" t="str">
        <f t="shared" si="26"/>
        <v>-</v>
      </c>
      <c r="AD34" s="2" t="str">
        <f t="shared" si="27"/>
        <v>-</v>
      </c>
      <c r="AE34" s="2" t="str">
        <f t="shared" si="28"/>
        <v>-</v>
      </c>
      <c r="AF34" s="2" t="str">
        <f t="shared" si="29"/>
        <v>-</v>
      </c>
    </row>
    <row r="35" ht="14.25" customHeight="1">
      <c r="A35" s="2"/>
      <c r="B35" s="29"/>
      <c r="C35" s="2"/>
      <c r="D35" s="2" t="str">
        <f t="shared" si="1"/>
        <v/>
      </c>
      <c r="E35" s="29">
        <f t="shared" si="2"/>
        <v>0</v>
      </c>
      <c r="F35" s="25">
        <f t="shared" si="3"/>
        <v>0</v>
      </c>
      <c r="G35" s="29">
        <f t="shared" si="4"/>
        <v>0</v>
      </c>
      <c r="H35" s="29">
        <f t="shared" si="5"/>
        <v>0</v>
      </c>
      <c r="I35" s="2" t="str">
        <f t="shared" si="6"/>
        <v>-</v>
      </c>
      <c r="J35" s="2" t="str">
        <f t="shared" si="7"/>
        <v>-</v>
      </c>
      <c r="K35" s="2" t="str">
        <f t="shared" si="8"/>
        <v>-</v>
      </c>
      <c r="L35" s="2" t="str">
        <f t="shared" si="9"/>
        <v>-</v>
      </c>
      <c r="M35" s="2" t="str">
        <f t="shared" si="10"/>
        <v>-</v>
      </c>
      <c r="N35" s="2" t="str">
        <f t="shared" si="11"/>
        <v>-</v>
      </c>
      <c r="O35" s="25">
        <f t="shared" si="12"/>
        <v>0</v>
      </c>
      <c r="P35" s="29">
        <f t="shared" si="13"/>
        <v>0</v>
      </c>
      <c r="Q35" s="29">
        <f t="shared" si="14"/>
        <v>0</v>
      </c>
      <c r="R35" s="2" t="str">
        <f t="shared" si="15"/>
        <v>-</v>
      </c>
      <c r="S35" s="2" t="str">
        <f t="shared" si="16"/>
        <v>-</v>
      </c>
      <c r="T35" s="2" t="str">
        <f t="shared" si="17"/>
        <v>-</v>
      </c>
      <c r="U35" s="2" t="str">
        <f t="shared" si="18"/>
        <v>-</v>
      </c>
      <c r="V35" s="2" t="str">
        <f t="shared" si="19"/>
        <v>-</v>
      </c>
      <c r="W35" s="2" t="str">
        <f t="shared" si="20"/>
        <v>-</v>
      </c>
      <c r="X35" s="25">
        <f t="shared" si="21"/>
        <v>0</v>
      </c>
      <c r="Y35" s="29">
        <f t="shared" si="22"/>
        <v>0</v>
      </c>
      <c r="Z35" s="29">
        <f t="shared" si="23"/>
        <v>0</v>
      </c>
      <c r="AA35" s="2" t="str">
        <f t="shared" si="24"/>
        <v>-</v>
      </c>
      <c r="AB35" s="2" t="str">
        <f t="shared" si="25"/>
        <v>-</v>
      </c>
      <c r="AC35" s="2" t="str">
        <f t="shared" si="26"/>
        <v>-</v>
      </c>
      <c r="AD35" s="2" t="str">
        <f t="shared" si="27"/>
        <v>-</v>
      </c>
      <c r="AE35" s="2" t="str">
        <f t="shared" si="28"/>
        <v>-</v>
      </c>
      <c r="AF35" s="2" t="str">
        <f t="shared" si="29"/>
        <v>-</v>
      </c>
    </row>
    <row r="36" ht="14.25" customHeight="1">
      <c r="A36" s="2"/>
      <c r="B36" s="29"/>
      <c r="C36" s="2"/>
      <c r="D36" s="2" t="str">
        <f t="shared" si="1"/>
        <v/>
      </c>
      <c r="E36" s="29">
        <f t="shared" si="2"/>
        <v>0</v>
      </c>
      <c r="F36" s="25">
        <f t="shared" si="3"/>
        <v>0</v>
      </c>
      <c r="G36" s="29">
        <f t="shared" si="4"/>
        <v>0</v>
      </c>
      <c r="H36" s="29">
        <f t="shared" si="5"/>
        <v>0</v>
      </c>
      <c r="I36" s="2" t="str">
        <f t="shared" si="6"/>
        <v>-</v>
      </c>
      <c r="J36" s="2" t="str">
        <f t="shared" si="7"/>
        <v>-</v>
      </c>
      <c r="K36" s="2" t="str">
        <f t="shared" si="8"/>
        <v>-</v>
      </c>
      <c r="L36" s="2" t="str">
        <f t="shared" si="9"/>
        <v>-</v>
      </c>
      <c r="M36" s="2" t="str">
        <f t="shared" si="10"/>
        <v>-</v>
      </c>
      <c r="N36" s="2" t="str">
        <f t="shared" si="11"/>
        <v>-</v>
      </c>
      <c r="O36" s="25">
        <f t="shared" si="12"/>
        <v>0</v>
      </c>
      <c r="P36" s="29">
        <f t="shared" si="13"/>
        <v>0</v>
      </c>
      <c r="Q36" s="29">
        <f t="shared" si="14"/>
        <v>0</v>
      </c>
      <c r="R36" s="2" t="str">
        <f t="shared" si="15"/>
        <v>-</v>
      </c>
      <c r="S36" s="2" t="str">
        <f t="shared" si="16"/>
        <v>-</v>
      </c>
      <c r="T36" s="2" t="str">
        <f t="shared" si="17"/>
        <v>-</v>
      </c>
      <c r="U36" s="2" t="str">
        <f t="shared" si="18"/>
        <v>-</v>
      </c>
      <c r="V36" s="2" t="str">
        <f t="shared" si="19"/>
        <v>-</v>
      </c>
      <c r="W36" s="2" t="str">
        <f t="shared" si="20"/>
        <v>-</v>
      </c>
      <c r="X36" s="25">
        <f t="shared" si="21"/>
        <v>0</v>
      </c>
      <c r="Y36" s="29">
        <f t="shared" si="22"/>
        <v>0</v>
      </c>
      <c r="Z36" s="29">
        <f t="shared" si="23"/>
        <v>0</v>
      </c>
      <c r="AA36" s="2" t="str">
        <f t="shared" si="24"/>
        <v>-</v>
      </c>
      <c r="AB36" s="2" t="str">
        <f t="shared" si="25"/>
        <v>-</v>
      </c>
      <c r="AC36" s="2" t="str">
        <f t="shared" si="26"/>
        <v>-</v>
      </c>
      <c r="AD36" s="2" t="str">
        <f t="shared" si="27"/>
        <v>-</v>
      </c>
      <c r="AE36" s="2" t="str">
        <f t="shared" si="28"/>
        <v>-</v>
      </c>
      <c r="AF36" s="2" t="str">
        <f t="shared" si="29"/>
        <v>-</v>
      </c>
    </row>
    <row r="37" ht="14.25" customHeight="1">
      <c r="A37" s="2"/>
      <c r="B37" s="29"/>
      <c r="C37" s="2"/>
      <c r="D37" s="2" t="str">
        <f t="shared" si="1"/>
        <v/>
      </c>
      <c r="E37" s="29">
        <f t="shared" si="2"/>
        <v>0</v>
      </c>
      <c r="F37" s="25">
        <f t="shared" si="3"/>
        <v>0</v>
      </c>
      <c r="G37" s="29">
        <f t="shared" si="4"/>
        <v>0</v>
      </c>
      <c r="H37" s="29">
        <f t="shared" si="5"/>
        <v>0</v>
      </c>
      <c r="I37" s="2" t="str">
        <f t="shared" si="6"/>
        <v>-</v>
      </c>
      <c r="J37" s="2" t="str">
        <f t="shared" si="7"/>
        <v>-</v>
      </c>
      <c r="K37" s="2" t="str">
        <f t="shared" si="8"/>
        <v>-</v>
      </c>
      <c r="L37" s="2" t="str">
        <f t="shared" si="9"/>
        <v>-</v>
      </c>
      <c r="M37" s="2" t="str">
        <f t="shared" si="10"/>
        <v>-</v>
      </c>
      <c r="N37" s="2" t="str">
        <f t="shared" si="11"/>
        <v>-</v>
      </c>
      <c r="O37" s="25">
        <f t="shared" si="12"/>
        <v>0</v>
      </c>
      <c r="P37" s="29">
        <f t="shared" si="13"/>
        <v>0</v>
      </c>
      <c r="Q37" s="29">
        <f t="shared" si="14"/>
        <v>0</v>
      </c>
      <c r="R37" s="2" t="str">
        <f t="shared" si="15"/>
        <v>-</v>
      </c>
      <c r="S37" s="2" t="str">
        <f t="shared" si="16"/>
        <v>-</v>
      </c>
      <c r="T37" s="2" t="str">
        <f t="shared" si="17"/>
        <v>-</v>
      </c>
      <c r="U37" s="2" t="str">
        <f t="shared" si="18"/>
        <v>-</v>
      </c>
      <c r="V37" s="2" t="str">
        <f t="shared" si="19"/>
        <v>-</v>
      </c>
      <c r="W37" s="2" t="str">
        <f t="shared" si="20"/>
        <v>-</v>
      </c>
      <c r="X37" s="25">
        <f t="shared" si="21"/>
        <v>0</v>
      </c>
      <c r="Y37" s="29">
        <f t="shared" si="22"/>
        <v>0</v>
      </c>
      <c r="Z37" s="29">
        <f t="shared" si="23"/>
        <v>0</v>
      </c>
      <c r="AA37" s="2" t="str">
        <f t="shared" si="24"/>
        <v>-</v>
      </c>
      <c r="AB37" s="2" t="str">
        <f t="shared" si="25"/>
        <v>-</v>
      </c>
      <c r="AC37" s="2" t="str">
        <f t="shared" si="26"/>
        <v>-</v>
      </c>
      <c r="AD37" s="2" t="str">
        <f t="shared" si="27"/>
        <v>-</v>
      </c>
      <c r="AE37" s="2" t="str">
        <f t="shared" si="28"/>
        <v>-</v>
      </c>
      <c r="AF37" s="2" t="str">
        <f t="shared" si="29"/>
        <v>-</v>
      </c>
    </row>
    <row r="38" ht="14.25" customHeight="1">
      <c r="A38" s="2"/>
      <c r="B38" s="29"/>
      <c r="C38" s="2"/>
      <c r="D38" s="2" t="str">
        <f t="shared" si="1"/>
        <v/>
      </c>
      <c r="E38" s="29">
        <f t="shared" si="2"/>
        <v>0</v>
      </c>
      <c r="F38" s="25">
        <f t="shared" si="3"/>
        <v>0</v>
      </c>
      <c r="G38" s="29">
        <f t="shared" si="4"/>
        <v>0</v>
      </c>
      <c r="H38" s="29">
        <f t="shared" si="5"/>
        <v>0</v>
      </c>
      <c r="I38" s="2" t="str">
        <f t="shared" si="6"/>
        <v>-</v>
      </c>
      <c r="J38" s="2" t="str">
        <f t="shared" si="7"/>
        <v>-</v>
      </c>
      <c r="K38" s="2" t="str">
        <f t="shared" si="8"/>
        <v>-</v>
      </c>
      <c r="L38" s="2" t="str">
        <f t="shared" si="9"/>
        <v>-</v>
      </c>
      <c r="M38" s="2" t="str">
        <f t="shared" si="10"/>
        <v>-</v>
      </c>
      <c r="N38" s="2" t="str">
        <f t="shared" si="11"/>
        <v>-</v>
      </c>
      <c r="O38" s="25">
        <f t="shared" si="12"/>
        <v>0</v>
      </c>
      <c r="P38" s="29">
        <f t="shared" si="13"/>
        <v>0</v>
      </c>
      <c r="Q38" s="29">
        <f t="shared" si="14"/>
        <v>0</v>
      </c>
      <c r="R38" s="2" t="str">
        <f t="shared" si="15"/>
        <v>-</v>
      </c>
      <c r="S38" s="2" t="str">
        <f t="shared" si="16"/>
        <v>-</v>
      </c>
      <c r="T38" s="2" t="str">
        <f t="shared" si="17"/>
        <v>-</v>
      </c>
      <c r="U38" s="2" t="str">
        <f t="shared" si="18"/>
        <v>-</v>
      </c>
      <c r="V38" s="2" t="str">
        <f t="shared" si="19"/>
        <v>-</v>
      </c>
      <c r="W38" s="2" t="str">
        <f t="shared" si="20"/>
        <v>-</v>
      </c>
      <c r="X38" s="25">
        <f t="shared" si="21"/>
        <v>0</v>
      </c>
      <c r="Y38" s="29">
        <f t="shared" si="22"/>
        <v>0</v>
      </c>
      <c r="Z38" s="29">
        <f t="shared" si="23"/>
        <v>0</v>
      </c>
      <c r="AA38" s="2" t="str">
        <f t="shared" si="24"/>
        <v>-</v>
      </c>
      <c r="AB38" s="2" t="str">
        <f t="shared" si="25"/>
        <v>-</v>
      </c>
      <c r="AC38" s="2" t="str">
        <f t="shared" si="26"/>
        <v>-</v>
      </c>
      <c r="AD38" s="2" t="str">
        <f t="shared" si="27"/>
        <v>-</v>
      </c>
      <c r="AE38" s="2" t="str">
        <f t="shared" si="28"/>
        <v>-</v>
      </c>
      <c r="AF38" s="2" t="str">
        <f t="shared" si="29"/>
        <v>-</v>
      </c>
    </row>
    <row r="39" ht="14.25" customHeight="1">
      <c r="A39" s="2"/>
      <c r="B39" s="29"/>
      <c r="C39" s="2"/>
      <c r="D39" s="2" t="str">
        <f t="shared" si="1"/>
        <v/>
      </c>
      <c r="E39" s="29">
        <f t="shared" si="2"/>
        <v>0</v>
      </c>
      <c r="F39" s="25">
        <f t="shared" si="3"/>
        <v>0</v>
      </c>
      <c r="G39" s="29">
        <f t="shared" si="4"/>
        <v>0</v>
      </c>
      <c r="H39" s="29">
        <f t="shared" si="5"/>
        <v>0</v>
      </c>
      <c r="I39" s="2" t="str">
        <f t="shared" si="6"/>
        <v>-</v>
      </c>
      <c r="J39" s="2" t="str">
        <f t="shared" si="7"/>
        <v>-</v>
      </c>
      <c r="K39" s="2" t="str">
        <f t="shared" si="8"/>
        <v>-</v>
      </c>
      <c r="L39" s="2" t="str">
        <f t="shared" si="9"/>
        <v>-</v>
      </c>
      <c r="M39" s="2" t="str">
        <f t="shared" si="10"/>
        <v>-</v>
      </c>
      <c r="N39" s="2" t="str">
        <f t="shared" si="11"/>
        <v>-</v>
      </c>
      <c r="O39" s="25">
        <f t="shared" si="12"/>
        <v>0</v>
      </c>
      <c r="P39" s="29">
        <f t="shared" si="13"/>
        <v>0</v>
      </c>
      <c r="Q39" s="29">
        <f t="shared" si="14"/>
        <v>0</v>
      </c>
      <c r="R39" s="2" t="str">
        <f t="shared" si="15"/>
        <v>-</v>
      </c>
      <c r="S39" s="2" t="str">
        <f t="shared" si="16"/>
        <v>-</v>
      </c>
      <c r="T39" s="2" t="str">
        <f t="shared" si="17"/>
        <v>-</v>
      </c>
      <c r="U39" s="2" t="str">
        <f t="shared" si="18"/>
        <v>-</v>
      </c>
      <c r="V39" s="2" t="str">
        <f t="shared" si="19"/>
        <v>-</v>
      </c>
      <c r="W39" s="2" t="str">
        <f t="shared" si="20"/>
        <v>-</v>
      </c>
      <c r="X39" s="25">
        <f t="shared" si="21"/>
        <v>0</v>
      </c>
      <c r="Y39" s="29">
        <f t="shared" si="22"/>
        <v>0</v>
      </c>
      <c r="Z39" s="29">
        <f t="shared" si="23"/>
        <v>0</v>
      </c>
      <c r="AA39" s="2" t="str">
        <f t="shared" si="24"/>
        <v>-</v>
      </c>
      <c r="AB39" s="2" t="str">
        <f t="shared" si="25"/>
        <v>-</v>
      </c>
      <c r="AC39" s="2" t="str">
        <f t="shared" si="26"/>
        <v>-</v>
      </c>
      <c r="AD39" s="2" t="str">
        <f t="shared" si="27"/>
        <v>-</v>
      </c>
      <c r="AE39" s="2" t="str">
        <f t="shared" si="28"/>
        <v>-</v>
      </c>
      <c r="AF39" s="2" t="str">
        <f t="shared" si="29"/>
        <v>-</v>
      </c>
    </row>
    <row r="40" ht="14.25" customHeight="1">
      <c r="A40" s="2"/>
      <c r="B40" s="29"/>
      <c r="C40" s="2"/>
      <c r="D40" s="2" t="str">
        <f t="shared" si="1"/>
        <v/>
      </c>
      <c r="E40" s="29">
        <f t="shared" si="2"/>
        <v>0</v>
      </c>
      <c r="F40" s="25">
        <f t="shared" si="3"/>
        <v>0</v>
      </c>
      <c r="G40" s="29">
        <f t="shared" si="4"/>
        <v>0</v>
      </c>
      <c r="H40" s="29">
        <f t="shared" si="5"/>
        <v>0</v>
      </c>
      <c r="I40" s="2" t="str">
        <f t="shared" si="6"/>
        <v>-</v>
      </c>
      <c r="J40" s="2" t="str">
        <f t="shared" si="7"/>
        <v>-</v>
      </c>
      <c r="K40" s="2" t="str">
        <f t="shared" si="8"/>
        <v>-</v>
      </c>
      <c r="L40" s="2" t="str">
        <f t="shared" si="9"/>
        <v>-</v>
      </c>
      <c r="M40" s="2" t="str">
        <f t="shared" si="10"/>
        <v>-</v>
      </c>
      <c r="N40" s="2" t="str">
        <f t="shared" si="11"/>
        <v>-</v>
      </c>
      <c r="O40" s="25">
        <f t="shared" si="12"/>
        <v>0</v>
      </c>
      <c r="P40" s="29">
        <f t="shared" si="13"/>
        <v>0</v>
      </c>
      <c r="Q40" s="29">
        <f t="shared" si="14"/>
        <v>0</v>
      </c>
      <c r="R40" s="2" t="str">
        <f t="shared" si="15"/>
        <v>-</v>
      </c>
      <c r="S40" s="2" t="str">
        <f t="shared" si="16"/>
        <v>-</v>
      </c>
      <c r="T40" s="2" t="str">
        <f t="shared" si="17"/>
        <v>-</v>
      </c>
      <c r="U40" s="2" t="str">
        <f t="shared" si="18"/>
        <v>-</v>
      </c>
      <c r="V40" s="2" t="str">
        <f t="shared" si="19"/>
        <v>-</v>
      </c>
      <c r="W40" s="2" t="str">
        <f t="shared" si="20"/>
        <v>-</v>
      </c>
      <c r="X40" s="25">
        <f t="shared" si="21"/>
        <v>0</v>
      </c>
      <c r="Y40" s="29">
        <f t="shared" si="22"/>
        <v>0</v>
      </c>
      <c r="Z40" s="29">
        <f t="shared" si="23"/>
        <v>0</v>
      </c>
      <c r="AA40" s="2" t="str">
        <f t="shared" si="24"/>
        <v>-</v>
      </c>
      <c r="AB40" s="2" t="str">
        <f t="shared" si="25"/>
        <v>-</v>
      </c>
      <c r="AC40" s="2" t="str">
        <f t="shared" si="26"/>
        <v>-</v>
      </c>
      <c r="AD40" s="2" t="str">
        <f t="shared" si="27"/>
        <v>-</v>
      </c>
      <c r="AE40" s="2" t="str">
        <f t="shared" si="28"/>
        <v>-</v>
      </c>
      <c r="AF40" s="2" t="str">
        <f t="shared" si="29"/>
        <v>-</v>
      </c>
    </row>
    <row r="41" ht="14.25" customHeight="1">
      <c r="A41" s="2"/>
      <c r="B41" s="29"/>
      <c r="C41" s="2"/>
      <c r="D41" s="2" t="str">
        <f t="shared" si="1"/>
        <v/>
      </c>
      <c r="E41" s="29">
        <f t="shared" si="2"/>
        <v>0</v>
      </c>
      <c r="F41" s="25">
        <f t="shared" si="3"/>
        <v>0</v>
      </c>
      <c r="G41" s="29">
        <f t="shared" si="4"/>
        <v>0</v>
      </c>
      <c r="H41" s="29">
        <f t="shared" si="5"/>
        <v>0</v>
      </c>
      <c r="I41" s="2" t="str">
        <f t="shared" si="6"/>
        <v>-</v>
      </c>
      <c r="J41" s="2" t="str">
        <f t="shared" si="7"/>
        <v>-</v>
      </c>
      <c r="K41" s="2" t="str">
        <f t="shared" si="8"/>
        <v>-</v>
      </c>
      <c r="L41" s="2" t="str">
        <f t="shared" si="9"/>
        <v>-</v>
      </c>
      <c r="M41" s="2" t="str">
        <f t="shared" si="10"/>
        <v>-</v>
      </c>
      <c r="N41" s="2" t="str">
        <f t="shared" si="11"/>
        <v>-</v>
      </c>
      <c r="O41" s="25">
        <f t="shared" si="12"/>
        <v>0</v>
      </c>
      <c r="P41" s="29">
        <f t="shared" si="13"/>
        <v>0</v>
      </c>
      <c r="Q41" s="29">
        <f t="shared" si="14"/>
        <v>0</v>
      </c>
      <c r="R41" s="2" t="str">
        <f t="shared" si="15"/>
        <v>-</v>
      </c>
      <c r="S41" s="2" t="str">
        <f t="shared" si="16"/>
        <v>-</v>
      </c>
      <c r="T41" s="2" t="str">
        <f t="shared" si="17"/>
        <v>-</v>
      </c>
      <c r="U41" s="2" t="str">
        <f t="shared" si="18"/>
        <v>-</v>
      </c>
      <c r="V41" s="2" t="str">
        <f t="shared" si="19"/>
        <v>-</v>
      </c>
      <c r="W41" s="2" t="str">
        <f t="shared" si="20"/>
        <v>-</v>
      </c>
      <c r="X41" s="25">
        <f t="shared" si="21"/>
        <v>0</v>
      </c>
      <c r="Y41" s="29">
        <f t="shared" si="22"/>
        <v>0</v>
      </c>
      <c r="Z41" s="29">
        <f t="shared" si="23"/>
        <v>0</v>
      </c>
      <c r="AA41" s="2" t="str">
        <f t="shared" si="24"/>
        <v>-</v>
      </c>
      <c r="AB41" s="2" t="str">
        <f t="shared" si="25"/>
        <v>-</v>
      </c>
      <c r="AC41" s="2" t="str">
        <f t="shared" si="26"/>
        <v>-</v>
      </c>
      <c r="AD41" s="2" t="str">
        <f t="shared" si="27"/>
        <v>-</v>
      </c>
      <c r="AE41" s="2" t="str">
        <f t="shared" si="28"/>
        <v>-</v>
      </c>
      <c r="AF41" s="2" t="str">
        <f t="shared" si="29"/>
        <v>-</v>
      </c>
    </row>
    <row r="42" ht="14.25" customHeight="1">
      <c r="A42" s="2"/>
      <c r="B42" s="29"/>
      <c r="C42" s="2"/>
      <c r="D42" s="2" t="str">
        <f t="shared" si="1"/>
        <v/>
      </c>
      <c r="E42" s="29">
        <f t="shared" si="2"/>
        <v>0</v>
      </c>
      <c r="F42" s="25">
        <f t="shared" si="3"/>
        <v>0</v>
      </c>
      <c r="G42" s="29">
        <f t="shared" si="4"/>
        <v>0</v>
      </c>
      <c r="H42" s="29">
        <f t="shared" si="5"/>
        <v>0</v>
      </c>
      <c r="I42" s="2" t="str">
        <f t="shared" si="6"/>
        <v>-</v>
      </c>
      <c r="J42" s="2" t="str">
        <f t="shared" si="7"/>
        <v>-</v>
      </c>
      <c r="K42" s="2" t="str">
        <f t="shared" si="8"/>
        <v>-</v>
      </c>
      <c r="L42" s="2" t="str">
        <f t="shared" si="9"/>
        <v>-</v>
      </c>
      <c r="M42" s="2" t="str">
        <f t="shared" si="10"/>
        <v>-</v>
      </c>
      <c r="N42" s="2" t="str">
        <f t="shared" si="11"/>
        <v>-</v>
      </c>
      <c r="O42" s="25">
        <f t="shared" si="12"/>
        <v>0</v>
      </c>
      <c r="P42" s="29">
        <f t="shared" si="13"/>
        <v>0</v>
      </c>
      <c r="Q42" s="29">
        <f t="shared" si="14"/>
        <v>0</v>
      </c>
      <c r="R42" s="2" t="str">
        <f t="shared" si="15"/>
        <v>-</v>
      </c>
      <c r="S42" s="2" t="str">
        <f t="shared" si="16"/>
        <v>-</v>
      </c>
      <c r="T42" s="2" t="str">
        <f t="shared" si="17"/>
        <v>-</v>
      </c>
      <c r="U42" s="2" t="str">
        <f t="shared" si="18"/>
        <v>-</v>
      </c>
      <c r="V42" s="2" t="str">
        <f t="shared" si="19"/>
        <v>-</v>
      </c>
      <c r="W42" s="2" t="str">
        <f t="shared" si="20"/>
        <v>-</v>
      </c>
      <c r="X42" s="25">
        <f t="shared" si="21"/>
        <v>0</v>
      </c>
      <c r="Y42" s="29">
        <f t="shared" si="22"/>
        <v>0</v>
      </c>
      <c r="Z42" s="29">
        <f t="shared" si="23"/>
        <v>0</v>
      </c>
      <c r="AA42" s="2" t="str">
        <f t="shared" si="24"/>
        <v>-</v>
      </c>
      <c r="AB42" s="2" t="str">
        <f t="shared" si="25"/>
        <v>-</v>
      </c>
      <c r="AC42" s="2" t="str">
        <f t="shared" si="26"/>
        <v>-</v>
      </c>
      <c r="AD42" s="2" t="str">
        <f t="shared" si="27"/>
        <v>-</v>
      </c>
      <c r="AE42" s="2" t="str">
        <f t="shared" si="28"/>
        <v>-</v>
      </c>
      <c r="AF42" s="2" t="str">
        <f t="shared" si="29"/>
        <v>-</v>
      </c>
    </row>
    <row r="43" ht="14.25" customHeight="1">
      <c r="A43" s="2"/>
      <c r="B43" s="29"/>
      <c r="C43" s="2"/>
      <c r="D43" s="2" t="str">
        <f t="shared" si="1"/>
        <v/>
      </c>
      <c r="E43" s="29">
        <f t="shared" si="2"/>
        <v>0</v>
      </c>
      <c r="F43" s="25">
        <f t="shared" si="3"/>
        <v>0</v>
      </c>
      <c r="G43" s="29">
        <f t="shared" si="4"/>
        <v>0</v>
      </c>
      <c r="H43" s="29">
        <f t="shared" si="5"/>
        <v>0</v>
      </c>
      <c r="I43" s="2" t="str">
        <f t="shared" si="6"/>
        <v>-</v>
      </c>
      <c r="J43" s="2" t="str">
        <f t="shared" si="7"/>
        <v>-</v>
      </c>
      <c r="K43" s="2" t="str">
        <f t="shared" si="8"/>
        <v>-</v>
      </c>
      <c r="L43" s="2" t="str">
        <f t="shared" si="9"/>
        <v>-</v>
      </c>
      <c r="M43" s="2" t="str">
        <f t="shared" si="10"/>
        <v>-</v>
      </c>
      <c r="N43" s="2" t="str">
        <f t="shared" si="11"/>
        <v>-</v>
      </c>
      <c r="O43" s="25">
        <f t="shared" si="12"/>
        <v>0</v>
      </c>
      <c r="P43" s="29">
        <f t="shared" si="13"/>
        <v>0</v>
      </c>
      <c r="Q43" s="29">
        <f t="shared" si="14"/>
        <v>0</v>
      </c>
      <c r="R43" s="2" t="str">
        <f t="shared" si="15"/>
        <v>-</v>
      </c>
      <c r="S43" s="2" t="str">
        <f t="shared" si="16"/>
        <v>-</v>
      </c>
      <c r="T43" s="2" t="str">
        <f t="shared" si="17"/>
        <v>-</v>
      </c>
      <c r="U43" s="2" t="str">
        <f t="shared" si="18"/>
        <v>-</v>
      </c>
      <c r="V43" s="2" t="str">
        <f t="shared" si="19"/>
        <v>-</v>
      </c>
      <c r="W43" s="2" t="str">
        <f t="shared" si="20"/>
        <v>-</v>
      </c>
      <c r="X43" s="25">
        <f t="shared" si="21"/>
        <v>0</v>
      </c>
      <c r="Y43" s="29">
        <f t="shared" si="22"/>
        <v>0</v>
      </c>
      <c r="Z43" s="29">
        <f t="shared" si="23"/>
        <v>0</v>
      </c>
      <c r="AA43" s="2" t="str">
        <f t="shared" si="24"/>
        <v>-</v>
      </c>
      <c r="AB43" s="2" t="str">
        <f t="shared" si="25"/>
        <v>-</v>
      </c>
      <c r="AC43" s="2" t="str">
        <f t="shared" si="26"/>
        <v>-</v>
      </c>
      <c r="AD43" s="2" t="str">
        <f t="shared" si="27"/>
        <v>-</v>
      </c>
      <c r="AE43" s="2" t="str">
        <f t="shared" si="28"/>
        <v>-</v>
      </c>
      <c r="AF43" s="2" t="str">
        <f t="shared" si="29"/>
        <v>-</v>
      </c>
    </row>
    <row r="44" ht="14.25" customHeight="1">
      <c r="A44" s="2"/>
      <c r="B44" s="29"/>
      <c r="C44" s="2"/>
      <c r="D44" s="2" t="str">
        <f t="shared" si="1"/>
        <v/>
      </c>
      <c r="E44" s="29">
        <f t="shared" si="2"/>
        <v>0</v>
      </c>
      <c r="F44" s="25">
        <f t="shared" si="3"/>
        <v>0</v>
      </c>
      <c r="G44" s="29">
        <f t="shared" si="4"/>
        <v>0</v>
      </c>
      <c r="H44" s="29">
        <f t="shared" si="5"/>
        <v>0</v>
      </c>
      <c r="I44" s="2" t="str">
        <f t="shared" si="6"/>
        <v>-</v>
      </c>
      <c r="J44" s="2" t="str">
        <f t="shared" si="7"/>
        <v>-</v>
      </c>
      <c r="K44" s="2" t="str">
        <f t="shared" si="8"/>
        <v>-</v>
      </c>
      <c r="L44" s="2" t="str">
        <f t="shared" si="9"/>
        <v>-</v>
      </c>
      <c r="M44" s="2" t="str">
        <f t="shared" si="10"/>
        <v>-</v>
      </c>
      <c r="N44" s="2" t="str">
        <f t="shared" si="11"/>
        <v>-</v>
      </c>
      <c r="O44" s="25">
        <f t="shared" si="12"/>
        <v>0</v>
      </c>
      <c r="P44" s="29">
        <f t="shared" si="13"/>
        <v>0</v>
      </c>
      <c r="Q44" s="29">
        <f t="shared" si="14"/>
        <v>0</v>
      </c>
      <c r="R44" s="2" t="str">
        <f t="shared" si="15"/>
        <v>-</v>
      </c>
      <c r="S44" s="2" t="str">
        <f t="shared" si="16"/>
        <v>-</v>
      </c>
      <c r="T44" s="2" t="str">
        <f t="shared" si="17"/>
        <v>-</v>
      </c>
      <c r="U44" s="2" t="str">
        <f t="shared" si="18"/>
        <v>-</v>
      </c>
      <c r="V44" s="2" t="str">
        <f t="shared" si="19"/>
        <v>-</v>
      </c>
      <c r="W44" s="2" t="str">
        <f t="shared" si="20"/>
        <v>-</v>
      </c>
      <c r="X44" s="25">
        <f t="shared" si="21"/>
        <v>0</v>
      </c>
      <c r="Y44" s="29">
        <f t="shared" si="22"/>
        <v>0</v>
      </c>
      <c r="Z44" s="29">
        <f t="shared" si="23"/>
        <v>0</v>
      </c>
      <c r="AA44" s="2" t="str">
        <f t="shared" si="24"/>
        <v>-</v>
      </c>
      <c r="AB44" s="2" t="str">
        <f t="shared" si="25"/>
        <v>-</v>
      </c>
      <c r="AC44" s="2" t="str">
        <f t="shared" si="26"/>
        <v>-</v>
      </c>
      <c r="AD44" s="2" t="str">
        <f t="shared" si="27"/>
        <v>-</v>
      </c>
      <c r="AE44" s="2" t="str">
        <f t="shared" si="28"/>
        <v>-</v>
      </c>
      <c r="AF44" s="2" t="str">
        <f t="shared" si="29"/>
        <v>-</v>
      </c>
    </row>
    <row r="45" ht="14.25" customHeight="1">
      <c r="A45" s="2"/>
      <c r="B45" s="29"/>
      <c r="C45" s="2"/>
      <c r="D45" s="2" t="str">
        <f t="shared" si="1"/>
        <v/>
      </c>
      <c r="E45" s="29">
        <f t="shared" si="2"/>
        <v>0</v>
      </c>
      <c r="F45" s="25">
        <f t="shared" si="3"/>
        <v>0</v>
      </c>
      <c r="G45" s="29">
        <f t="shared" si="4"/>
        <v>0</v>
      </c>
      <c r="H45" s="29">
        <f t="shared" si="5"/>
        <v>0</v>
      </c>
      <c r="I45" s="2" t="str">
        <f t="shared" si="6"/>
        <v>-</v>
      </c>
      <c r="J45" s="2" t="str">
        <f t="shared" si="7"/>
        <v>-</v>
      </c>
      <c r="K45" s="2" t="str">
        <f t="shared" si="8"/>
        <v>-</v>
      </c>
      <c r="L45" s="2" t="str">
        <f t="shared" si="9"/>
        <v>-</v>
      </c>
      <c r="M45" s="2" t="str">
        <f t="shared" si="10"/>
        <v>-</v>
      </c>
      <c r="N45" s="2" t="str">
        <f t="shared" si="11"/>
        <v>-</v>
      </c>
      <c r="O45" s="25">
        <f t="shared" si="12"/>
        <v>0</v>
      </c>
      <c r="P45" s="29">
        <f t="shared" si="13"/>
        <v>0</v>
      </c>
      <c r="Q45" s="29">
        <f t="shared" si="14"/>
        <v>0</v>
      </c>
      <c r="R45" s="2" t="str">
        <f t="shared" si="15"/>
        <v>-</v>
      </c>
      <c r="S45" s="2" t="str">
        <f t="shared" si="16"/>
        <v>-</v>
      </c>
      <c r="T45" s="2" t="str">
        <f t="shared" si="17"/>
        <v>-</v>
      </c>
      <c r="U45" s="2" t="str">
        <f t="shared" si="18"/>
        <v>-</v>
      </c>
      <c r="V45" s="2" t="str">
        <f t="shared" si="19"/>
        <v>-</v>
      </c>
      <c r="W45" s="2" t="str">
        <f t="shared" si="20"/>
        <v>-</v>
      </c>
      <c r="X45" s="25">
        <f t="shared" si="21"/>
        <v>0</v>
      </c>
      <c r="Y45" s="29">
        <f t="shared" si="22"/>
        <v>0</v>
      </c>
      <c r="Z45" s="29">
        <f t="shared" si="23"/>
        <v>0</v>
      </c>
      <c r="AA45" s="2" t="str">
        <f t="shared" si="24"/>
        <v>-</v>
      </c>
      <c r="AB45" s="2" t="str">
        <f t="shared" si="25"/>
        <v>-</v>
      </c>
      <c r="AC45" s="2" t="str">
        <f t="shared" si="26"/>
        <v>-</v>
      </c>
      <c r="AD45" s="2" t="str">
        <f t="shared" si="27"/>
        <v>-</v>
      </c>
      <c r="AE45" s="2" t="str">
        <f t="shared" si="28"/>
        <v>-</v>
      </c>
      <c r="AF45" s="2" t="str">
        <f t="shared" si="29"/>
        <v>-</v>
      </c>
    </row>
    <row r="46" ht="14.25" customHeight="1">
      <c r="A46" s="2"/>
      <c r="B46" s="29"/>
      <c r="C46" s="2"/>
      <c r="D46" s="2" t="str">
        <f t="shared" si="1"/>
        <v/>
      </c>
      <c r="E46" s="29">
        <f t="shared" si="2"/>
        <v>0</v>
      </c>
      <c r="F46" s="25">
        <f t="shared" si="3"/>
        <v>0</v>
      </c>
      <c r="G46" s="29">
        <f t="shared" si="4"/>
        <v>0</v>
      </c>
      <c r="H46" s="29">
        <f t="shared" si="5"/>
        <v>0</v>
      </c>
      <c r="I46" s="2" t="str">
        <f t="shared" si="6"/>
        <v>-</v>
      </c>
      <c r="J46" s="2" t="str">
        <f t="shared" si="7"/>
        <v>-</v>
      </c>
      <c r="K46" s="2" t="str">
        <f t="shared" si="8"/>
        <v>-</v>
      </c>
      <c r="L46" s="2" t="str">
        <f t="shared" si="9"/>
        <v>-</v>
      </c>
      <c r="M46" s="2" t="str">
        <f t="shared" si="10"/>
        <v>-</v>
      </c>
      <c r="N46" s="2" t="str">
        <f t="shared" si="11"/>
        <v>-</v>
      </c>
      <c r="O46" s="25">
        <f t="shared" si="12"/>
        <v>0</v>
      </c>
      <c r="P46" s="29">
        <f t="shared" si="13"/>
        <v>0</v>
      </c>
      <c r="Q46" s="29">
        <f t="shared" si="14"/>
        <v>0</v>
      </c>
      <c r="R46" s="2" t="str">
        <f t="shared" si="15"/>
        <v>-</v>
      </c>
      <c r="S46" s="2" t="str">
        <f t="shared" si="16"/>
        <v>-</v>
      </c>
      <c r="T46" s="2" t="str">
        <f t="shared" si="17"/>
        <v>-</v>
      </c>
      <c r="U46" s="2" t="str">
        <f t="shared" si="18"/>
        <v>-</v>
      </c>
      <c r="V46" s="2" t="str">
        <f t="shared" si="19"/>
        <v>-</v>
      </c>
      <c r="W46" s="2" t="str">
        <f t="shared" si="20"/>
        <v>-</v>
      </c>
      <c r="X46" s="25">
        <f t="shared" si="21"/>
        <v>0</v>
      </c>
      <c r="Y46" s="29">
        <f t="shared" si="22"/>
        <v>0</v>
      </c>
      <c r="Z46" s="29">
        <f t="shared" si="23"/>
        <v>0</v>
      </c>
      <c r="AA46" s="2" t="str">
        <f t="shared" si="24"/>
        <v>-</v>
      </c>
      <c r="AB46" s="2" t="str">
        <f t="shared" si="25"/>
        <v>-</v>
      </c>
      <c r="AC46" s="2" t="str">
        <f t="shared" si="26"/>
        <v>-</v>
      </c>
      <c r="AD46" s="2" t="str">
        <f t="shared" si="27"/>
        <v>-</v>
      </c>
      <c r="AE46" s="2" t="str">
        <f t="shared" si="28"/>
        <v>-</v>
      </c>
      <c r="AF46" s="2" t="str">
        <f t="shared" si="29"/>
        <v>-</v>
      </c>
    </row>
    <row r="47" ht="14.25" customHeight="1">
      <c r="A47" s="2"/>
      <c r="B47" s="29"/>
      <c r="C47" s="2"/>
      <c r="D47" s="2" t="str">
        <f t="shared" si="1"/>
        <v/>
      </c>
      <c r="E47" s="29">
        <f t="shared" si="2"/>
        <v>0</v>
      </c>
      <c r="F47" s="25">
        <f t="shared" si="3"/>
        <v>0</v>
      </c>
      <c r="G47" s="29">
        <f t="shared" si="4"/>
        <v>0</v>
      </c>
      <c r="H47" s="29">
        <f t="shared" si="5"/>
        <v>0</v>
      </c>
      <c r="I47" s="2" t="str">
        <f t="shared" si="6"/>
        <v>-</v>
      </c>
      <c r="J47" s="2" t="str">
        <f t="shared" si="7"/>
        <v>-</v>
      </c>
      <c r="K47" s="2" t="str">
        <f t="shared" si="8"/>
        <v>-</v>
      </c>
      <c r="L47" s="2" t="str">
        <f t="shared" si="9"/>
        <v>-</v>
      </c>
      <c r="M47" s="2" t="str">
        <f t="shared" si="10"/>
        <v>-</v>
      </c>
      <c r="N47" s="2" t="str">
        <f t="shared" si="11"/>
        <v>-</v>
      </c>
      <c r="O47" s="25">
        <f t="shared" si="12"/>
        <v>0</v>
      </c>
      <c r="P47" s="29">
        <f t="shared" si="13"/>
        <v>0</v>
      </c>
      <c r="Q47" s="29">
        <f t="shared" si="14"/>
        <v>0</v>
      </c>
      <c r="R47" s="2" t="str">
        <f t="shared" si="15"/>
        <v>-</v>
      </c>
      <c r="S47" s="2" t="str">
        <f t="shared" si="16"/>
        <v>-</v>
      </c>
      <c r="T47" s="2" t="str">
        <f t="shared" si="17"/>
        <v>-</v>
      </c>
      <c r="U47" s="2" t="str">
        <f t="shared" si="18"/>
        <v>-</v>
      </c>
      <c r="V47" s="2" t="str">
        <f t="shared" si="19"/>
        <v>-</v>
      </c>
      <c r="W47" s="2" t="str">
        <f t="shared" si="20"/>
        <v>-</v>
      </c>
      <c r="X47" s="25">
        <f t="shared" si="21"/>
        <v>0</v>
      </c>
      <c r="Y47" s="29">
        <f t="shared" si="22"/>
        <v>0</v>
      </c>
      <c r="Z47" s="29">
        <f t="shared" si="23"/>
        <v>0</v>
      </c>
      <c r="AA47" s="2" t="str">
        <f t="shared" si="24"/>
        <v>-</v>
      </c>
      <c r="AB47" s="2" t="str">
        <f t="shared" si="25"/>
        <v>-</v>
      </c>
      <c r="AC47" s="2" t="str">
        <f t="shared" si="26"/>
        <v>-</v>
      </c>
      <c r="AD47" s="2" t="str">
        <f t="shared" si="27"/>
        <v>-</v>
      </c>
      <c r="AE47" s="2" t="str">
        <f t="shared" si="28"/>
        <v>-</v>
      </c>
      <c r="AF47" s="2" t="str">
        <f t="shared" si="29"/>
        <v>-</v>
      </c>
    </row>
    <row r="48" ht="14.25" customHeight="1">
      <c r="A48" s="2"/>
      <c r="B48" s="29"/>
      <c r="C48" s="2"/>
      <c r="D48" s="2" t="str">
        <f t="shared" si="1"/>
        <v/>
      </c>
      <c r="E48" s="29">
        <f t="shared" si="2"/>
        <v>0</v>
      </c>
      <c r="F48" s="25">
        <f t="shared" si="3"/>
        <v>0</v>
      </c>
      <c r="G48" s="29">
        <f t="shared" si="4"/>
        <v>0</v>
      </c>
      <c r="H48" s="29">
        <f t="shared" si="5"/>
        <v>0</v>
      </c>
      <c r="I48" s="2" t="str">
        <f t="shared" si="6"/>
        <v>-</v>
      </c>
      <c r="J48" s="2" t="str">
        <f t="shared" si="7"/>
        <v>-</v>
      </c>
      <c r="K48" s="2" t="str">
        <f t="shared" si="8"/>
        <v>-</v>
      </c>
      <c r="L48" s="2" t="str">
        <f t="shared" si="9"/>
        <v>-</v>
      </c>
      <c r="M48" s="2" t="str">
        <f t="shared" si="10"/>
        <v>-</v>
      </c>
      <c r="N48" s="2" t="str">
        <f t="shared" si="11"/>
        <v>-</v>
      </c>
      <c r="O48" s="25">
        <f t="shared" si="12"/>
        <v>0</v>
      </c>
      <c r="P48" s="29">
        <f t="shared" si="13"/>
        <v>0</v>
      </c>
      <c r="Q48" s="29">
        <f t="shared" si="14"/>
        <v>0</v>
      </c>
      <c r="R48" s="2" t="str">
        <f t="shared" si="15"/>
        <v>-</v>
      </c>
      <c r="S48" s="2" t="str">
        <f t="shared" si="16"/>
        <v>-</v>
      </c>
      <c r="T48" s="2" t="str">
        <f t="shared" si="17"/>
        <v>-</v>
      </c>
      <c r="U48" s="2" t="str">
        <f t="shared" si="18"/>
        <v>-</v>
      </c>
      <c r="V48" s="2" t="str">
        <f t="shared" si="19"/>
        <v>-</v>
      </c>
      <c r="W48" s="2" t="str">
        <f t="shared" si="20"/>
        <v>-</v>
      </c>
      <c r="X48" s="25">
        <f t="shared" si="21"/>
        <v>0</v>
      </c>
      <c r="Y48" s="29">
        <f t="shared" si="22"/>
        <v>0</v>
      </c>
      <c r="Z48" s="29">
        <f t="shared" si="23"/>
        <v>0</v>
      </c>
      <c r="AA48" s="2" t="str">
        <f t="shared" si="24"/>
        <v>-</v>
      </c>
      <c r="AB48" s="2" t="str">
        <f t="shared" si="25"/>
        <v>-</v>
      </c>
      <c r="AC48" s="2" t="str">
        <f t="shared" si="26"/>
        <v>-</v>
      </c>
      <c r="AD48" s="2" t="str">
        <f t="shared" si="27"/>
        <v>-</v>
      </c>
      <c r="AE48" s="2" t="str">
        <f t="shared" si="28"/>
        <v>-</v>
      </c>
      <c r="AF48" s="2" t="str">
        <f t="shared" si="29"/>
        <v>-</v>
      </c>
    </row>
    <row r="49" ht="14.25" customHeight="1">
      <c r="A49" s="2"/>
      <c r="B49" s="29"/>
      <c r="C49" s="2"/>
      <c r="D49" s="2" t="str">
        <f t="shared" si="1"/>
        <v/>
      </c>
      <c r="E49" s="29">
        <f t="shared" si="2"/>
        <v>0</v>
      </c>
      <c r="F49" s="25">
        <f t="shared" si="3"/>
        <v>0</v>
      </c>
      <c r="G49" s="29">
        <f t="shared" si="4"/>
        <v>0</v>
      </c>
      <c r="H49" s="29">
        <f t="shared" si="5"/>
        <v>0</v>
      </c>
      <c r="I49" s="2" t="str">
        <f t="shared" si="6"/>
        <v>-</v>
      </c>
      <c r="J49" s="2" t="str">
        <f t="shared" si="7"/>
        <v>-</v>
      </c>
      <c r="K49" s="2" t="str">
        <f t="shared" si="8"/>
        <v>-</v>
      </c>
      <c r="L49" s="2" t="str">
        <f t="shared" si="9"/>
        <v>-</v>
      </c>
      <c r="M49" s="2" t="str">
        <f t="shared" si="10"/>
        <v>-</v>
      </c>
      <c r="N49" s="2" t="str">
        <f t="shared" si="11"/>
        <v>-</v>
      </c>
      <c r="O49" s="25">
        <f t="shared" si="12"/>
        <v>0</v>
      </c>
      <c r="P49" s="29">
        <f t="shared" si="13"/>
        <v>0</v>
      </c>
      <c r="Q49" s="29">
        <f t="shared" si="14"/>
        <v>0</v>
      </c>
      <c r="R49" s="2" t="str">
        <f t="shared" si="15"/>
        <v>-</v>
      </c>
      <c r="S49" s="2" t="str">
        <f t="shared" si="16"/>
        <v>-</v>
      </c>
      <c r="T49" s="2" t="str">
        <f t="shared" si="17"/>
        <v>-</v>
      </c>
      <c r="U49" s="2" t="str">
        <f t="shared" si="18"/>
        <v>-</v>
      </c>
      <c r="V49" s="2" t="str">
        <f t="shared" si="19"/>
        <v>-</v>
      </c>
      <c r="W49" s="2" t="str">
        <f t="shared" si="20"/>
        <v>-</v>
      </c>
      <c r="X49" s="25">
        <f t="shared" si="21"/>
        <v>0</v>
      </c>
      <c r="Y49" s="29">
        <f t="shared" si="22"/>
        <v>0</v>
      </c>
      <c r="Z49" s="29">
        <f t="shared" si="23"/>
        <v>0</v>
      </c>
      <c r="AA49" s="2" t="str">
        <f t="shared" si="24"/>
        <v>-</v>
      </c>
      <c r="AB49" s="2" t="str">
        <f t="shared" si="25"/>
        <v>-</v>
      </c>
      <c r="AC49" s="2" t="str">
        <f t="shared" si="26"/>
        <v>-</v>
      </c>
      <c r="AD49" s="2" t="str">
        <f t="shared" si="27"/>
        <v>-</v>
      </c>
      <c r="AE49" s="2" t="str">
        <f t="shared" si="28"/>
        <v>-</v>
      </c>
      <c r="AF49" s="2" t="str">
        <f t="shared" si="29"/>
        <v>-</v>
      </c>
    </row>
    <row r="50" ht="14.25" customHeight="1">
      <c r="A50" s="2"/>
      <c r="B50" s="29"/>
      <c r="C50" s="2"/>
      <c r="D50" s="2" t="str">
        <f t="shared" si="1"/>
        <v/>
      </c>
      <c r="E50" s="29">
        <f t="shared" si="2"/>
        <v>0</v>
      </c>
      <c r="F50" s="25">
        <f t="shared" si="3"/>
        <v>0</v>
      </c>
      <c r="G50" s="29">
        <f t="shared" si="4"/>
        <v>0</v>
      </c>
      <c r="H50" s="29">
        <f t="shared" si="5"/>
        <v>0</v>
      </c>
      <c r="I50" s="2" t="str">
        <f t="shared" si="6"/>
        <v>-</v>
      </c>
      <c r="J50" s="2" t="str">
        <f t="shared" si="7"/>
        <v>-</v>
      </c>
      <c r="K50" s="2" t="str">
        <f t="shared" si="8"/>
        <v>-</v>
      </c>
      <c r="L50" s="2" t="str">
        <f t="shared" si="9"/>
        <v>-</v>
      </c>
      <c r="M50" s="2" t="str">
        <f t="shared" si="10"/>
        <v>-</v>
      </c>
      <c r="N50" s="2" t="str">
        <f t="shared" si="11"/>
        <v>-</v>
      </c>
      <c r="O50" s="25">
        <f t="shared" si="12"/>
        <v>0</v>
      </c>
      <c r="P50" s="29">
        <f t="shared" si="13"/>
        <v>0</v>
      </c>
      <c r="Q50" s="29">
        <f t="shared" si="14"/>
        <v>0</v>
      </c>
      <c r="R50" s="2" t="str">
        <f t="shared" si="15"/>
        <v>-</v>
      </c>
      <c r="S50" s="2" t="str">
        <f t="shared" si="16"/>
        <v>-</v>
      </c>
      <c r="T50" s="2" t="str">
        <f t="shared" si="17"/>
        <v>-</v>
      </c>
      <c r="U50" s="2" t="str">
        <f t="shared" si="18"/>
        <v>-</v>
      </c>
      <c r="V50" s="2" t="str">
        <f t="shared" si="19"/>
        <v>-</v>
      </c>
      <c r="W50" s="2" t="str">
        <f t="shared" si="20"/>
        <v>-</v>
      </c>
      <c r="X50" s="25">
        <f t="shared" si="21"/>
        <v>0</v>
      </c>
      <c r="Y50" s="29">
        <f t="shared" si="22"/>
        <v>0</v>
      </c>
      <c r="Z50" s="29">
        <f t="shared" si="23"/>
        <v>0</v>
      </c>
      <c r="AA50" s="2" t="str">
        <f t="shared" si="24"/>
        <v>-</v>
      </c>
      <c r="AB50" s="2" t="str">
        <f t="shared" si="25"/>
        <v>-</v>
      </c>
      <c r="AC50" s="2" t="str">
        <f t="shared" si="26"/>
        <v>-</v>
      </c>
      <c r="AD50" s="2" t="str">
        <f t="shared" si="27"/>
        <v>-</v>
      </c>
      <c r="AE50" s="2" t="str">
        <f t="shared" si="28"/>
        <v>-</v>
      </c>
      <c r="AF50" s="2" t="str">
        <f t="shared" si="29"/>
        <v>-</v>
      </c>
    </row>
    <row r="51" ht="14.25" customHeight="1">
      <c r="A51" s="2"/>
      <c r="B51" s="29"/>
      <c r="C51" s="2"/>
      <c r="D51" s="2" t="str">
        <f t="shared" si="1"/>
        <v/>
      </c>
      <c r="E51" s="29">
        <f t="shared" si="2"/>
        <v>0</v>
      </c>
      <c r="F51" s="25">
        <f t="shared" si="3"/>
        <v>0</v>
      </c>
      <c r="G51" s="29">
        <f t="shared" si="4"/>
        <v>0</v>
      </c>
      <c r="H51" s="29">
        <f t="shared" si="5"/>
        <v>0</v>
      </c>
      <c r="I51" s="2" t="str">
        <f t="shared" si="6"/>
        <v>-</v>
      </c>
      <c r="J51" s="2" t="str">
        <f t="shared" si="7"/>
        <v>-</v>
      </c>
      <c r="K51" s="2" t="str">
        <f t="shared" si="8"/>
        <v>-</v>
      </c>
      <c r="L51" s="2" t="str">
        <f t="shared" si="9"/>
        <v>-</v>
      </c>
      <c r="M51" s="2" t="str">
        <f t="shared" si="10"/>
        <v>-</v>
      </c>
      <c r="N51" s="2" t="str">
        <f t="shared" si="11"/>
        <v>-</v>
      </c>
      <c r="O51" s="25">
        <f t="shared" si="12"/>
        <v>0</v>
      </c>
      <c r="P51" s="29">
        <f t="shared" si="13"/>
        <v>0</v>
      </c>
      <c r="Q51" s="29">
        <f t="shared" si="14"/>
        <v>0</v>
      </c>
      <c r="R51" s="2" t="str">
        <f t="shared" si="15"/>
        <v>-</v>
      </c>
      <c r="S51" s="2" t="str">
        <f t="shared" si="16"/>
        <v>-</v>
      </c>
      <c r="T51" s="2" t="str">
        <f t="shared" si="17"/>
        <v>-</v>
      </c>
      <c r="U51" s="2" t="str">
        <f t="shared" si="18"/>
        <v>-</v>
      </c>
      <c r="V51" s="2" t="str">
        <f t="shared" si="19"/>
        <v>-</v>
      </c>
      <c r="W51" s="2" t="str">
        <f t="shared" si="20"/>
        <v>-</v>
      </c>
      <c r="X51" s="25">
        <f t="shared" si="21"/>
        <v>0</v>
      </c>
      <c r="Y51" s="29">
        <f t="shared" si="22"/>
        <v>0</v>
      </c>
      <c r="Z51" s="29">
        <f t="shared" si="23"/>
        <v>0</v>
      </c>
      <c r="AA51" s="2" t="str">
        <f t="shared" si="24"/>
        <v>-</v>
      </c>
      <c r="AB51" s="2" t="str">
        <f t="shared" si="25"/>
        <v>-</v>
      </c>
      <c r="AC51" s="2" t="str">
        <f t="shared" si="26"/>
        <v>-</v>
      </c>
      <c r="AD51" s="2" t="str">
        <f t="shared" si="27"/>
        <v>-</v>
      </c>
      <c r="AE51" s="2" t="str">
        <f t="shared" si="28"/>
        <v>-</v>
      </c>
      <c r="AF51" s="2" t="str">
        <f t="shared" si="29"/>
        <v>-</v>
      </c>
    </row>
    <row r="52" ht="14.25" customHeight="1">
      <c r="A52" s="2"/>
      <c r="B52" s="29"/>
      <c r="C52" s="2"/>
      <c r="D52" s="2" t="str">
        <f t="shared" si="1"/>
        <v/>
      </c>
      <c r="E52" s="29">
        <f t="shared" si="2"/>
        <v>0</v>
      </c>
      <c r="F52" s="25">
        <f t="shared" si="3"/>
        <v>0</v>
      </c>
      <c r="G52" s="29">
        <f t="shared" si="4"/>
        <v>0</v>
      </c>
      <c r="H52" s="29">
        <f t="shared" si="5"/>
        <v>0</v>
      </c>
      <c r="I52" s="2" t="str">
        <f t="shared" si="6"/>
        <v>-</v>
      </c>
      <c r="J52" s="2" t="str">
        <f t="shared" si="7"/>
        <v>-</v>
      </c>
      <c r="K52" s="2" t="str">
        <f t="shared" si="8"/>
        <v>-</v>
      </c>
      <c r="L52" s="2" t="str">
        <f t="shared" si="9"/>
        <v>-</v>
      </c>
      <c r="M52" s="2" t="str">
        <f t="shared" si="10"/>
        <v>-</v>
      </c>
      <c r="N52" s="2" t="str">
        <f t="shared" si="11"/>
        <v>-</v>
      </c>
      <c r="O52" s="25">
        <f t="shared" si="12"/>
        <v>0</v>
      </c>
      <c r="P52" s="29">
        <f t="shared" si="13"/>
        <v>0</v>
      </c>
      <c r="Q52" s="29">
        <f t="shared" si="14"/>
        <v>0</v>
      </c>
      <c r="R52" s="2" t="str">
        <f t="shared" si="15"/>
        <v>-</v>
      </c>
      <c r="S52" s="2" t="str">
        <f t="shared" si="16"/>
        <v>-</v>
      </c>
      <c r="T52" s="2" t="str">
        <f t="shared" si="17"/>
        <v>-</v>
      </c>
      <c r="U52" s="2" t="str">
        <f t="shared" si="18"/>
        <v>-</v>
      </c>
      <c r="V52" s="2" t="str">
        <f t="shared" si="19"/>
        <v>-</v>
      </c>
      <c r="W52" s="2" t="str">
        <f t="shared" si="20"/>
        <v>-</v>
      </c>
      <c r="X52" s="25">
        <f t="shared" si="21"/>
        <v>0</v>
      </c>
      <c r="Y52" s="29">
        <f t="shared" si="22"/>
        <v>0</v>
      </c>
      <c r="Z52" s="29">
        <f t="shared" si="23"/>
        <v>0</v>
      </c>
      <c r="AA52" s="2" t="str">
        <f t="shared" si="24"/>
        <v>-</v>
      </c>
      <c r="AB52" s="2" t="str">
        <f t="shared" si="25"/>
        <v>-</v>
      </c>
      <c r="AC52" s="2" t="str">
        <f t="shared" si="26"/>
        <v>-</v>
      </c>
      <c r="AD52" s="2" t="str">
        <f t="shared" si="27"/>
        <v>-</v>
      </c>
      <c r="AE52" s="2" t="str">
        <f t="shared" si="28"/>
        <v>-</v>
      </c>
      <c r="AF52" s="2" t="str">
        <f t="shared" si="29"/>
        <v>-</v>
      </c>
    </row>
    <row r="53" ht="14.25" customHeight="1">
      <c r="A53" s="2"/>
      <c r="B53" s="29"/>
      <c r="C53" s="2"/>
      <c r="D53" s="2" t="str">
        <f t="shared" si="1"/>
        <v/>
      </c>
      <c r="E53" s="29">
        <f t="shared" si="2"/>
        <v>0</v>
      </c>
      <c r="F53" s="25">
        <f t="shared" si="3"/>
        <v>0</v>
      </c>
      <c r="G53" s="29">
        <f t="shared" si="4"/>
        <v>0</v>
      </c>
      <c r="H53" s="29">
        <f t="shared" si="5"/>
        <v>0</v>
      </c>
      <c r="I53" s="2" t="str">
        <f t="shared" si="6"/>
        <v>-</v>
      </c>
      <c r="J53" s="2" t="str">
        <f t="shared" si="7"/>
        <v>-</v>
      </c>
      <c r="K53" s="2" t="str">
        <f t="shared" si="8"/>
        <v>-</v>
      </c>
      <c r="L53" s="2" t="str">
        <f t="shared" si="9"/>
        <v>-</v>
      </c>
      <c r="M53" s="2" t="str">
        <f t="shared" si="10"/>
        <v>-</v>
      </c>
      <c r="N53" s="2" t="str">
        <f t="shared" si="11"/>
        <v>-</v>
      </c>
      <c r="O53" s="25">
        <f t="shared" si="12"/>
        <v>0</v>
      </c>
      <c r="P53" s="29">
        <f t="shared" si="13"/>
        <v>0</v>
      </c>
      <c r="Q53" s="29">
        <f t="shared" si="14"/>
        <v>0</v>
      </c>
      <c r="R53" s="2" t="str">
        <f t="shared" si="15"/>
        <v>-</v>
      </c>
      <c r="S53" s="2" t="str">
        <f t="shared" si="16"/>
        <v>-</v>
      </c>
      <c r="T53" s="2" t="str">
        <f t="shared" si="17"/>
        <v>-</v>
      </c>
      <c r="U53" s="2" t="str">
        <f t="shared" si="18"/>
        <v>-</v>
      </c>
      <c r="V53" s="2" t="str">
        <f t="shared" si="19"/>
        <v>-</v>
      </c>
      <c r="W53" s="2" t="str">
        <f t="shared" si="20"/>
        <v>-</v>
      </c>
      <c r="X53" s="25">
        <f t="shared" si="21"/>
        <v>0</v>
      </c>
      <c r="Y53" s="29">
        <f t="shared" si="22"/>
        <v>0</v>
      </c>
      <c r="Z53" s="29">
        <f t="shared" si="23"/>
        <v>0</v>
      </c>
      <c r="AA53" s="2" t="str">
        <f t="shared" si="24"/>
        <v>-</v>
      </c>
      <c r="AB53" s="2" t="str">
        <f t="shared" si="25"/>
        <v>-</v>
      </c>
      <c r="AC53" s="2" t="str">
        <f t="shared" si="26"/>
        <v>-</v>
      </c>
      <c r="AD53" s="2" t="str">
        <f t="shared" si="27"/>
        <v>-</v>
      </c>
      <c r="AE53" s="2" t="str">
        <f t="shared" si="28"/>
        <v>-</v>
      </c>
      <c r="AF53" s="2" t="str">
        <f t="shared" si="29"/>
        <v>-</v>
      </c>
    </row>
    <row r="54" ht="14.25" customHeight="1">
      <c r="A54" s="2"/>
      <c r="B54" s="29"/>
      <c r="C54" s="2"/>
      <c r="D54" s="2" t="str">
        <f t="shared" si="1"/>
        <v/>
      </c>
      <c r="E54" s="29">
        <f t="shared" si="2"/>
        <v>0</v>
      </c>
      <c r="F54" s="25">
        <f t="shared" si="3"/>
        <v>0</v>
      </c>
      <c r="G54" s="29">
        <f t="shared" si="4"/>
        <v>0</v>
      </c>
      <c r="H54" s="29">
        <f t="shared" si="5"/>
        <v>0</v>
      </c>
      <c r="I54" s="2" t="str">
        <f t="shared" si="6"/>
        <v>-</v>
      </c>
      <c r="J54" s="2" t="str">
        <f t="shared" si="7"/>
        <v>-</v>
      </c>
      <c r="K54" s="2" t="str">
        <f t="shared" si="8"/>
        <v>-</v>
      </c>
      <c r="L54" s="2" t="str">
        <f t="shared" si="9"/>
        <v>-</v>
      </c>
      <c r="M54" s="2" t="str">
        <f t="shared" si="10"/>
        <v>-</v>
      </c>
      <c r="N54" s="2" t="str">
        <f t="shared" si="11"/>
        <v>-</v>
      </c>
      <c r="O54" s="25">
        <f t="shared" si="12"/>
        <v>0</v>
      </c>
      <c r="P54" s="29">
        <f t="shared" si="13"/>
        <v>0</v>
      </c>
      <c r="Q54" s="29">
        <f t="shared" si="14"/>
        <v>0</v>
      </c>
      <c r="R54" s="2" t="str">
        <f t="shared" si="15"/>
        <v>-</v>
      </c>
      <c r="S54" s="2" t="str">
        <f t="shared" si="16"/>
        <v>-</v>
      </c>
      <c r="T54" s="2" t="str">
        <f t="shared" si="17"/>
        <v>-</v>
      </c>
      <c r="U54" s="2" t="str">
        <f t="shared" si="18"/>
        <v>-</v>
      </c>
      <c r="V54" s="2" t="str">
        <f t="shared" si="19"/>
        <v>-</v>
      </c>
      <c r="W54" s="2" t="str">
        <f t="shared" si="20"/>
        <v>-</v>
      </c>
      <c r="X54" s="25">
        <f t="shared" si="21"/>
        <v>0</v>
      </c>
      <c r="Y54" s="29">
        <f t="shared" si="22"/>
        <v>0</v>
      </c>
      <c r="Z54" s="29">
        <f t="shared" si="23"/>
        <v>0</v>
      </c>
      <c r="AA54" s="2" t="str">
        <f t="shared" si="24"/>
        <v>-</v>
      </c>
      <c r="AB54" s="2" t="str">
        <f t="shared" si="25"/>
        <v>-</v>
      </c>
      <c r="AC54" s="2" t="str">
        <f t="shared" si="26"/>
        <v>-</v>
      </c>
      <c r="AD54" s="2" t="str">
        <f t="shared" si="27"/>
        <v>-</v>
      </c>
      <c r="AE54" s="2" t="str">
        <f t="shared" si="28"/>
        <v>-</v>
      </c>
      <c r="AF54" s="2" t="str">
        <f t="shared" si="29"/>
        <v>-</v>
      </c>
    </row>
    <row r="55" ht="14.25" customHeight="1">
      <c r="A55" s="2"/>
      <c r="B55" s="29"/>
      <c r="C55" s="2"/>
      <c r="D55" s="2" t="str">
        <f t="shared" si="1"/>
        <v/>
      </c>
      <c r="E55" s="29">
        <f t="shared" si="2"/>
        <v>0</v>
      </c>
      <c r="F55" s="25">
        <f t="shared" si="3"/>
        <v>0</v>
      </c>
      <c r="G55" s="29">
        <f t="shared" si="4"/>
        <v>0</v>
      </c>
      <c r="H55" s="29">
        <f t="shared" si="5"/>
        <v>0</v>
      </c>
      <c r="I55" s="2" t="str">
        <f t="shared" si="6"/>
        <v>-</v>
      </c>
      <c r="J55" s="2" t="str">
        <f t="shared" si="7"/>
        <v>-</v>
      </c>
      <c r="K55" s="2" t="str">
        <f t="shared" si="8"/>
        <v>-</v>
      </c>
      <c r="L55" s="2" t="str">
        <f t="shared" si="9"/>
        <v>-</v>
      </c>
      <c r="M55" s="2" t="str">
        <f t="shared" si="10"/>
        <v>-</v>
      </c>
      <c r="N55" s="2" t="str">
        <f t="shared" si="11"/>
        <v>-</v>
      </c>
      <c r="O55" s="25">
        <f t="shared" si="12"/>
        <v>0</v>
      </c>
      <c r="P55" s="29">
        <f t="shared" si="13"/>
        <v>0</v>
      </c>
      <c r="Q55" s="29">
        <f t="shared" si="14"/>
        <v>0</v>
      </c>
      <c r="R55" s="2" t="str">
        <f t="shared" si="15"/>
        <v>-</v>
      </c>
      <c r="S55" s="2" t="str">
        <f t="shared" si="16"/>
        <v>-</v>
      </c>
      <c r="T55" s="2" t="str">
        <f t="shared" si="17"/>
        <v>-</v>
      </c>
      <c r="U55" s="2" t="str">
        <f t="shared" si="18"/>
        <v>-</v>
      </c>
      <c r="V55" s="2" t="str">
        <f t="shared" si="19"/>
        <v>-</v>
      </c>
      <c r="W55" s="2" t="str">
        <f t="shared" si="20"/>
        <v>-</v>
      </c>
      <c r="X55" s="25">
        <f t="shared" si="21"/>
        <v>0</v>
      </c>
      <c r="Y55" s="29">
        <f t="shared" si="22"/>
        <v>0</v>
      </c>
      <c r="Z55" s="29">
        <f t="shared" si="23"/>
        <v>0</v>
      </c>
      <c r="AA55" s="2" t="str">
        <f t="shared" si="24"/>
        <v>-</v>
      </c>
      <c r="AB55" s="2" t="str">
        <f t="shared" si="25"/>
        <v>-</v>
      </c>
      <c r="AC55" s="2" t="str">
        <f t="shared" si="26"/>
        <v>-</v>
      </c>
      <c r="AD55" s="2" t="str">
        <f t="shared" si="27"/>
        <v>-</v>
      </c>
      <c r="AE55" s="2" t="str">
        <f t="shared" si="28"/>
        <v>-</v>
      </c>
      <c r="AF55" s="2" t="str">
        <f t="shared" si="29"/>
        <v>-</v>
      </c>
    </row>
    <row r="56" ht="14.25" customHeight="1">
      <c r="A56" s="2"/>
      <c r="B56" s="29"/>
      <c r="C56" s="2"/>
      <c r="D56" s="2" t="str">
        <f t="shared" si="1"/>
        <v/>
      </c>
      <c r="E56" s="29">
        <f t="shared" si="2"/>
        <v>0</v>
      </c>
      <c r="F56" s="25">
        <f t="shared" si="3"/>
        <v>0</v>
      </c>
      <c r="G56" s="29">
        <f t="shared" si="4"/>
        <v>0</v>
      </c>
      <c r="H56" s="29">
        <f t="shared" si="5"/>
        <v>0</v>
      </c>
      <c r="I56" s="2" t="str">
        <f t="shared" si="6"/>
        <v>-</v>
      </c>
      <c r="J56" s="2" t="str">
        <f t="shared" si="7"/>
        <v>-</v>
      </c>
      <c r="K56" s="2" t="str">
        <f t="shared" si="8"/>
        <v>-</v>
      </c>
      <c r="L56" s="2" t="str">
        <f t="shared" si="9"/>
        <v>-</v>
      </c>
      <c r="M56" s="2" t="str">
        <f t="shared" si="10"/>
        <v>-</v>
      </c>
      <c r="N56" s="2" t="str">
        <f t="shared" si="11"/>
        <v>-</v>
      </c>
      <c r="O56" s="25">
        <f t="shared" si="12"/>
        <v>0</v>
      </c>
      <c r="P56" s="29">
        <f t="shared" si="13"/>
        <v>0</v>
      </c>
      <c r="Q56" s="29">
        <f t="shared" si="14"/>
        <v>0</v>
      </c>
      <c r="R56" s="2" t="str">
        <f t="shared" si="15"/>
        <v>-</v>
      </c>
      <c r="S56" s="2" t="str">
        <f t="shared" si="16"/>
        <v>-</v>
      </c>
      <c r="T56" s="2" t="str">
        <f t="shared" si="17"/>
        <v>-</v>
      </c>
      <c r="U56" s="2" t="str">
        <f t="shared" si="18"/>
        <v>-</v>
      </c>
      <c r="V56" s="2" t="str">
        <f t="shared" si="19"/>
        <v>-</v>
      </c>
      <c r="W56" s="2" t="str">
        <f t="shared" si="20"/>
        <v>-</v>
      </c>
      <c r="X56" s="25">
        <f t="shared" si="21"/>
        <v>0</v>
      </c>
      <c r="Y56" s="29">
        <f t="shared" si="22"/>
        <v>0</v>
      </c>
      <c r="Z56" s="29">
        <f t="shared" si="23"/>
        <v>0</v>
      </c>
      <c r="AA56" s="2" t="str">
        <f t="shared" si="24"/>
        <v>-</v>
      </c>
      <c r="AB56" s="2" t="str">
        <f t="shared" si="25"/>
        <v>-</v>
      </c>
      <c r="AC56" s="2" t="str">
        <f t="shared" si="26"/>
        <v>-</v>
      </c>
      <c r="AD56" s="2" t="str">
        <f t="shared" si="27"/>
        <v>-</v>
      </c>
      <c r="AE56" s="2" t="str">
        <f t="shared" si="28"/>
        <v>-</v>
      </c>
      <c r="AF56" s="2" t="str">
        <f t="shared" si="29"/>
        <v>-</v>
      </c>
    </row>
    <row r="57" ht="14.25" customHeight="1">
      <c r="A57" s="2"/>
      <c r="B57" s="29"/>
      <c r="C57" s="2"/>
      <c r="D57" s="2" t="str">
        <f t="shared" si="1"/>
        <v/>
      </c>
      <c r="E57" s="29">
        <f t="shared" si="2"/>
        <v>0</v>
      </c>
      <c r="F57" s="25">
        <f t="shared" si="3"/>
        <v>0</v>
      </c>
      <c r="G57" s="29">
        <f t="shared" si="4"/>
        <v>0</v>
      </c>
      <c r="H57" s="29">
        <f t="shared" si="5"/>
        <v>0</v>
      </c>
      <c r="I57" s="2" t="str">
        <f t="shared" si="6"/>
        <v>-</v>
      </c>
      <c r="J57" s="2" t="str">
        <f t="shared" si="7"/>
        <v>-</v>
      </c>
      <c r="K57" s="2" t="str">
        <f t="shared" si="8"/>
        <v>-</v>
      </c>
      <c r="L57" s="2" t="str">
        <f t="shared" si="9"/>
        <v>-</v>
      </c>
      <c r="M57" s="2" t="str">
        <f t="shared" si="10"/>
        <v>-</v>
      </c>
      <c r="N57" s="2" t="str">
        <f t="shared" si="11"/>
        <v>-</v>
      </c>
      <c r="O57" s="25">
        <f t="shared" si="12"/>
        <v>0</v>
      </c>
      <c r="P57" s="29">
        <f t="shared" si="13"/>
        <v>0</v>
      </c>
      <c r="Q57" s="29">
        <f t="shared" si="14"/>
        <v>0</v>
      </c>
      <c r="R57" s="2" t="str">
        <f t="shared" si="15"/>
        <v>-</v>
      </c>
      <c r="S57" s="2" t="str">
        <f t="shared" si="16"/>
        <v>-</v>
      </c>
      <c r="T57" s="2" t="str">
        <f t="shared" si="17"/>
        <v>-</v>
      </c>
      <c r="U57" s="2" t="str">
        <f t="shared" si="18"/>
        <v>-</v>
      </c>
      <c r="V57" s="2" t="str">
        <f t="shared" si="19"/>
        <v>-</v>
      </c>
      <c r="W57" s="2" t="str">
        <f t="shared" si="20"/>
        <v>-</v>
      </c>
      <c r="X57" s="25">
        <f t="shared" si="21"/>
        <v>0</v>
      </c>
      <c r="Y57" s="29">
        <f t="shared" si="22"/>
        <v>0</v>
      </c>
      <c r="Z57" s="29">
        <f t="shared" si="23"/>
        <v>0</v>
      </c>
      <c r="AA57" s="2" t="str">
        <f t="shared" si="24"/>
        <v>-</v>
      </c>
      <c r="AB57" s="2" t="str">
        <f t="shared" si="25"/>
        <v>-</v>
      </c>
      <c r="AC57" s="2" t="str">
        <f t="shared" si="26"/>
        <v>-</v>
      </c>
      <c r="AD57" s="2" t="str">
        <f t="shared" si="27"/>
        <v>-</v>
      </c>
      <c r="AE57" s="2" t="str">
        <f t="shared" si="28"/>
        <v>-</v>
      </c>
      <c r="AF57" s="2" t="str">
        <f t="shared" si="29"/>
        <v>-</v>
      </c>
    </row>
    <row r="58" ht="14.25" customHeight="1">
      <c r="A58" s="2"/>
      <c r="B58" s="29"/>
      <c r="C58" s="2"/>
      <c r="D58" s="2" t="str">
        <f t="shared" si="1"/>
        <v/>
      </c>
      <c r="E58" s="29">
        <f t="shared" si="2"/>
        <v>0</v>
      </c>
      <c r="F58" s="25">
        <f t="shared" si="3"/>
        <v>0</v>
      </c>
      <c r="G58" s="29">
        <f t="shared" si="4"/>
        <v>0</v>
      </c>
      <c r="H58" s="29">
        <f t="shared" si="5"/>
        <v>0</v>
      </c>
      <c r="I58" s="2" t="str">
        <f t="shared" si="6"/>
        <v>-</v>
      </c>
      <c r="J58" s="2" t="str">
        <f t="shared" si="7"/>
        <v>-</v>
      </c>
      <c r="K58" s="2" t="str">
        <f t="shared" si="8"/>
        <v>-</v>
      </c>
      <c r="L58" s="2" t="str">
        <f t="shared" si="9"/>
        <v>-</v>
      </c>
      <c r="M58" s="2" t="str">
        <f t="shared" si="10"/>
        <v>-</v>
      </c>
      <c r="N58" s="2" t="str">
        <f t="shared" si="11"/>
        <v>-</v>
      </c>
      <c r="O58" s="25">
        <f t="shared" si="12"/>
        <v>0</v>
      </c>
      <c r="P58" s="29">
        <f t="shared" si="13"/>
        <v>0</v>
      </c>
      <c r="Q58" s="29">
        <f t="shared" si="14"/>
        <v>0</v>
      </c>
      <c r="R58" s="2" t="str">
        <f t="shared" si="15"/>
        <v>-</v>
      </c>
      <c r="S58" s="2" t="str">
        <f t="shared" si="16"/>
        <v>-</v>
      </c>
      <c r="T58" s="2" t="str">
        <f t="shared" si="17"/>
        <v>-</v>
      </c>
      <c r="U58" s="2" t="str">
        <f t="shared" si="18"/>
        <v>-</v>
      </c>
      <c r="V58" s="2" t="str">
        <f t="shared" si="19"/>
        <v>-</v>
      </c>
      <c r="W58" s="2" t="str">
        <f t="shared" si="20"/>
        <v>-</v>
      </c>
      <c r="X58" s="25">
        <f t="shared" si="21"/>
        <v>0</v>
      </c>
      <c r="Y58" s="29">
        <f t="shared" si="22"/>
        <v>0</v>
      </c>
      <c r="Z58" s="29">
        <f t="shared" si="23"/>
        <v>0</v>
      </c>
      <c r="AA58" s="2" t="str">
        <f t="shared" si="24"/>
        <v>-</v>
      </c>
      <c r="AB58" s="2" t="str">
        <f t="shared" si="25"/>
        <v>-</v>
      </c>
      <c r="AC58" s="2" t="str">
        <f t="shared" si="26"/>
        <v>-</v>
      </c>
      <c r="AD58" s="2" t="str">
        <f t="shared" si="27"/>
        <v>-</v>
      </c>
      <c r="AE58" s="2" t="str">
        <f t="shared" si="28"/>
        <v>-</v>
      </c>
      <c r="AF58" s="2" t="str">
        <f t="shared" si="29"/>
        <v>-</v>
      </c>
    </row>
    <row r="59" ht="14.25" customHeight="1">
      <c r="A59" s="2"/>
      <c r="B59" s="29"/>
      <c r="C59" s="2"/>
      <c r="D59" s="2" t="str">
        <f t="shared" si="1"/>
        <v/>
      </c>
      <c r="E59" s="29">
        <f t="shared" si="2"/>
        <v>0</v>
      </c>
      <c r="F59" s="25">
        <f t="shared" si="3"/>
        <v>0</v>
      </c>
      <c r="G59" s="29">
        <f t="shared" si="4"/>
        <v>0</v>
      </c>
      <c r="H59" s="29">
        <f t="shared" si="5"/>
        <v>0</v>
      </c>
      <c r="I59" s="2" t="str">
        <f t="shared" si="6"/>
        <v>-</v>
      </c>
      <c r="J59" s="2" t="str">
        <f t="shared" si="7"/>
        <v>-</v>
      </c>
      <c r="K59" s="2" t="str">
        <f t="shared" si="8"/>
        <v>-</v>
      </c>
      <c r="L59" s="2" t="str">
        <f t="shared" si="9"/>
        <v>-</v>
      </c>
      <c r="M59" s="2" t="str">
        <f t="shared" si="10"/>
        <v>-</v>
      </c>
      <c r="N59" s="2" t="str">
        <f t="shared" si="11"/>
        <v>-</v>
      </c>
      <c r="O59" s="25">
        <f t="shared" si="12"/>
        <v>0</v>
      </c>
      <c r="P59" s="29">
        <f t="shared" si="13"/>
        <v>0</v>
      </c>
      <c r="Q59" s="29">
        <f t="shared" si="14"/>
        <v>0</v>
      </c>
      <c r="R59" s="2" t="str">
        <f t="shared" si="15"/>
        <v>-</v>
      </c>
      <c r="S59" s="2" t="str">
        <f t="shared" si="16"/>
        <v>-</v>
      </c>
      <c r="T59" s="2" t="str">
        <f t="shared" si="17"/>
        <v>-</v>
      </c>
      <c r="U59" s="2" t="str">
        <f t="shared" si="18"/>
        <v>-</v>
      </c>
      <c r="V59" s="2" t="str">
        <f t="shared" si="19"/>
        <v>-</v>
      </c>
      <c r="W59" s="2" t="str">
        <f t="shared" si="20"/>
        <v>-</v>
      </c>
      <c r="X59" s="25">
        <f t="shared" si="21"/>
        <v>0</v>
      </c>
      <c r="Y59" s="29">
        <f t="shared" si="22"/>
        <v>0</v>
      </c>
      <c r="Z59" s="29">
        <f t="shared" si="23"/>
        <v>0</v>
      </c>
      <c r="AA59" s="2" t="str">
        <f t="shared" si="24"/>
        <v>-</v>
      </c>
      <c r="AB59" s="2" t="str">
        <f t="shared" si="25"/>
        <v>-</v>
      </c>
      <c r="AC59" s="2" t="str">
        <f t="shared" si="26"/>
        <v>-</v>
      </c>
      <c r="AD59" s="2" t="str">
        <f t="shared" si="27"/>
        <v>-</v>
      </c>
      <c r="AE59" s="2" t="str">
        <f t="shared" si="28"/>
        <v>-</v>
      </c>
      <c r="AF59" s="2" t="str">
        <f t="shared" si="29"/>
        <v>-</v>
      </c>
    </row>
    <row r="60" ht="14.25" customHeight="1">
      <c r="A60" s="2"/>
      <c r="B60" s="29"/>
      <c r="C60" s="2"/>
      <c r="D60" s="2" t="str">
        <f t="shared" si="1"/>
        <v/>
      </c>
      <c r="E60" s="29">
        <f t="shared" si="2"/>
        <v>0</v>
      </c>
      <c r="F60" s="25">
        <f t="shared" si="3"/>
        <v>0</v>
      </c>
      <c r="G60" s="29">
        <f t="shared" si="4"/>
        <v>0</v>
      </c>
      <c r="H60" s="29">
        <f t="shared" si="5"/>
        <v>0</v>
      </c>
      <c r="I60" s="2" t="str">
        <f t="shared" si="6"/>
        <v>-</v>
      </c>
      <c r="J60" s="2" t="str">
        <f t="shared" si="7"/>
        <v>-</v>
      </c>
      <c r="K60" s="2" t="str">
        <f t="shared" si="8"/>
        <v>-</v>
      </c>
      <c r="L60" s="2" t="str">
        <f t="shared" si="9"/>
        <v>-</v>
      </c>
      <c r="M60" s="2" t="str">
        <f t="shared" si="10"/>
        <v>-</v>
      </c>
      <c r="N60" s="2" t="str">
        <f t="shared" si="11"/>
        <v>-</v>
      </c>
      <c r="O60" s="25">
        <f t="shared" si="12"/>
        <v>0</v>
      </c>
      <c r="P60" s="29">
        <f t="shared" si="13"/>
        <v>0</v>
      </c>
      <c r="Q60" s="29">
        <f t="shared" si="14"/>
        <v>0</v>
      </c>
      <c r="R60" s="2" t="str">
        <f t="shared" si="15"/>
        <v>-</v>
      </c>
      <c r="S60" s="2" t="str">
        <f t="shared" si="16"/>
        <v>-</v>
      </c>
      <c r="T60" s="2" t="str">
        <f t="shared" si="17"/>
        <v>-</v>
      </c>
      <c r="U60" s="2" t="str">
        <f t="shared" si="18"/>
        <v>-</v>
      </c>
      <c r="V60" s="2" t="str">
        <f t="shared" si="19"/>
        <v>-</v>
      </c>
      <c r="W60" s="2" t="str">
        <f t="shared" si="20"/>
        <v>-</v>
      </c>
      <c r="X60" s="25">
        <f t="shared" si="21"/>
        <v>0</v>
      </c>
      <c r="Y60" s="29">
        <f t="shared" si="22"/>
        <v>0</v>
      </c>
      <c r="Z60" s="29">
        <f t="shared" si="23"/>
        <v>0</v>
      </c>
      <c r="AA60" s="2" t="str">
        <f t="shared" si="24"/>
        <v>-</v>
      </c>
      <c r="AB60" s="2" t="str">
        <f t="shared" si="25"/>
        <v>-</v>
      </c>
      <c r="AC60" s="2" t="str">
        <f t="shared" si="26"/>
        <v>-</v>
      </c>
      <c r="AD60" s="2" t="str">
        <f t="shared" si="27"/>
        <v>-</v>
      </c>
      <c r="AE60" s="2" t="str">
        <f t="shared" si="28"/>
        <v>-</v>
      </c>
      <c r="AF60" s="2" t="str">
        <f t="shared" si="29"/>
        <v>-</v>
      </c>
    </row>
    <row r="61" ht="14.25" customHeight="1">
      <c r="A61" s="2"/>
      <c r="B61" s="29"/>
      <c r="C61" s="2"/>
      <c r="D61" s="2" t="str">
        <f t="shared" si="1"/>
        <v/>
      </c>
      <c r="E61" s="29">
        <f t="shared" si="2"/>
        <v>0</v>
      </c>
      <c r="F61" s="25">
        <f t="shared" si="3"/>
        <v>0</v>
      </c>
      <c r="G61" s="29">
        <f t="shared" si="4"/>
        <v>0</v>
      </c>
      <c r="H61" s="29">
        <f t="shared" si="5"/>
        <v>0</v>
      </c>
      <c r="I61" s="2" t="str">
        <f t="shared" si="6"/>
        <v>-</v>
      </c>
      <c r="J61" s="2" t="str">
        <f t="shared" si="7"/>
        <v>-</v>
      </c>
      <c r="K61" s="2" t="str">
        <f t="shared" si="8"/>
        <v>-</v>
      </c>
      <c r="L61" s="2" t="str">
        <f t="shared" si="9"/>
        <v>-</v>
      </c>
      <c r="M61" s="2" t="str">
        <f t="shared" si="10"/>
        <v>-</v>
      </c>
      <c r="N61" s="2" t="str">
        <f t="shared" si="11"/>
        <v>-</v>
      </c>
      <c r="O61" s="25">
        <f t="shared" si="12"/>
        <v>0</v>
      </c>
      <c r="P61" s="29">
        <f t="shared" si="13"/>
        <v>0</v>
      </c>
      <c r="Q61" s="29">
        <f t="shared" si="14"/>
        <v>0</v>
      </c>
      <c r="R61" s="2" t="str">
        <f t="shared" si="15"/>
        <v>-</v>
      </c>
      <c r="S61" s="2" t="str">
        <f t="shared" si="16"/>
        <v>-</v>
      </c>
      <c r="T61" s="2" t="str">
        <f t="shared" si="17"/>
        <v>-</v>
      </c>
      <c r="U61" s="2" t="str">
        <f t="shared" si="18"/>
        <v>-</v>
      </c>
      <c r="V61" s="2" t="str">
        <f t="shared" si="19"/>
        <v>-</v>
      </c>
      <c r="W61" s="2" t="str">
        <f t="shared" si="20"/>
        <v>-</v>
      </c>
      <c r="X61" s="25">
        <f t="shared" si="21"/>
        <v>0</v>
      </c>
      <c r="Y61" s="29">
        <f t="shared" si="22"/>
        <v>0</v>
      </c>
      <c r="Z61" s="29">
        <f t="shared" si="23"/>
        <v>0</v>
      </c>
      <c r="AA61" s="2" t="str">
        <f t="shared" si="24"/>
        <v>-</v>
      </c>
      <c r="AB61" s="2" t="str">
        <f t="shared" si="25"/>
        <v>-</v>
      </c>
      <c r="AC61" s="2" t="str">
        <f t="shared" si="26"/>
        <v>-</v>
      </c>
      <c r="AD61" s="2" t="str">
        <f t="shared" si="27"/>
        <v>-</v>
      </c>
      <c r="AE61" s="2" t="str">
        <f t="shared" si="28"/>
        <v>-</v>
      </c>
      <c r="AF61" s="2" t="str">
        <f t="shared" si="29"/>
        <v>-</v>
      </c>
    </row>
    <row r="62" ht="14.25" customHeight="1">
      <c r="A62" s="2"/>
      <c r="B62" s="29"/>
      <c r="C62" s="2"/>
      <c r="D62" s="2" t="str">
        <f t="shared" si="1"/>
        <v/>
      </c>
      <c r="E62" s="29">
        <f t="shared" si="2"/>
        <v>0</v>
      </c>
      <c r="F62" s="25">
        <f t="shared" si="3"/>
        <v>0</v>
      </c>
      <c r="G62" s="29">
        <f t="shared" si="4"/>
        <v>0</v>
      </c>
      <c r="H62" s="29">
        <f t="shared" si="5"/>
        <v>0</v>
      </c>
      <c r="I62" s="2" t="str">
        <f t="shared" si="6"/>
        <v>-</v>
      </c>
      <c r="J62" s="2" t="str">
        <f t="shared" si="7"/>
        <v>-</v>
      </c>
      <c r="K62" s="2" t="str">
        <f t="shared" si="8"/>
        <v>-</v>
      </c>
      <c r="L62" s="2" t="str">
        <f t="shared" si="9"/>
        <v>-</v>
      </c>
      <c r="M62" s="2" t="str">
        <f t="shared" si="10"/>
        <v>-</v>
      </c>
      <c r="N62" s="2" t="str">
        <f t="shared" si="11"/>
        <v>-</v>
      </c>
      <c r="O62" s="25">
        <f t="shared" si="12"/>
        <v>0</v>
      </c>
      <c r="P62" s="29">
        <f t="shared" si="13"/>
        <v>0</v>
      </c>
      <c r="Q62" s="29">
        <f t="shared" si="14"/>
        <v>0</v>
      </c>
      <c r="R62" s="2" t="str">
        <f t="shared" si="15"/>
        <v>-</v>
      </c>
      <c r="S62" s="2" t="str">
        <f t="shared" si="16"/>
        <v>-</v>
      </c>
      <c r="T62" s="2" t="str">
        <f t="shared" si="17"/>
        <v>-</v>
      </c>
      <c r="U62" s="2" t="str">
        <f t="shared" si="18"/>
        <v>-</v>
      </c>
      <c r="V62" s="2" t="str">
        <f t="shared" si="19"/>
        <v>-</v>
      </c>
      <c r="W62" s="2" t="str">
        <f t="shared" si="20"/>
        <v>-</v>
      </c>
      <c r="X62" s="25">
        <f t="shared" si="21"/>
        <v>0</v>
      </c>
      <c r="Y62" s="29">
        <f t="shared" si="22"/>
        <v>0</v>
      </c>
      <c r="Z62" s="29">
        <f t="shared" si="23"/>
        <v>0</v>
      </c>
      <c r="AA62" s="2" t="str">
        <f t="shared" si="24"/>
        <v>-</v>
      </c>
      <c r="AB62" s="2" t="str">
        <f t="shared" si="25"/>
        <v>-</v>
      </c>
      <c r="AC62" s="2" t="str">
        <f t="shared" si="26"/>
        <v>-</v>
      </c>
      <c r="AD62" s="2" t="str">
        <f t="shared" si="27"/>
        <v>-</v>
      </c>
      <c r="AE62" s="2" t="str">
        <f t="shared" si="28"/>
        <v>-</v>
      </c>
      <c r="AF62" s="2" t="str">
        <f t="shared" si="29"/>
        <v>-</v>
      </c>
    </row>
    <row r="63" ht="14.25" customHeight="1">
      <c r="A63" s="2"/>
      <c r="B63" s="2"/>
      <c r="C63" s="2"/>
      <c r="D63" s="2" t="str">
        <f t="shared" si="1"/>
        <v/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4.25" customHeight="1">
      <c r="A64" s="2"/>
      <c r="B64" s="2"/>
      <c r="C64" s="2"/>
      <c r="D64" s="2" t="str">
        <f t="shared" si="1"/>
        <v/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4.25" customHeight="1">
      <c r="A65" s="2"/>
      <c r="B65" s="2"/>
      <c r="C65" s="2"/>
      <c r="D65" s="2" t="str">
        <f t="shared" si="1"/>
        <v/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4.25" customHeight="1">
      <c r="A66" s="2"/>
      <c r="B66" s="2"/>
      <c r="C66" s="2"/>
      <c r="D66" s="2" t="str">
        <f t="shared" si="1"/>
        <v/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4.25" customHeight="1">
      <c r="A67" s="2"/>
      <c r="B67" s="2"/>
      <c r="C67" s="2"/>
      <c r="D67" s="2" t="str">
        <f t="shared" si="1"/>
        <v/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4.25" customHeight="1">
      <c r="A68" s="2"/>
      <c r="B68" s="2"/>
      <c r="C68" s="2"/>
      <c r="D68" s="2" t="str">
        <f t="shared" si="1"/>
        <v/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4.25" customHeight="1">
      <c r="A69" s="2"/>
      <c r="B69" s="2"/>
      <c r="C69" s="2"/>
      <c r="D69" s="2" t="str">
        <f t="shared" si="1"/>
        <v/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4.25" customHeight="1">
      <c r="A70" s="2"/>
      <c r="B70" s="2"/>
      <c r="C70" s="2"/>
      <c r="D70" s="2" t="str">
        <f t="shared" si="1"/>
        <v/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4.25" customHeight="1">
      <c r="A71" s="2"/>
      <c r="B71" s="2"/>
      <c r="C71" s="2"/>
      <c r="D71" s="2" t="str">
        <f t="shared" si="1"/>
        <v/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4.25" customHeight="1">
      <c r="A72" s="2"/>
      <c r="B72" s="2"/>
      <c r="C72" s="2"/>
      <c r="D72" s="2" t="str">
        <f t="shared" si="1"/>
        <v/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4.25" customHeight="1">
      <c r="A73" s="2"/>
      <c r="B73" s="2"/>
      <c r="C73" s="2"/>
      <c r="D73" s="2" t="str">
        <f t="shared" si="1"/>
        <v/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4.25" customHeight="1">
      <c r="A74" s="2"/>
      <c r="B74" s="2"/>
      <c r="C74" s="2"/>
      <c r="D74" s="2" t="str">
        <f t="shared" si="1"/>
        <v/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4.25" customHeight="1">
      <c r="A75" s="2"/>
      <c r="B75" s="2"/>
      <c r="C75" s="2"/>
      <c r="D75" s="2" t="str">
        <f t="shared" si="1"/>
        <v/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4.25" customHeight="1">
      <c r="A76" s="2"/>
      <c r="B76" s="2"/>
      <c r="C76" s="2"/>
      <c r="D76" s="2" t="str">
        <f t="shared" si="1"/>
        <v/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4.25" customHeight="1">
      <c r="A77" s="2"/>
      <c r="B77" s="2"/>
      <c r="C77" s="2"/>
      <c r="D77" s="2" t="str">
        <f t="shared" si="1"/>
        <v/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4.25" customHeight="1">
      <c r="A78" s="2"/>
      <c r="B78" s="2"/>
      <c r="C78" s="2"/>
      <c r="D78" s="2" t="str">
        <f t="shared" si="1"/>
        <v/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4.25" customHeight="1">
      <c r="A79" s="2"/>
      <c r="B79" s="2"/>
      <c r="C79" s="2"/>
      <c r="D79" s="2" t="str">
        <f t="shared" si="1"/>
        <v/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4.25" customHeight="1">
      <c r="A80" s="2"/>
      <c r="B80" s="2"/>
      <c r="C80" s="2"/>
      <c r="D80" s="2" t="str">
        <f t="shared" si="1"/>
        <v/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4.25" customHeight="1">
      <c r="A81" s="2"/>
      <c r="B81" s="2"/>
      <c r="C81" s="2"/>
      <c r="D81" s="2" t="str">
        <f t="shared" si="1"/>
        <v/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4.25" customHeight="1">
      <c r="A82" s="2"/>
      <c r="B82" s="2"/>
      <c r="C82" s="2"/>
      <c r="D82" s="2" t="str">
        <f t="shared" si="1"/>
        <v/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4.25" customHeight="1">
      <c r="A83" s="2"/>
      <c r="B83" s="2"/>
      <c r="C83" s="2"/>
      <c r="D83" s="2" t="str">
        <f t="shared" si="1"/>
        <v/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4.25" customHeight="1">
      <c r="A84" s="2"/>
      <c r="B84" s="2"/>
      <c r="C84" s="2"/>
      <c r="D84" s="2" t="str">
        <f t="shared" si="1"/>
        <v/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4.25" customHeight="1">
      <c r="A85" s="2"/>
      <c r="B85" s="2"/>
      <c r="C85" s="2"/>
      <c r="D85" s="2" t="str">
        <f t="shared" si="1"/>
        <v/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4.25" customHeight="1">
      <c r="A86" s="2"/>
      <c r="B86" s="2"/>
      <c r="C86" s="2"/>
      <c r="D86" s="2" t="str">
        <f t="shared" si="1"/>
        <v/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4.25" customHeight="1">
      <c r="A87" s="2"/>
      <c r="B87" s="2"/>
      <c r="C87" s="2"/>
      <c r="D87" s="2" t="str">
        <f t="shared" si="1"/>
        <v/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4.25" customHeight="1">
      <c r="A88" s="2"/>
      <c r="B88" s="2"/>
      <c r="C88" s="2"/>
      <c r="D88" s="2" t="str">
        <f t="shared" si="1"/>
        <v/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4.25" customHeight="1">
      <c r="A89" s="2"/>
      <c r="B89" s="2"/>
      <c r="C89" s="2"/>
      <c r="D89" s="2" t="str">
        <f t="shared" si="1"/>
        <v/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4.25" customHeight="1">
      <c r="A90" s="2"/>
      <c r="B90" s="2"/>
      <c r="C90" s="2"/>
      <c r="D90" s="2" t="str">
        <f t="shared" si="1"/>
        <v/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4.25" customHeight="1">
      <c r="A91" s="2"/>
      <c r="B91" s="2"/>
      <c r="C91" s="2"/>
      <c r="D91" s="2" t="str">
        <f t="shared" si="1"/>
        <v/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4.25" customHeight="1">
      <c r="A92" s="2"/>
      <c r="B92" s="2"/>
      <c r="C92" s="2"/>
      <c r="D92" s="2" t="str">
        <f t="shared" si="1"/>
        <v/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4.25" customHeight="1">
      <c r="A93" s="2"/>
      <c r="B93" s="2"/>
      <c r="C93" s="2"/>
      <c r="D93" s="2" t="str">
        <f t="shared" si="1"/>
        <v/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4.25" customHeight="1">
      <c r="A94" s="2"/>
      <c r="B94" s="2"/>
      <c r="C94" s="2"/>
      <c r="D94" s="2" t="str">
        <f t="shared" si="1"/>
        <v/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4.25" customHeight="1">
      <c r="A95" s="2"/>
      <c r="B95" s="2"/>
      <c r="C95" s="2"/>
      <c r="D95" s="2" t="str">
        <f t="shared" si="1"/>
        <v/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4.25" customHeight="1">
      <c r="A96" s="2"/>
      <c r="B96" s="2"/>
      <c r="C96" s="2"/>
      <c r="D96" s="2" t="str">
        <f t="shared" si="1"/>
        <v/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4.25" customHeight="1">
      <c r="A97" s="2"/>
      <c r="B97" s="2"/>
      <c r="C97" s="2"/>
      <c r="D97" s="2" t="str">
        <f t="shared" si="1"/>
        <v/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4.25" customHeight="1">
      <c r="A98" s="2"/>
      <c r="B98" s="2"/>
      <c r="C98" s="2"/>
      <c r="D98" s="2" t="str">
        <f t="shared" si="1"/>
        <v/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4.25" customHeight="1">
      <c r="A99" s="2"/>
      <c r="B99" s="2"/>
      <c r="C99" s="2"/>
      <c r="D99" s="2" t="str">
        <f t="shared" si="1"/>
        <v/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4.25" customHeight="1">
      <c r="A100" s="2"/>
      <c r="B100" s="2"/>
      <c r="C100" s="2"/>
      <c r="D100" s="2" t="str">
        <f t="shared" si="1"/>
        <v/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4.25" customHeight="1">
      <c r="A101" s="2"/>
      <c r="B101" s="2"/>
      <c r="C101" s="2"/>
      <c r="D101" s="2" t="str">
        <f t="shared" si="1"/>
        <v/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4.25" customHeight="1">
      <c r="A102" s="2"/>
      <c r="B102" s="2"/>
      <c r="C102" s="2"/>
      <c r="D102" s="2" t="str">
        <f t="shared" si="1"/>
        <v/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4.25" customHeight="1">
      <c r="A103" s="2"/>
      <c r="B103" s="2"/>
      <c r="C103" s="2"/>
      <c r="D103" s="2" t="str">
        <f t="shared" si="1"/>
        <v/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4.25" customHeight="1">
      <c r="A104" s="2"/>
      <c r="B104" s="2"/>
      <c r="C104" s="2"/>
      <c r="D104" s="2" t="str">
        <f t="shared" si="1"/>
        <v/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4.25" customHeight="1">
      <c r="A105" s="2"/>
      <c r="B105" s="2"/>
      <c r="C105" s="2"/>
      <c r="D105" s="2" t="str">
        <f t="shared" si="1"/>
        <v/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4.25" customHeight="1">
      <c r="A106" s="2"/>
      <c r="B106" s="2"/>
      <c r="C106" s="2"/>
      <c r="D106" s="2" t="str">
        <f t="shared" si="1"/>
        <v/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4.25" customHeight="1">
      <c r="A107" s="2"/>
      <c r="B107" s="2"/>
      <c r="C107" s="2"/>
      <c r="D107" s="2" t="str">
        <f t="shared" si="1"/>
        <v/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4.25" customHeight="1">
      <c r="A108" s="2"/>
      <c r="B108" s="2"/>
      <c r="C108" s="2"/>
      <c r="D108" s="2" t="str">
        <f t="shared" si="1"/>
        <v/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4.25" customHeight="1">
      <c r="A109" s="2"/>
      <c r="B109" s="2"/>
      <c r="C109" s="2"/>
      <c r="D109" s="2" t="str">
        <f t="shared" si="1"/>
        <v/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4.25" customHeight="1">
      <c r="A110" s="2"/>
      <c r="B110" s="2"/>
      <c r="C110" s="2"/>
      <c r="D110" s="2" t="str">
        <f t="shared" si="1"/>
        <v/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4.25" customHeight="1">
      <c r="A111" s="2"/>
      <c r="B111" s="2"/>
      <c r="C111" s="2"/>
      <c r="D111" s="2" t="str">
        <f t="shared" si="1"/>
        <v/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4.25" customHeight="1">
      <c r="A112" s="2"/>
      <c r="B112" s="2"/>
      <c r="C112" s="2"/>
      <c r="D112" s="2" t="str">
        <f t="shared" si="1"/>
        <v/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4.25" customHeight="1">
      <c r="A113" s="2"/>
      <c r="B113" s="2"/>
      <c r="C113" s="2"/>
      <c r="D113" s="2" t="str">
        <f t="shared" si="1"/>
        <v/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4.25" customHeight="1">
      <c r="A114" s="2"/>
      <c r="B114" s="2"/>
      <c r="C114" s="2"/>
      <c r="D114" s="2" t="str">
        <f t="shared" si="1"/>
        <v/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4.25" customHeight="1">
      <c r="A115" s="2"/>
      <c r="B115" s="2"/>
      <c r="C115" s="2"/>
      <c r="D115" s="2" t="str">
        <f t="shared" si="1"/>
        <v/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4.25" customHeight="1">
      <c r="A116" s="2"/>
      <c r="B116" s="2"/>
      <c r="C116" s="2"/>
      <c r="D116" s="2" t="str">
        <f t="shared" si="1"/>
        <v/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4.25" customHeight="1">
      <c r="A117" s="2"/>
      <c r="B117" s="2"/>
      <c r="C117" s="2"/>
      <c r="D117" s="2" t="str">
        <f t="shared" si="1"/>
        <v/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4.25" customHeight="1">
      <c r="A118" s="2"/>
      <c r="B118" s="2"/>
      <c r="C118" s="2"/>
      <c r="D118" s="2" t="str">
        <f t="shared" si="1"/>
        <v/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4.25" customHeight="1">
      <c r="A119" s="2"/>
      <c r="B119" s="2"/>
      <c r="C119" s="2"/>
      <c r="D119" s="2" t="str">
        <f t="shared" si="1"/>
        <v/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4.25" customHeight="1">
      <c r="A120" s="2"/>
      <c r="B120" s="2"/>
      <c r="C120" s="2"/>
      <c r="D120" s="2" t="str">
        <f t="shared" si="1"/>
        <v/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4.25" customHeight="1">
      <c r="A121" s="2"/>
      <c r="B121" s="2"/>
      <c r="C121" s="2"/>
      <c r="D121" s="2" t="str">
        <f t="shared" si="1"/>
        <v/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4.25" customHeight="1">
      <c r="A122" s="2"/>
      <c r="B122" s="2"/>
      <c r="C122" s="2"/>
      <c r="D122" s="2" t="str">
        <f t="shared" si="1"/>
        <v/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4.25" customHeight="1">
      <c r="A123" s="2"/>
      <c r="B123" s="2"/>
      <c r="C123" s="2"/>
      <c r="D123" s="2" t="str">
        <f t="shared" si="1"/>
        <v/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4.25" customHeight="1">
      <c r="A124" s="2"/>
      <c r="B124" s="2"/>
      <c r="C124" s="2"/>
      <c r="D124" s="2" t="str">
        <f t="shared" si="1"/>
        <v/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4.25" customHeight="1">
      <c r="A125" s="2"/>
      <c r="B125" s="2"/>
      <c r="C125" s="2"/>
      <c r="D125" s="2" t="str">
        <f t="shared" si="1"/>
        <v/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4.25" customHeight="1">
      <c r="A126" s="2"/>
      <c r="B126" s="2"/>
      <c r="C126" s="2"/>
      <c r="D126" s="2" t="str">
        <f t="shared" si="1"/>
        <v/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4.25" customHeight="1">
      <c r="A127" s="2"/>
      <c r="B127" s="2"/>
      <c r="C127" s="2"/>
      <c r="D127" s="2" t="str">
        <f t="shared" si="1"/>
        <v/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4.25" customHeight="1">
      <c r="A128" s="2"/>
      <c r="B128" s="2"/>
      <c r="C128" s="2"/>
      <c r="D128" s="2" t="str">
        <f t="shared" si="1"/>
        <v/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4.25" customHeight="1">
      <c r="A129" s="2"/>
      <c r="B129" s="2"/>
      <c r="C129" s="2"/>
      <c r="D129" s="2" t="str">
        <f t="shared" si="1"/>
        <v/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4.25" customHeight="1">
      <c r="A130" s="2"/>
      <c r="B130" s="2"/>
      <c r="C130" s="2"/>
      <c r="D130" s="2" t="str">
        <f t="shared" si="1"/>
        <v/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4.25" customHeight="1">
      <c r="A131" s="2"/>
      <c r="B131" s="2"/>
      <c r="C131" s="2"/>
      <c r="D131" s="2" t="str">
        <f t="shared" si="1"/>
        <v/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4.25" customHeight="1">
      <c r="A132" s="2"/>
      <c r="B132" s="2"/>
      <c r="C132" s="2"/>
      <c r="D132" s="2" t="str">
        <f t="shared" si="1"/>
        <v/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4.25" customHeight="1">
      <c r="A133" s="2"/>
      <c r="B133" s="2"/>
      <c r="C133" s="2"/>
      <c r="D133" s="2" t="str">
        <f t="shared" si="1"/>
        <v/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4.25" customHeight="1">
      <c r="A134" s="2"/>
      <c r="B134" s="2"/>
      <c r="C134" s="2"/>
      <c r="D134" s="2" t="str">
        <f t="shared" si="1"/>
        <v/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4.25" customHeight="1">
      <c r="A135" s="2"/>
      <c r="B135" s="2"/>
      <c r="C135" s="2"/>
      <c r="D135" s="2" t="str">
        <f t="shared" si="1"/>
        <v/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4.25" customHeight="1">
      <c r="A136" s="2"/>
      <c r="B136" s="2"/>
      <c r="C136" s="2"/>
      <c r="D136" s="2" t="str">
        <f t="shared" si="1"/>
        <v/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4.25" customHeight="1">
      <c r="A137" s="2"/>
      <c r="B137" s="2"/>
      <c r="C137" s="2"/>
      <c r="D137" s="2" t="str">
        <f t="shared" si="1"/>
        <v/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4.25" customHeight="1">
      <c r="A138" s="2"/>
      <c r="B138" s="2"/>
      <c r="C138" s="2"/>
      <c r="D138" s="2" t="str">
        <f t="shared" si="1"/>
        <v/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4.25" customHeight="1">
      <c r="A139" s="2"/>
      <c r="B139" s="2"/>
      <c r="C139" s="2"/>
      <c r="D139" s="2" t="str">
        <f t="shared" si="1"/>
        <v/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4.25" customHeight="1">
      <c r="A140" s="2"/>
      <c r="B140" s="2"/>
      <c r="C140" s="2"/>
      <c r="D140" s="2" t="str">
        <f t="shared" si="1"/>
        <v/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4.25" customHeight="1">
      <c r="A141" s="2"/>
      <c r="B141" s="2"/>
      <c r="C141" s="2"/>
      <c r="D141" s="2" t="str">
        <f t="shared" si="1"/>
        <v/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4.25" customHeight="1">
      <c r="A142" s="2"/>
      <c r="B142" s="2"/>
      <c r="C142" s="2"/>
      <c r="D142" s="2" t="str">
        <f t="shared" si="1"/>
        <v/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4.25" customHeight="1">
      <c r="A143" s="2"/>
      <c r="B143" s="2"/>
      <c r="C143" s="2"/>
      <c r="D143" s="2" t="str">
        <f t="shared" si="1"/>
        <v/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4.25" customHeight="1">
      <c r="A144" s="2"/>
      <c r="B144" s="2"/>
      <c r="C144" s="2"/>
      <c r="D144" s="2" t="str">
        <f t="shared" si="1"/>
        <v/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4.25" customHeight="1">
      <c r="A145" s="2"/>
      <c r="B145" s="2"/>
      <c r="C145" s="2"/>
      <c r="D145" s="2" t="str">
        <f t="shared" si="1"/>
        <v/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4.25" customHeight="1">
      <c r="A146" s="2"/>
      <c r="B146" s="2"/>
      <c r="C146" s="2"/>
      <c r="D146" s="2" t="str">
        <f t="shared" si="1"/>
        <v/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4.25" customHeight="1">
      <c r="A147" s="2"/>
      <c r="B147" s="2"/>
      <c r="C147" s="2"/>
      <c r="D147" s="2" t="str">
        <f t="shared" si="1"/>
        <v/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4.25" customHeight="1">
      <c r="A148" s="2"/>
      <c r="B148" s="2"/>
      <c r="C148" s="2"/>
      <c r="D148" s="2" t="str">
        <f t="shared" si="1"/>
        <v/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4.25" customHeight="1">
      <c r="A149" s="2"/>
      <c r="B149" s="2"/>
      <c r="C149" s="2"/>
      <c r="D149" s="2" t="str">
        <f t="shared" si="1"/>
        <v/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4.25" customHeight="1">
      <c r="A150" s="2"/>
      <c r="B150" s="2"/>
      <c r="C150" s="2"/>
      <c r="D150" s="2" t="str">
        <f t="shared" si="1"/>
        <v/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4.25" customHeight="1">
      <c r="A151" s="2"/>
      <c r="B151" s="2"/>
      <c r="C151" s="2"/>
      <c r="D151" s="2" t="str">
        <f t="shared" si="1"/>
        <v/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4.25" customHeight="1">
      <c r="A152" s="2"/>
      <c r="B152" s="2"/>
      <c r="C152" s="2"/>
      <c r="D152" s="2" t="str">
        <f t="shared" si="1"/>
        <v/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4.25" customHeight="1">
      <c r="A153" s="2"/>
      <c r="B153" s="2"/>
      <c r="C153" s="2"/>
      <c r="D153" s="2" t="str">
        <f t="shared" si="1"/>
        <v/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4.25" customHeight="1">
      <c r="A154" s="2"/>
      <c r="B154" s="2"/>
      <c r="C154" s="2"/>
      <c r="D154" s="2" t="str">
        <f t="shared" si="1"/>
        <v/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4.25" customHeight="1">
      <c r="A155" s="2"/>
      <c r="B155" s="2"/>
      <c r="C155" s="2"/>
      <c r="D155" s="2" t="str">
        <f t="shared" si="1"/>
        <v/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4.25" customHeight="1">
      <c r="A156" s="2"/>
      <c r="B156" s="2"/>
      <c r="C156" s="2"/>
      <c r="D156" s="2" t="str">
        <f t="shared" si="1"/>
        <v/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4.25" customHeight="1">
      <c r="A157" s="2"/>
      <c r="B157" s="2"/>
      <c r="C157" s="2"/>
      <c r="D157" s="2" t="str">
        <f t="shared" si="1"/>
        <v/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4.25" customHeight="1">
      <c r="A158" s="2"/>
      <c r="B158" s="2"/>
      <c r="C158" s="2"/>
      <c r="D158" s="2" t="str">
        <f t="shared" si="1"/>
        <v/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4.25" customHeight="1">
      <c r="A159" s="2"/>
      <c r="B159" s="2"/>
      <c r="C159" s="2"/>
      <c r="D159" s="2" t="str">
        <f t="shared" si="1"/>
        <v/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4.25" customHeight="1">
      <c r="A160" s="2"/>
      <c r="B160" s="2"/>
      <c r="C160" s="2"/>
      <c r="D160" s="2" t="str">
        <f t="shared" si="1"/>
        <v/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4.25" customHeight="1">
      <c r="A161" s="2"/>
      <c r="B161" s="2"/>
      <c r="C161" s="2"/>
      <c r="D161" s="2" t="str">
        <f t="shared" si="1"/>
        <v/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4.25" customHeight="1">
      <c r="A162" s="2"/>
      <c r="B162" s="2"/>
      <c r="C162" s="2"/>
      <c r="D162" s="2" t="str">
        <f t="shared" si="1"/>
        <v/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4.25" customHeight="1">
      <c r="A163" s="2"/>
      <c r="B163" s="2"/>
      <c r="C163" s="2"/>
      <c r="D163" s="2" t="str">
        <f t="shared" si="1"/>
        <v/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4.25" customHeight="1">
      <c r="A164" s="2"/>
      <c r="B164" s="2"/>
      <c r="C164" s="2"/>
      <c r="D164" s="2" t="str">
        <f t="shared" si="1"/>
        <v/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4.25" customHeight="1">
      <c r="A165" s="2"/>
      <c r="B165" s="2"/>
      <c r="C165" s="2"/>
      <c r="D165" s="2" t="str">
        <f t="shared" si="1"/>
        <v/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4.25" customHeight="1">
      <c r="A166" s="2"/>
      <c r="B166" s="2"/>
      <c r="C166" s="2"/>
      <c r="D166" s="2" t="str">
        <f t="shared" si="1"/>
        <v/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4.25" customHeight="1">
      <c r="A167" s="2"/>
      <c r="B167" s="2"/>
      <c r="C167" s="2"/>
      <c r="D167" s="2" t="str">
        <f t="shared" si="1"/>
        <v/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4.25" customHeight="1">
      <c r="A168" s="2"/>
      <c r="B168" s="2"/>
      <c r="C168" s="2"/>
      <c r="D168" s="2" t="str">
        <f t="shared" si="1"/>
        <v/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4.25" customHeight="1">
      <c r="A169" s="2"/>
      <c r="B169" s="2"/>
      <c r="C169" s="2"/>
      <c r="D169" s="2" t="str">
        <f t="shared" si="1"/>
        <v/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4.25" customHeight="1">
      <c r="A170" s="2"/>
      <c r="B170" s="2"/>
      <c r="C170" s="2"/>
      <c r="D170" s="2" t="str">
        <f t="shared" si="1"/>
        <v/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4.25" customHeight="1">
      <c r="A171" s="2"/>
      <c r="B171" s="2"/>
      <c r="C171" s="2"/>
      <c r="D171" s="2" t="str">
        <f t="shared" si="1"/>
        <v/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4.25" customHeight="1">
      <c r="A172" s="2"/>
      <c r="B172" s="2"/>
      <c r="C172" s="2"/>
      <c r="D172" s="2" t="str">
        <f t="shared" si="1"/>
        <v/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4.25" customHeight="1">
      <c r="A173" s="2"/>
      <c r="B173" s="2"/>
      <c r="C173" s="2"/>
      <c r="D173" s="2" t="str">
        <f t="shared" si="1"/>
        <v/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4.25" customHeight="1">
      <c r="A174" s="2"/>
      <c r="B174" s="2"/>
      <c r="C174" s="2"/>
      <c r="D174" s="2" t="str">
        <f t="shared" si="1"/>
        <v/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4.25" customHeight="1">
      <c r="A175" s="2"/>
      <c r="B175" s="2"/>
      <c r="C175" s="2"/>
      <c r="D175" s="2" t="str">
        <f t="shared" si="1"/>
        <v/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4.25" customHeight="1">
      <c r="A176" s="2"/>
      <c r="B176" s="2"/>
      <c r="C176" s="2"/>
      <c r="D176" s="2" t="str">
        <f t="shared" si="1"/>
        <v/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4.25" customHeight="1">
      <c r="A177" s="2"/>
      <c r="B177" s="2"/>
      <c r="C177" s="2"/>
      <c r="D177" s="2" t="str">
        <f t="shared" si="1"/>
        <v/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4.25" customHeight="1">
      <c r="A178" s="2"/>
      <c r="B178" s="2"/>
      <c r="C178" s="2"/>
      <c r="D178" s="2" t="str">
        <f t="shared" si="1"/>
        <v/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4.25" customHeight="1">
      <c r="A179" s="2"/>
      <c r="B179" s="2"/>
      <c r="C179" s="2"/>
      <c r="D179" s="2" t="str">
        <f t="shared" si="1"/>
        <v/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4.25" customHeight="1">
      <c r="A180" s="2"/>
      <c r="B180" s="2"/>
      <c r="C180" s="2"/>
      <c r="D180" s="2" t="str">
        <f t="shared" si="1"/>
        <v/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4.25" customHeight="1">
      <c r="A181" s="2"/>
      <c r="B181" s="2"/>
      <c r="C181" s="2"/>
      <c r="D181" s="2" t="str">
        <f t="shared" si="1"/>
        <v/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4.25" customHeight="1">
      <c r="A182" s="2"/>
      <c r="B182" s="2"/>
      <c r="C182" s="2"/>
      <c r="D182" s="2" t="str">
        <f t="shared" si="1"/>
        <v/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4.25" customHeight="1">
      <c r="A183" s="2"/>
      <c r="B183" s="2"/>
      <c r="C183" s="2"/>
      <c r="D183" s="2" t="str">
        <f t="shared" si="1"/>
        <v/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4.25" customHeight="1">
      <c r="A184" s="2"/>
      <c r="B184" s="2"/>
      <c r="C184" s="2"/>
      <c r="D184" s="2" t="str">
        <f t="shared" si="1"/>
        <v/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4.25" customHeight="1">
      <c r="A185" s="2"/>
      <c r="B185" s="2"/>
      <c r="C185" s="2"/>
      <c r="D185" s="2" t="str">
        <f t="shared" si="1"/>
        <v/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4.25" customHeight="1">
      <c r="A186" s="2"/>
      <c r="B186" s="2"/>
      <c r="C186" s="2"/>
      <c r="D186" s="2" t="str">
        <f t="shared" si="1"/>
        <v/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4.25" customHeight="1">
      <c r="A187" s="2"/>
      <c r="B187" s="2"/>
      <c r="C187" s="2"/>
      <c r="D187" s="2" t="str">
        <f t="shared" si="1"/>
        <v/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4.25" customHeight="1">
      <c r="A188" s="2"/>
      <c r="B188" s="2"/>
      <c r="C188" s="2"/>
      <c r="D188" s="2" t="str">
        <f t="shared" si="1"/>
        <v/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4.25" customHeight="1">
      <c r="A189" s="2"/>
      <c r="B189" s="2"/>
      <c r="C189" s="2"/>
      <c r="D189" s="2" t="str">
        <f t="shared" si="1"/>
        <v/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4.25" customHeight="1">
      <c r="A190" s="2"/>
      <c r="B190" s="2"/>
      <c r="C190" s="2"/>
      <c r="D190" s="2" t="str">
        <f t="shared" si="1"/>
        <v/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4.25" customHeight="1">
      <c r="A191" s="2"/>
      <c r="B191" s="2"/>
      <c r="C191" s="2"/>
      <c r="D191" s="2" t="str">
        <f t="shared" si="1"/>
        <v/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4.25" customHeight="1">
      <c r="A192" s="2"/>
      <c r="B192" s="2"/>
      <c r="C192" s="2"/>
      <c r="D192" s="2" t="str">
        <f t="shared" si="1"/>
        <v/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4.25" customHeight="1">
      <c r="A193" s="2"/>
      <c r="B193" s="2"/>
      <c r="C193" s="2"/>
      <c r="D193" s="2" t="str">
        <f t="shared" si="1"/>
        <v/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4.25" customHeight="1">
      <c r="A194" s="2"/>
      <c r="B194" s="2"/>
      <c r="C194" s="2"/>
      <c r="D194" s="2" t="str">
        <f t="shared" si="1"/>
        <v/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4.25" customHeight="1">
      <c r="A195" s="2"/>
      <c r="B195" s="2"/>
      <c r="C195" s="2"/>
      <c r="D195" s="2" t="str">
        <f t="shared" si="1"/>
        <v/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4.25" customHeight="1">
      <c r="A196" s="2"/>
      <c r="B196" s="2"/>
      <c r="C196" s="2"/>
      <c r="D196" s="2" t="str">
        <f t="shared" si="1"/>
        <v/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4.25" customHeight="1">
      <c r="A197" s="2"/>
      <c r="B197" s="2"/>
      <c r="C197" s="2"/>
      <c r="D197" s="2" t="str">
        <f t="shared" si="1"/>
        <v/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4.25" customHeight="1">
      <c r="A198" s="2"/>
      <c r="B198" s="2"/>
      <c r="C198" s="2"/>
      <c r="D198" s="2" t="str">
        <f t="shared" si="1"/>
        <v/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4.25" customHeight="1">
      <c r="A199" s="2"/>
      <c r="B199" s="2"/>
      <c r="C199" s="2"/>
      <c r="D199" s="2" t="str">
        <f t="shared" si="1"/>
        <v/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4.25" customHeight="1">
      <c r="A200" s="2"/>
      <c r="B200" s="2"/>
      <c r="C200" s="2"/>
      <c r="D200" s="2" t="str">
        <f t="shared" si="1"/>
        <v/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1.25"/>
    <col customWidth="1" min="2" max="3" width="12.63"/>
    <col customWidth="1" min="4" max="4" width="8.25"/>
    <col customWidth="1" min="5" max="6" width="12.63"/>
  </cols>
  <sheetData>
    <row r="1" ht="14.25" customHeight="1">
      <c r="A1" s="1">
        <v>0.0115</v>
      </c>
      <c r="B1" s="2">
        <v>400.0</v>
      </c>
      <c r="C1" s="2">
        <v>0.0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4.25" customHeight="1">
      <c r="A2" s="9" t="s">
        <v>44</v>
      </c>
      <c r="B2" s="2" t="s">
        <v>8</v>
      </c>
      <c r="C2" s="2" t="s">
        <v>9</v>
      </c>
      <c r="D2" s="2" t="s">
        <v>10</v>
      </c>
      <c r="E2" s="2" t="s">
        <v>11</v>
      </c>
      <c r="F2" s="15" t="s">
        <v>312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19" t="s">
        <v>313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1" t="s">
        <v>12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</row>
    <row r="3" ht="14.25" customHeight="1">
      <c r="A3" s="9" t="s">
        <v>319</v>
      </c>
      <c r="B3" s="32">
        <v>19999.0</v>
      </c>
      <c r="C3" s="9">
        <v>174.0</v>
      </c>
      <c r="D3" s="2">
        <f t="shared" ref="D3:D20" si="1">IF(AND(B3&gt;=3900,B3&lt;=10000),795,IF(AND(B3&gt;=10001,B3&lt;=20000),1450,IF(AND(B3&gt;=20001,B3&lt;=40000),1900,IF(AND(B3&gt;=40001,B3&lt;=60000),2475,IF(AND(B3&gt;=60001,B3&lt;=80000),4025,IF(AND(B3&gt;=80001,B3&lt;=100000),5175,IF(AND(B3&gt;=100001,B3&lt;=120000),6785,"")))))))</f>
        <v>1450</v>
      </c>
      <c r="E3" s="23">
        <f t="shared" ref="E3:E20" si="2">IFERROR(B3+D3,"")</f>
        <v>21449</v>
      </c>
      <c r="F3" s="25">
        <f t="shared" ref="F3:F20" si="3">IFERROR(ROUNDUP($B3*5%,0),"")</f>
        <v>1000</v>
      </c>
      <c r="G3" s="23">
        <f t="shared" ref="G3:G20" si="4">$B3-F3</f>
        <v>18999</v>
      </c>
      <c r="H3" s="23">
        <f t="shared" ref="H3:H20" si="5">$G3+D3</f>
        <v>20449</v>
      </c>
      <c r="I3" s="2">
        <f t="shared" ref="I3:I20" si="6">IF(((G3*$A$1)*6)&lt;$C$1,"-",IF(ROUNDUP((((G3*100/107)*(1+($A$1*6)))/6)*1.07,0)&lt;$B$1,"-",ROUNDUP(((((G3*100/107)+$D3)*(1+($A$1*6)))/6)*1.07,0)))</f>
        <v>3662</v>
      </c>
      <c r="J3" s="2">
        <f t="shared" ref="J3:J20" si="7">IF(((G3*$A$1)*9)&lt;$C$1,"-",IF(ROUNDUP((((G3*100/107)*(1+($A$1*9)))/9)*1.07,0)&lt;$B$1,"-",ROUNDUP(((((G3*100/107)+$D3)*(1+($A$1*9)))/9)*1.07,0)))</f>
        <v>2520</v>
      </c>
      <c r="K3" s="2">
        <f t="shared" ref="K3:K20" si="8">IF(((G3*$A$1)*12)&lt;$C$1,"-",IF(ROUNDUP((((G3*100/107)*(1+($A$1*12)))/12)*1.07,0)&lt;$B$1,"-",ROUNDUP(((((G3*100/107)+$D3)*(1+($A$1*12)))/12)*1.07,0)))</f>
        <v>1949</v>
      </c>
      <c r="L3" s="2">
        <f t="shared" ref="L3:L20" si="9">IF(((G3*$A$1)*15)&lt;$C$1,"-",IF(ROUNDUP((((G3*100/107)*(1+($A$1*15)))/15)*1.07,0)&lt;$B$1,"-",ROUNDUP(((((G3*100/107)+$D3)*(1+($A$1*15)))/15)*1.07,0)))</f>
        <v>1607</v>
      </c>
      <c r="M3" s="2">
        <f t="shared" ref="M3:M20" si="10">IF(((G3*$A$1)*18)&lt;$C$1,"-",IF(ROUNDUP((((G3*100/107)*(1+($A$1*18)))/18)*1.07,0)&lt;$B$1,"-",ROUNDUP(((((G3*100/107)+$D3)*(1+($A$1*18)))/18)*1.07,0)))</f>
        <v>1379</v>
      </c>
      <c r="N3" s="2">
        <f t="shared" ref="N3:N20" si="11">IF(((G3*$A$1)*24)&lt;$C$1,"-",IF(ROUNDUP((((G3*100/107)*(1+($A$1*24)))/24)*1.07,0)&lt;$B$1,"-",ROUNDUP(((((G3*100/107)+$D3)*(1+($A$1*24)))/24)*1.07,0)))</f>
        <v>1093</v>
      </c>
      <c r="O3" s="25">
        <f t="shared" ref="O3:O20" si="12">ROUNDUP($B3*10%,0)</f>
        <v>2000</v>
      </c>
      <c r="P3" s="23">
        <f t="shared" ref="P3:P20" si="13">$B3-O3</f>
        <v>17999</v>
      </c>
      <c r="Q3" s="23">
        <f t="shared" ref="Q3:Q20" si="14">P3+$D3</f>
        <v>19449</v>
      </c>
      <c r="R3" s="2">
        <f t="shared" ref="R3:R20" si="15">IF(((P3*$A$1)*6)&lt;$C$1,"-",IF(ROUNDUP((((P3*100/107)*(1+($A$1*6)))/6)*1.07,0)&lt;$B$1,"-",ROUNDUP(((((P3*100/107)+$D3)*(1+($A$1*6)))/6)*1.07,0)))</f>
        <v>3484</v>
      </c>
      <c r="S3" s="2">
        <f t="shared" ref="S3:S20" si="16">IF(((P3*$A$1)*9)&lt;$C$1,"-",IF(ROUNDUP((((P3*100/107)*(1+($A$1*9)))/9)*1.07,0)&lt;$B$1,"-",ROUNDUP(((((P3*100/107)+$D3)*(1+($A$1*9)))/9)*1.07,0)))</f>
        <v>2398</v>
      </c>
      <c r="T3" s="2">
        <f t="shared" ref="T3:T20" si="17">IF(((P3*$A$1)*12)&lt;$C$1,"-",IF(ROUNDUP((((P3*100/107)*(1+($A$1*12)))/12)*1.07,0)&lt;$B$1,"-",ROUNDUP(((((P3*100/107)+$D3)*(1+($A$1*12)))/12)*1.07,0)))</f>
        <v>1855</v>
      </c>
      <c r="U3" s="2">
        <f t="shared" ref="U3:U20" si="18">IF(((P3*$A$1)*15)&lt;$C$1,"-",IF(ROUNDUP((((P3*100/107)*(1+($A$1*15)))/15)*1.07,0)&lt;$B$1,"-",ROUNDUP(((((P3*100/107)+$D3)*(1+($A$1*15)))/15)*1.07,0)))</f>
        <v>1529</v>
      </c>
      <c r="V3" s="2">
        <f t="shared" ref="V3:V20" si="19">IF(((P3*$A$1)*18)&lt;$C$1,"-",IF(ROUNDUP((((P3*100/107)*(1+($A$1*18)))/18)*1.07,0)&lt;$B$1,"-",ROUNDUP(((((P3*100/107)+$D3)*(1+($A$1*18)))/18)*1.07,0)))</f>
        <v>1311</v>
      </c>
      <c r="W3" s="2">
        <f t="shared" ref="W3:W20" si="20">IF(((P3*$A$1)*24)&lt;$C$1,"-",IF(ROUNDUP((((P3*100/107)*(1+($A$1*24)))/24)*1.07,0)&lt;$B$1,"-",ROUNDUP(((((P3*100/107)+$D3)*(1+($A$1*24)))/24)*1.07,0)))</f>
        <v>1040</v>
      </c>
      <c r="X3" s="25">
        <f t="shared" ref="X3:X20" si="21">ROUNDUP($B3*15%,0)</f>
        <v>3000</v>
      </c>
      <c r="Y3" s="23">
        <f t="shared" ref="Y3:Y20" si="22">$B3-X3</f>
        <v>16999</v>
      </c>
      <c r="Z3" s="23">
        <f t="shared" ref="Z3:Z20" si="23">Y3+$D3</f>
        <v>18449</v>
      </c>
      <c r="AA3" s="2">
        <f t="shared" ref="AA3:AA20" si="24">IF(((Y3*$A$1)*6)&lt;$C$1,"-",IF(ROUNDUP((((Y3*100/107)*(1+($A$1*6)))/6)*1.07,0)&lt;$B$1,"-",ROUNDUP(((((Y3*100/107)+$D3)*(1+($A$1*6)))/6)*1.07,0)))</f>
        <v>3306</v>
      </c>
      <c r="AB3" s="2">
        <f t="shared" ref="AB3:AB20" si="25">IF(((Y3*$A$1)*9)&lt;$C$1,"-",IF(ROUNDUP((((Y3*100/107)*(1+($A$1*9)))/9)*1.07,0)&lt;$B$1,"-",ROUNDUP(((((Y3*100/107)+$D3)*(1+($A$1*9)))/9)*1.07,0)))</f>
        <v>2275</v>
      </c>
      <c r="AC3" s="2">
        <f t="shared" ref="AC3:AC20" si="26">IF(((Y3*$A$1)*12)&lt;$C$1,"-",IF(ROUNDUP((((Y3*100/107)*(1+($A$1*12)))/12)*1.07,0)&lt;$B$1,"-",ROUNDUP(((((Y3*100/107)+$D3)*(1+($A$1*12)))/12)*1.07,0)))</f>
        <v>1760</v>
      </c>
      <c r="AD3" s="2">
        <f t="shared" ref="AD3:AD20" si="27">IF(((Y3*$A$1)*15)&lt;$C$1,"-",IF(ROUNDUP((((Y3*100/107)*(1+($A$1*15)))/15)*1.07,0)&lt;$B$1,"-",ROUNDUP(((((Y3*100/107)+$D3)*(1+($A$1*15)))/15)*1.07,0)))</f>
        <v>1451</v>
      </c>
      <c r="AE3" s="2">
        <f t="shared" ref="AE3:AE20" si="28">IF(((Y3*$A$1)*18)&lt;$C$1,"-",IF(ROUNDUP((((Y3*100/107)*(1+($A$1*18)))/18)*1.07,0)&lt;$B$1,"-",ROUNDUP(((((Y3*100/107)+$D3)*(1+($A$1*18)))/18)*1.07,0)))</f>
        <v>1244</v>
      </c>
      <c r="AF3" s="2">
        <f t="shared" ref="AF3:AF20" si="29">IF(((Y3*$A$1)*24)&lt;$C$1,"-",IF(ROUNDUP((((Y3*100/107)*(1+($A$1*24)))/24)*1.07,0)&lt;$B$1,"-",ROUNDUP(((((Y3*100/107)+$D3)*(1+($A$1*24)))/24)*1.07,0)))</f>
        <v>987</v>
      </c>
    </row>
    <row r="4" ht="14.25" customHeight="1">
      <c r="A4" s="9" t="s">
        <v>320</v>
      </c>
      <c r="B4" s="32">
        <v>17999.0</v>
      </c>
      <c r="C4" s="9">
        <v>175.0</v>
      </c>
      <c r="D4" s="2">
        <f t="shared" si="1"/>
        <v>1450</v>
      </c>
      <c r="E4" s="23">
        <f t="shared" si="2"/>
        <v>19449</v>
      </c>
      <c r="F4" s="25">
        <f t="shared" si="3"/>
        <v>900</v>
      </c>
      <c r="G4" s="23">
        <f t="shared" si="4"/>
        <v>17099</v>
      </c>
      <c r="H4" s="23">
        <f t="shared" si="5"/>
        <v>18549</v>
      </c>
      <c r="I4" s="2">
        <f t="shared" si="6"/>
        <v>3323</v>
      </c>
      <c r="J4" s="2">
        <f t="shared" si="7"/>
        <v>2287</v>
      </c>
      <c r="K4" s="2">
        <f t="shared" si="8"/>
        <v>1769</v>
      </c>
      <c r="L4" s="2">
        <f t="shared" si="9"/>
        <v>1458</v>
      </c>
      <c r="M4" s="2">
        <f t="shared" si="10"/>
        <v>1251</v>
      </c>
      <c r="N4" s="2">
        <f t="shared" si="11"/>
        <v>992</v>
      </c>
      <c r="O4" s="25">
        <f t="shared" si="12"/>
        <v>1800</v>
      </c>
      <c r="P4" s="23">
        <f t="shared" si="13"/>
        <v>16199</v>
      </c>
      <c r="Q4" s="23">
        <f t="shared" si="14"/>
        <v>17649</v>
      </c>
      <c r="R4" s="2">
        <f t="shared" si="15"/>
        <v>3163</v>
      </c>
      <c r="S4" s="2">
        <f t="shared" si="16"/>
        <v>2177</v>
      </c>
      <c r="T4" s="2">
        <f t="shared" si="17"/>
        <v>1684</v>
      </c>
      <c r="U4" s="2">
        <f t="shared" si="18"/>
        <v>1388</v>
      </c>
      <c r="V4" s="2">
        <f t="shared" si="19"/>
        <v>1191</v>
      </c>
      <c r="W4" s="2">
        <f t="shared" si="20"/>
        <v>944</v>
      </c>
      <c r="X4" s="25">
        <f t="shared" si="21"/>
        <v>2700</v>
      </c>
      <c r="Y4" s="23">
        <f t="shared" si="22"/>
        <v>15299</v>
      </c>
      <c r="Z4" s="23">
        <f t="shared" si="23"/>
        <v>16749</v>
      </c>
      <c r="AA4" s="2">
        <f t="shared" si="24"/>
        <v>3003</v>
      </c>
      <c r="AB4" s="2">
        <f t="shared" si="25"/>
        <v>2067</v>
      </c>
      <c r="AC4" s="2">
        <f t="shared" si="26"/>
        <v>1598</v>
      </c>
      <c r="AD4" s="2">
        <f t="shared" si="27"/>
        <v>1318</v>
      </c>
      <c r="AE4" s="2">
        <f t="shared" si="28"/>
        <v>1130</v>
      </c>
      <c r="AF4" s="2">
        <f t="shared" si="29"/>
        <v>896</v>
      </c>
    </row>
    <row r="5" ht="14.25" customHeight="1">
      <c r="A5" s="9" t="s">
        <v>321</v>
      </c>
      <c r="B5" s="32">
        <v>15999.0</v>
      </c>
      <c r="C5" s="9">
        <v>176.0</v>
      </c>
      <c r="D5" s="2">
        <f t="shared" si="1"/>
        <v>1450</v>
      </c>
      <c r="E5" s="23">
        <f t="shared" si="2"/>
        <v>17449</v>
      </c>
      <c r="F5" s="25">
        <f t="shared" si="3"/>
        <v>800</v>
      </c>
      <c r="G5" s="23">
        <f t="shared" si="4"/>
        <v>15199</v>
      </c>
      <c r="H5" s="23">
        <f t="shared" si="5"/>
        <v>16649</v>
      </c>
      <c r="I5" s="2">
        <f t="shared" si="6"/>
        <v>2985</v>
      </c>
      <c r="J5" s="2">
        <f t="shared" si="7"/>
        <v>2054</v>
      </c>
      <c r="K5" s="2">
        <f t="shared" si="8"/>
        <v>1589</v>
      </c>
      <c r="L5" s="2">
        <f t="shared" si="9"/>
        <v>1310</v>
      </c>
      <c r="M5" s="2">
        <f t="shared" si="10"/>
        <v>1124</v>
      </c>
      <c r="N5" s="2">
        <f t="shared" si="11"/>
        <v>891</v>
      </c>
      <c r="O5" s="25">
        <f t="shared" si="12"/>
        <v>1600</v>
      </c>
      <c r="P5" s="23">
        <f t="shared" si="13"/>
        <v>14399</v>
      </c>
      <c r="Q5" s="23">
        <f t="shared" si="14"/>
        <v>15849</v>
      </c>
      <c r="R5" s="2">
        <f t="shared" si="15"/>
        <v>2842</v>
      </c>
      <c r="S5" s="2">
        <f t="shared" si="16"/>
        <v>1956</v>
      </c>
      <c r="T5" s="2">
        <f t="shared" si="17"/>
        <v>1513</v>
      </c>
      <c r="U5" s="2">
        <f t="shared" si="18"/>
        <v>1247</v>
      </c>
      <c r="V5" s="2">
        <f t="shared" si="19"/>
        <v>1070</v>
      </c>
      <c r="W5" s="2">
        <f t="shared" si="20"/>
        <v>849</v>
      </c>
      <c r="X5" s="25">
        <f t="shared" si="21"/>
        <v>2400</v>
      </c>
      <c r="Y5" s="23">
        <f t="shared" si="22"/>
        <v>13599</v>
      </c>
      <c r="Z5" s="23">
        <f t="shared" si="23"/>
        <v>15049</v>
      </c>
      <c r="AA5" s="2">
        <f t="shared" si="24"/>
        <v>2700</v>
      </c>
      <c r="AB5" s="2">
        <f t="shared" si="25"/>
        <v>1858</v>
      </c>
      <c r="AC5" s="2">
        <f t="shared" si="26"/>
        <v>1437</v>
      </c>
      <c r="AD5" s="2">
        <f t="shared" si="27"/>
        <v>1185</v>
      </c>
      <c r="AE5" s="2">
        <f t="shared" si="28"/>
        <v>1016</v>
      </c>
      <c r="AF5" s="2">
        <f t="shared" si="29"/>
        <v>806</v>
      </c>
    </row>
    <row r="6" ht="14.25" customHeight="1">
      <c r="A6" s="2" t="s">
        <v>322</v>
      </c>
      <c r="B6" s="29">
        <v>14999.0</v>
      </c>
      <c r="C6" s="2">
        <v>122.0</v>
      </c>
      <c r="D6" s="2">
        <f t="shared" si="1"/>
        <v>1450</v>
      </c>
      <c r="E6" s="23">
        <f t="shared" si="2"/>
        <v>16449</v>
      </c>
      <c r="F6" s="25">
        <f t="shared" si="3"/>
        <v>750</v>
      </c>
      <c r="G6" s="23">
        <f t="shared" si="4"/>
        <v>14249</v>
      </c>
      <c r="H6" s="23">
        <f t="shared" si="5"/>
        <v>15699</v>
      </c>
      <c r="I6" s="2">
        <f t="shared" si="6"/>
        <v>2816</v>
      </c>
      <c r="J6" s="2">
        <f t="shared" si="7"/>
        <v>1938</v>
      </c>
      <c r="K6" s="2">
        <f t="shared" si="8"/>
        <v>1499</v>
      </c>
      <c r="L6" s="2">
        <f t="shared" si="9"/>
        <v>1236</v>
      </c>
      <c r="M6" s="2">
        <f t="shared" si="10"/>
        <v>1060</v>
      </c>
      <c r="N6" s="2">
        <f t="shared" si="11"/>
        <v>841</v>
      </c>
      <c r="O6" s="25">
        <f t="shared" si="12"/>
        <v>1500</v>
      </c>
      <c r="P6" s="23">
        <f t="shared" si="13"/>
        <v>13499</v>
      </c>
      <c r="Q6" s="23">
        <f t="shared" si="14"/>
        <v>14949</v>
      </c>
      <c r="R6" s="2">
        <f t="shared" si="15"/>
        <v>2682</v>
      </c>
      <c r="S6" s="2">
        <f t="shared" si="16"/>
        <v>1846</v>
      </c>
      <c r="T6" s="2">
        <f t="shared" si="17"/>
        <v>1428</v>
      </c>
      <c r="U6" s="2">
        <f t="shared" si="18"/>
        <v>1177</v>
      </c>
      <c r="V6" s="2">
        <f t="shared" si="19"/>
        <v>1010</v>
      </c>
      <c r="W6" s="2">
        <f t="shared" si="20"/>
        <v>801</v>
      </c>
      <c r="X6" s="25">
        <f t="shared" si="21"/>
        <v>2250</v>
      </c>
      <c r="Y6" s="23">
        <f t="shared" si="22"/>
        <v>12749</v>
      </c>
      <c r="Z6" s="23">
        <f t="shared" si="23"/>
        <v>14199</v>
      </c>
      <c r="AA6" s="2">
        <f t="shared" si="24"/>
        <v>2548</v>
      </c>
      <c r="AB6" s="2">
        <f t="shared" si="25"/>
        <v>1754</v>
      </c>
      <c r="AC6" s="2">
        <f t="shared" si="26"/>
        <v>1357</v>
      </c>
      <c r="AD6" s="2">
        <f t="shared" si="27"/>
        <v>1118</v>
      </c>
      <c r="AE6" s="2">
        <f t="shared" si="28"/>
        <v>959</v>
      </c>
      <c r="AF6" s="2">
        <f t="shared" si="29"/>
        <v>761</v>
      </c>
    </row>
    <row r="7" ht="14.25" customHeight="1">
      <c r="A7" s="2" t="s">
        <v>323</v>
      </c>
      <c r="B7" s="29">
        <v>16999.0</v>
      </c>
      <c r="C7" s="2">
        <v>123.0</v>
      </c>
      <c r="D7" s="2">
        <f t="shared" si="1"/>
        <v>1450</v>
      </c>
      <c r="E7" s="23">
        <f t="shared" si="2"/>
        <v>18449</v>
      </c>
      <c r="F7" s="25">
        <f t="shared" si="3"/>
        <v>850</v>
      </c>
      <c r="G7" s="23">
        <f t="shared" si="4"/>
        <v>16149</v>
      </c>
      <c r="H7" s="23">
        <f t="shared" si="5"/>
        <v>17599</v>
      </c>
      <c r="I7" s="2">
        <f t="shared" si="6"/>
        <v>3154</v>
      </c>
      <c r="J7" s="2">
        <f t="shared" si="7"/>
        <v>2171</v>
      </c>
      <c r="K7" s="2">
        <f t="shared" si="8"/>
        <v>1679</v>
      </c>
      <c r="L7" s="2">
        <f t="shared" si="9"/>
        <v>1384</v>
      </c>
      <c r="M7" s="2">
        <f t="shared" si="10"/>
        <v>1187</v>
      </c>
      <c r="N7" s="2">
        <f t="shared" si="11"/>
        <v>942</v>
      </c>
      <c r="O7" s="25">
        <f t="shared" si="12"/>
        <v>1700</v>
      </c>
      <c r="P7" s="23">
        <f t="shared" si="13"/>
        <v>15299</v>
      </c>
      <c r="Q7" s="23">
        <f t="shared" si="14"/>
        <v>16749</v>
      </c>
      <c r="R7" s="2">
        <f t="shared" si="15"/>
        <v>3003</v>
      </c>
      <c r="S7" s="2">
        <f t="shared" si="16"/>
        <v>2067</v>
      </c>
      <c r="T7" s="2">
        <f t="shared" si="17"/>
        <v>1598</v>
      </c>
      <c r="U7" s="2">
        <f t="shared" si="18"/>
        <v>1318</v>
      </c>
      <c r="V7" s="2">
        <f t="shared" si="19"/>
        <v>1130</v>
      </c>
      <c r="W7" s="2">
        <f t="shared" si="20"/>
        <v>896</v>
      </c>
      <c r="X7" s="25">
        <f t="shared" si="21"/>
        <v>2550</v>
      </c>
      <c r="Y7" s="23">
        <f t="shared" si="22"/>
        <v>14449</v>
      </c>
      <c r="Z7" s="23">
        <f t="shared" si="23"/>
        <v>15899</v>
      </c>
      <c r="AA7" s="2">
        <f t="shared" si="24"/>
        <v>2851</v>
      </c>
      <c r="AB7" s="2">
        <f t="shared" si="25"/>
        <v>1962</v>
      </c>
      <c r="AC7" s="2">
        <f t="shared" si="26"/>
        <v>1518</v>
      </c>
      <c r="AD7" s="2">
        <f t="shared" si="27"/>
        <v>1251</v>
      </c>
      <c r="AE7" s="2">
        <f t="shared" si="28"/>
        <v>1073</v>
      </c>
      <c r="AF7" s="2">
        <f t="shared" si="29"/>
        <v>851</v>
      </c>
    </row>
    <row r="8" ht="14.25" customHeight="1">
      <c r="A8" s="2" t="s">
        <v>324</v>
      </c>
      <c r="B8" s="29">
        <v>18999.0</v>
      </c>
      <c r="C8" s="2">
        <v>124.0</v>
      </c>
      <c r="D8" s="2">
        <f t="shared" si="1"/>
        <v>1450</v>
      </c>
      <c r="E8" s="23">
        <f t="shared" si="2"/>
        <v>20449</v>
      </c>
      <c r="F8" s="25">
        <f t="shared" si="3"/>
        <v>950</v>
      </c>
      <c r="G8" s="23">
        <f t="shared" si="4"/>
        <v>18049</v>
      </c>
      <c r="H8" s="23">
        <f t="shared" si="5"/>
        <v>19499</v>
      </c>
      <c r="I8" s="2">
        <f t="shared" si="6"/>
        <v>3493</v>
      </c>
      <c r="J8" s="2">
        <f t="shared" si="7"/>
        <v>2404</v>
      </c>
      <c r="K8" s="2">
        <f t="shared" si="8"/>
        <v>1859</v>
      </c>
      <c r="L8" s="2">
        <f t="shared" si="9"/>
        <v>1533</v>
      </c>
      <c r="M8" s="2">
        <f t="shared" si="10"/>
        <v>1315</v>
      </c>
      <c r="N8" s="2">
        <f t="shared" si="11"/>
        <v>1043</v>
      </c>
      <c r="O8" s="25">
        <f t="shared" si="12"/>
        <v>1900</v>
      </c>
      <c r="P8" s="23">
        <f t="shared" si="13"/>
        <v>17099</v>
      </c>
      <c r="Q8" s="23">
        <f t="shared" si="14"/>
        <v>18549</v>
      </c>
      <c r="R8" s="2">
        <f t="shared" si="15"/>
        <v>3323</v>
      </c>
      <c r="S8" s="2">
        <f t="shared" si="16"/>
        <v>2287</v>
      </c>
      <c r="T8" s="2">
        <f t="shared" si="17"/>
        <v>1769</v>
      </c>
      <c r="U8" s="2">
        <f t="shared" si="18"/>
        <v>1458</v>
      </c>
      <c r="V8" s="2">
        <f t="shared" si="19"/>
        <v>1251</v>
      </c>
      <c r="W8" s="2">
        <f t="shared" si="20"/>
        <v>992</v>
      </c>
      <c r="X8" s="25">
        <f t="shared" si="21"/>
        <v>2850</v>
      </c>
      <c r="Y8" s="23">
        <f t="shared" si="22"/>
        <v>16149</v>
      </c>
      <c r="Z8" s="23">
        <f t="shared" si="23"/>
        <v>17599</v>
      </c>
      <c r="AA8" s="2">
        <f t="shared" si="24"/>
        <v>3154</v>
      </c>
      <c r="AB8" s="2">
        <f t="shared" si="25"/>
        <v>2171</v>
      </c>
      <c r="AC8" s="2">
        <f t="shared" si="26"/>
        <v>1679</v>
      </c>
      <c r="AD8" s="2">
        <f t="shared" si="27"/>
        <v>1384</v>
      </c>
      <c r="AE8" s="2">
        <f t="shared" si="28"/>
        <v>1187</v>
      </c>
      <c r="AF8" s="2">
        <f t="shared" si="29"/>
        <v>942</v>
      </c>
    </row>
    <row r="9" ht="14.25" customHeight="1">
      <c r="A9" s="2" t="s">
        <v>325</v>
      </c>
      <c r="B9" s="29">
        <v>9999.0</v>
      </c>
      <c r="C9" s="2">
        <v>125.0</v>
      </c>
      <c r="D9" s="2">
        <f t="shared" si="1"/>
        <v>795</v>
      </c>
      <c r="E9" s="23">
        <f t="shared" si="2"/>
        <v>10794</v>
      </c>
      <c r="F9" s="25">
        <f t="shared" si="3"/>
        <v>500</v>
      </c>
      <c r="G9" s="23">
        <f t="shared" si="4"/>
        <v>9499</v>
      </c>
      <c r="H9" s="23">
        <f t="shared" si="5"/>
        <v>10294</v>
      </c>
      <c r="I9" s="2">
        <f t="shared" si="6"/>
        <v>1844</v>
      </c>
      <c r="J9" s="2">
        <f t="shared" si="7"/>
        <v>1269</v>
      </c>
      <c r="K9" s="2">
        <f t="shared" si="8"/>
        <v>982</v>
      </c>
      <c r="L9" s="2">
        <f t="shared" si="9"/>
        <v>809</v>
      </c>
      <c r="M9" s="2">
        <f t="shared" si="10"/>
        <v>695</v>
      </c>
      <c r="N9" s="2">
        <f t="shared" si="11"/>
        <v>551</v>
      </c>
      <c r="O9" s="25">
        <f t="shared" si="12"/>
        <v>1000</v>
      </c>
      <c r="P9" s="23">
        <f t="shared" si="13"/>
        <v>8999</v>
      </c>
      <c r="Q9" s="23">
        <f t="shared" si="14"/>
        <v>9794</v>
      </c>
      <c r="R9" s="2">
        <f t="shared" si="15"/>
        <v>1755</v>
      </c>
      <c r="S9" s="2">
        <f t="shared" si="16"/>
        <v>1208</v>
      </c>
      <c r="T9" s="2">
        <f t="shared" si="17"/>
        <v>935</v>
      </c>
      <c r="U9" s="2">
        <f t="shared" si="18"/>
        <v>770</v>
      </c>
      <c r="V9" s="2">
        <f t="shared" si="19"/>
        <v>661</v>
      </c>
      <c r="W9" s="2">
        <f t="shared" si="20"/>
        <v>524</v>
      </c>
      <c r="X9" s="25">
        <f t="shared" si="21"/>
        <v>1500</v>
      </c>
      <c r="Y9" s="23">
        <f t="shared" si="22"/>
        <v>8499</v>
      </c>
      <c r="Z9" s="23">
        <f t="shared" si="23"/>
        <v>9294</v>
      </c>
      <c r="AA9" s="2">
        <f t="shared" si="24"/>
        <v>1666</v>
      </c>
      <c r="AB9" s="2">
        <f t="shared" si="25"/>
        <v>1147</v>
      </c>
      <c r="AC9" s="2">
        <f t="shared" si="26"/>
        <v>887</v>
      </c>
      <c r="AD9" s="2">
        <f t="shared" si="27"/>
        <v>731</v>
      </c>
      <c r="AE9" s="2">
        <f t="shared" si="28"/>
        <v>627</v>
      </c>
      <c r="AF9" s="2">
        <f t="shared" si="29"/>
        <v>498</v>
      </c>
    </row>
    <row r="10" ht="14.25" customHeight="1">
      <c r="A10" s="2" t="s">
        <v>326</v>
      </c>
      <c r="B10" s="29">
        <v>10999.0</v>
      </c>
      <c r="C10" s="2">
        <v>126.0</v>
      </c>
      <c r="D10" s="2">
        <f t="shared" si="1"/>
        <v>1450</v>
      </c>
      <c r="E10" s="23">
        <f t="shared" si="2"/>
        <v>12449</v>
      </c>
      <c r="F10" s="25">
        <f t="shared" si="3"/>
        <v>550</v>
      </c>
      <c r="G10" s="23">
        <f t="shared" si="4"/>
        <v>10449</v>
      </c>
      <c r="H10" s="23">
        <f t="shared" si="5"/>
        <v>11899</v>
      </c>
      <c r="I10" s="2">
        <f t="shared" si="6"/>
        <v>2139</v>
      </c>
      <c r="J10" s="2">
        <f t="shared" si="7"/>
        <v>1472</v>
      </c>
      <c r="K10" s="2">
        <f t="shared" si="8"/>
        <v>1139</v>
      </c>
      <c r="L10" s="2">
        <f t="shared" si="9"/>
        <v>939</v>
      </c>
      <c r="M10" s="2">
        <f t="shared" si="10"/>
        <v>805</v>
      </c>
      <c r="N10" s="2">
        <f t="shared" si="11"/>
        <v>639</v>
      </c>
      <c r="O10" s="25">
        <f t="shared" si="12"/>
        <v>1100</v>
      </c>
      <c r="P10" s="23">
        <f t="shared" si="13"/>
        <v>9899</v>
      </c>
      <c r="Q10" s="23">
        <f t="shared" si="14"/>
        <v>11349</v>
      </c>
      <c r="R10" s="2">
        <f t="shared" si="15"/>
        <v>2041</v>
      </c>
      <c r="S10" s="2">
        <f t="shared" si="16"/>
        <v>1404</v>
      </c>
      <c r="T10" s="2">
        <f t="shared" si="17"/>
        <v>1086</v>
      </c>
      <c r="U10" s="2">
        <f t="shared" si="18"/>
        <v>896</v>
      </c>
      <c r="V10" s="2">
        <f t="shared" si="19"/>
        <v>768</v>
      </c>
      <c r="W10" s="2">
        <f t="shared" si="20"/>
        <v>609</v>
      </c>
      <c r="X10" s="25">
        <f t="shared" si="21"/>
        <v>1650</v>
      </c>
      <c r="Y10" s="23">
        <f t="shared" si="22"/>
        <v>9349</v>
      </c>
      <c r="Z10" s="23">
        <f t="shared" si="23"/>
        <v>10799</v>
      </c>
      <c r="AA10" s="2">
        <f t="shared" si="24"/>
        <v>1943</v>
      </c>
      <c r="AB10" s="2">
        <f t="shared" si="25"/>
        <v>1337</v>
      </c>
      <c r="AC10" s="2">
        <f t="shared" si="26"/>
        <v>1034</v>
      </c>
      <c r="AD10" s="2">
        <f t="shared" si="27"/>
        <v>853</v>
      </c>
      <c r="AE10" s="2">
        <f t="shared" si="28"/>
        <v>731</v>
      </c>
      <c r="AF10" s="2">
        <f t="shared" si="29"/>
        <v>580</v>
      </c>
    </row>
    <row r="11" ht="14.25" customHeight="1">
      <c r="A11" s="2" t="s">
        <v>327</v>
      </c>
      <c r="B11" s="29">
        <v>11999.0</v>
      </c>
      <c r="C11" s="2">
        <v>127.0</v>
      </c>
      <c r="D11" s="2">
        <f t="shared" si="1"/>
        <v>1450</v>
      </c>
      <c r="E11" s="23">
        <f t="shared" si="2"/>
        <v>13449</v>
      </c>
      <c r="F11" s="25">
        <f t="shared" si="3"/>
        <v>600</v>
      </c>
      <c r="G11" s="23">
        <f t="shared" si="4"/>
        <v>11399</v>
      </c>
      <c r="H11" s="23">
        <f t="shared" si="5"/>
        <v>12849</v>
      </c>
      <c r="I11" s="2">
        <f t="shared" si="6"/>
        <v>2308</v>
      </c>
      <c r="J11" s="2">
        <f t="shared" si="7"/>
        <v>1588</v>
      </c>
      <c r="K11" s="2">
        <f t="shared" si="8"/>
        <v>1229</v>
      </c>
      <c r="L11" s="2">
        <f t="shared" si="9"/>
        <v>1013</v>
      </c>
      <c r="M11" s="2">
        <f t="shared" si="10"/>
        <v>869</v>
      </c>
      <c r="N11" s="2">
        <f t="shared" si="11"/>
        <v>689</v>
      </c>
      <c r="O11" s="25">
        <f t="shared" si="12"/>
        <v>1200</v>
      </c>
      <c r="P11" s="23">
        <f t="shared" si="13"/>
        <v>10799</v>
      </c>
      <c r="Q11" s="23">
        <f t="shared" si="14"/>
        <v>12249</v>
      </c>
      <c r="R11" s="2">
        <f t="shared" si="15"/>
        <v>2201</v>
      </c>
      <c r="S11" s="2">
        <f t="shared" si="16"/>
        <v>1515</v>
      </c>
      <c r="T11" s="2">
        <f t="shared" si="17"/>
        <v>1172</v>
      </c>
      <c r="U11" s="2">
        <f t="shared" si="18"/>
        <v>966</v>
      </c>
      <c r="V11" s="2">
        <f t="shared" si="19"/>
        <v>829</v>
      </c>
      <c r="W11" s="2">
        <f t="shared" si="20"/>
        <v>657</v>
      </c>
      <c r="X11" s="25">
        <f t="shared" si="21"/>
        <v>1800</v>
      </c>
      <c r="Y11" s="23">
        <f t="shared" si="22"/>
        <v>10199</v>
      </c>
      <c r="Z11" s="23">
        <f t="shared" si="23"/>
        <v>11649</v>
      </c>
      <c r="AA11" s="2">
        <f t="shared" si="24"/>
        <v>2094</v>
      </c>
      <c r="AB11" s="2">
        <f t="shared" si="25"/>
        <v>1441</v>
      </c>
      <c r="AC11" s="2">
        <f t="shared" si="26"/>
        <v>1115</v>
      </c>
      <c r="AD11" s="2">
        <f t="shared" si="27"/>
        <v>919</v>
      </c>
      <c r="AE11" s="2">
        <f t="shared" si="28"/>
        <v>788</v>
      </c>
      <c r="AF11" s="2">
        <f t="shared" si="29"/>
        <v>625</v>
      </c>
    </row>
    <row r="12" ht="14.25" customHeight="1">
      <c r="A12" s="2" t="s">
        <v>328</v>
      </c>
      <c r="B12" s="29">
        <v>13999.0</v>
      </c>
      <c r="C12" s="2">
        <v>117.0</v>
      </c>
      <c r="D12" s="2">
        <f t="shared" si="1"/>
        <v>1450</v>
      </c>
      <c r="E12" s="23">
        <f t="shared" si="2"/>
        <v>15449</v>
      </c>
      <c r="F12" s="25">
        <f t="shared" si="3"/>
        <v>700</v>
      </c>
      <c r="G12" s="23">
        <f t="shared" si="4"/>
        <v>13299</v>
      </c>
      <c r="H12" s="23">
        <f t="shared" si="5"/>
        <v>14749</v>
      </c>
      <c r="I12" s="2">
        <f t="shared" si="6"/>
        <v>2646</v>
      </c>
      <c r="J12" s="2">
        <f t="shared" si="7"/>
        <v>1821</v>
      </c>
      <c r="K12" s="2">
        <f t="shared" si="8"/>
        <v>1409</v>
      </c>
      <c r="L12" s="2">
        <f t="shared" si="9"/>
        <v>1161</v>
      </c>
      <c r="M12" s="2">
        <f t="shared" si="10"/>
        <v>996</v>
      </c>
      <c r="N12" s="2">
        <f t="shared" si="11"/>
        <v>790</v>
      </c>
      <c r="O12" s="25">
        <f t="shared" si="12"/>
        <v>1400</v>
      </c>
      <c r="P12" s="23">
        <f t="shared" si="13"/>
        <v>12599</v>
      </c>
      <c r="Q12" s="23">
        <f t="shared" si="14"/>
        <v>14049</v>
      </c>
      <c r="R12" s="2">
        <f t="shared" si="15"/>
        <v>2522</v>
      </c>
      <c r="S12" s="2">
        <f t="shared" si="16"/>
        <v>1736</v>
      </c>
      <c r="T12" s="2">
        <f t="shared" si="17"/>
        <v>1342</v>
      </c>
      <c r="U12" s="2">
        <f t="shared" si="18"/>
        <v>1107</v>
      </c>
      <c r="V12" s="2">
        <f t="shared" si="19"/>
        <v>949</v>
      </c>
      <c r="W12" s="2">
        <f t="shared" si="20"/>
        <v>753</v>
      </c>
      <c r="X12" s="25">
        <f t="shared" si="21"/>
        <v>2100</v>
      </c>
      <c r="Y12" s="23">
        <f t="shared" si="22"/>
        <v>11899</v>
      </c>
      <c r="Z12" s="23">
        <f t="shared" si="23"/>
        <v>13349</v>
      </c>
      <c r="AA12" s="2">
        <f t="shared" si="24"/>
        <v>2397</v>
      </c>
      <c r="AB12" s="2">
        <f t="shared" si="25"/>
        <v>1650</v>
      </c>
      <c r="AC12" s="2">
        <f t="shared" si="26"/>
        <v>1276</v>
      </c>
      <c r="AD12" s="2">
        <f t="shared" si="27"/>
        <v>1052</v>
      </c>
      <c r="AE12" s="2">
        <f t="shared" si="28"/>
        <v>902</v>
      </c>
      <c r="AF12" s="2">
        <f t="shared" si="29"/>
        <v>716</v>
      </c>
    </row>
    <row r="13" ht="14.25" customHeight="1">
      <c r="A13" s="2" t="s">
        <v>329</v>
      </c>
      <c r="B13" s="29">
        <v>9999.0</v>
      </c>
      <c r="C13" s="2">
        <v>128.0</v>
      </c>
      <c r="D13" s="2">
        <f t="shared" si="1"/>
        <v>795</v>
      </c>
      <c r="E13" s="23">
        <f t="shared" si="2"/>
        <v>10794</v>
      </c>
      <c r="F13" s="25">
        <f t="shared" si="3"/>
        <v>500</v>
      </c>
      <c r="G13" s="23">
        <f t="shared" si="4"/>
        <v>9499</v>
      </c>
      <c r="H13" s="23">
        <f t="shared" si="5"/>
        <v>10294</v>
      </c>
      <c r="I13" s="2">
        <f t="shared" si="6"/>
        <v>1844</v>
      </c>
      <c r="J13" s="2">
        <f t="shared" si="7"/>
        <v>1269</v>
      </c>
      <c r="K13" s="2">
        <f t="shared" si="8"/>
        <v>982</v>
      </c>
      <c r="L13" s="2">
        <f t="shared" si="9"/>
        <v>809</v>
      </c>
      <c r="M13" s="2">
        <f t="shared" si="10"/>
        <v>695</v>
      </c>
      <c r="N13" s="2">
        <f t="shared" si="11"/>
        <v>551</v>
      </c>
      <c r="O13" s="25">
        <f t="shared" si="12"/>
        <v>1000</v>
      </c>
      <c r="P13" s="23">
        <f t="shared" si="13"/>
        <v>8999</v>
      </c>
      <c r="Q13" s="23">
        <f t="shared" si="14"/>
        <v>9794</v>
      </c>
      <c r="R13" s="2">
        <f t="shared" si="15"/>
        <v>1755</v>
      </c>
      <c r="S13" s="2">
        <f t="shared" si="16"/>
        <v>1208</v>
      </c>
      <c r="T13" s="2">
        <f t="shared" si="17"/>
        <v>935</v>
      </c>
      <c r="U13" s="2">
        <f t="shared" si="18"/>
        <v>770</v>
      </c>
      <c r="V13" s="2">
        <f t="shared" si="19"/>
        <v>661</v>
      </c>
      <c r="W13" s="2">
        <f t="shared" si="20"/>
        <v>524</v>
      </c>
      <c r="X13" s="25">
        <f t="shared" si="21"/>
        <v>1500</v>
      </c>
      <c r="Y13" s="23">
        <f t="shared" si="22"/>
        <v>8499</v>
      </c>
      <c r="Z13" s="23">
        <f t="shared" si="23"/>
        <v>9294</v>
      </c>
      <c r="AA13" s="2">
        <f t="shared" si="24"/>
        <v>1666</v>
      </c>
      <c r="AB13" s="2">
        <f t="shared" si="25"/>
        <v>1147</v>
      </c>
      <c r="AC13" s="2">
        <f t="shared" si="26"/>
        <v>887</v>
      </c>
      <c r="AD13" s="2">
        <f t="shared" si="27"/>
        <v>731</v>
      </c>
      <c r="AE13" s="2">
        <f t="shared" si="28"/>
        <v>627</v>
      </c>
      <c r="AF13" s="2">
        <f t="shared" si="29"/>
        <v>498</v>
      </c>
    </row>
    <row r="14" ht="14.25" customHeight="1">
      <c r="A14" s="2" t="s">
        <v>330</v>
      </c>
      <c r="B14" s="29">
        <v>9499.0</v>
      </c>
      <c r="C14" s="2">
        <v>129.0</v>
      </c>
      <c r="D14" s="2">
        <f t="shared" si="1"/>
        <v>795</v>
      </c>
      <c r="E14" s="23">
        <f t="shared" si="2"/>
        <v>10294</v>
      </c>
      <c r="F14" s="25">
        <f t="shared" si="3"/>
        <v>475</v>
      </c>
      <c r="G14" s="23">
        <f t="shared" si="4"/>
        <v>9024</v>
      </c>
      <c r="H14" s="23">
        <f t="shared" si="5"/>
        <v>9819</v>
      </c>
      <c r="I14" s="2">
        <f t="shared" si="6"/>
        <v>1760</v>
      </c>
      <c r="J14" s="2">
        <f t="shared" si="7"/>
        <v>1211</v>
      </c>
      <c r="K14" s="2">
        <f t="shared" si="8"/>
        <v>937</v>
      </c>
      <c r="L14" s="2">
        <f t="shared" si="9"/>
        <v>772</v>
      </c>
      <c r="M14" s="2">
        <f t="shared" si="10"/>
        <v>663</v>
      </c>
      <c r="N14" s="2">
        <f t="shared" si="11"/>
        <v>526</v>
      </c>
      <c r="O14" s="25">
        <f t="shared" si="12"/>
        <v>950</v>
      </c>
      <c r="P14" s="23">
        <f t="shared" si="13"/>
        <v>8549</v>
      </c>
      <c r="Q14" s="23">
        <f t="shared" si="14"/>
        <v>9344</v>
      </c>
      <c r="R14" s="2">
        <f t="shared" si="15"/>
        <v>1675</v>
      </c>
      <c r="S14" s="2">
        <f t="shared" si="16"/>
        <v>1153</v>
      </c>
      <c r="T14" s="2">
        <f t="shared" si="17"/>
        <v>892</v>
      </c>
      <c r="U14" s="2">
        <f t="shared" si="18"/>
        <v>735</v>
      </c>
      <c r="V14" s="2">
        <f t="shared" si="19"/>
        <v>631</v>
      </c>
      <c r="W14" s="2">
        <f t="shared" si="20"/>
        <v>500</v>
      </c>
      <c r="X14" s="25">
        <f t="shared" si="21"/>
        <v>1425</v>
      </c>
      <c r="Y14" s="23">
        <f t="shared" si="22"/>
        <v>8074</v>
      </c>
      <c r="Z14" s="23">
        <f t="shared" si="23"/>
        <v>8869</v>
      </c>
      <c r="AA14" s="2">
        <f t="shared" si="24"/>
        <v>1591</v>
      </c>
      <c r="AB14" s="2">
        <f t="shared" si="25"/>
        <v>1095</v>
      </c>
      <c r="AC14" s="2">
        <f t="shared" si="26"/>
        <v>847</v>
      </c>
      <c r="AD14" s="2">
        <f t="shared" si="27"/>
        <v>698</v>
      </c>
      <c r="AE14" s="2">
        <f t="shared" si="28"/>
        <v>599</v>
      </c>
      <c r="AF14" s="2">
        <f t="shared" si="29"/>
        <v>475</v>
      </c>
    </row>
    <row r="15" ht="14.25" customHeight="1">
      <c r="A15" s="9" t="s">
        <v>331</v>
      </c>
      <c r="B15" s="32">
        <v>19999.0</v>
      </c>
      <c r="C15" s="9">
        <v>163.0</v>
      </c>
      <c r="D15" s="2">
        <f t="shared" si="1"/>
        <v>1450</v>
      </c>
      <c r="E15" s="23">
        <f t="shared" si="2"/>
        <v>21449</v>
      </c>
      <c r="F15" s="25">
        <f t="shared" si="3"/>
        <v>1000</v>
      </c>
      <c r="G15" s="23">
        <f t="shared" si="4"/>
        <v>18999</v>
      </c>
      <c r="H15" s="23">
        <f t="shared" si="5"/>
        <v>20449</v>
      </c>
      <c r="I15" s="2">
        <f t="shared" si="6"/>
        <v>3662</v>
      </c>
      <c r="J15" s="2">
        <f t="shared" si="7"/>
        <v>2520</v>
      </c>
      <c r="K15" s="2">
        <f t="shared" si="8"/>
        <v>1949</v>
      </c>
      <c r="L15" s="2">
        <f t="shared" si="9"/>
        <v>1607</v>
      </c>
      <c r="M15" s="2">
        <f t="shared" si="10"/>
        <v>1379</v>
      </c>
      <c r="N15" s="2">
        <f t="shared" si="11"/>
        <v>1093</v>
      </c>
      <c r="O15" s="25">
        <f t="shared" si="12"/>
        <v>2000</v>
      </c>
      <c r="P15" s="23">
        <f t="shared" si="13"/>
        <v>17999</v>
      </c>
      <c r="Q15" s="23">
        <f t="shared" si="14"/>
        <v>19449</v>
      </c>
      <c r="R15" s="2">
        <f t="shared" si="15"/>
        <v>3484</v>
      </c>
      <c r="S15" s="2">
        <f t="shared" si="16"/>
        <v>2398</v>
      </c>
      <c r="T15" s="2">
        <f t="shared" si="17"/>
        <v>1855</v>
      </c>
      <c r="U15" s="2">
        <f t="shared" si="18"/>
        <v>1529</v>
      </c>
      <c r="V15" s="2">
        <f t="shared" si="19"/>
        <v>1311</v>
      </c>
      <c r="W15" s="2">
        <f t="shared" si="20"/>
        <v>1040</v>
      </c>
      <c r="X15" s="25">
        <f t="shared" si="21"/>
        <v>3000</v>
      </c>
      <c r="Y15" s="23">
        <f t="shared" si="22"/>
        <v>16999</v>
      </c>
      <c r="Z15" s="23">
        <f t="shared" si="23"/>
        <v>18449</v>
      </c>
      <c r="AA15" s="2">
        <f t="shared" si="24"/>
        <v>3306</v>
      </c>
      <c r="AB15" s="2">
        <f t="shared" si="25"/>
        <v>2275</v>
      </c>
      <c r="AC15" s="2">
        <f t="shared" si="26"/>
        <v>1760</v>
      </c>
      <c r="AD15" s="2">
        <f t="shared" si="27"/>
        <v>1451</v>
      </c>
      <c r="AE15" s="2">
        <f t="shared" si="28"/>
        <v>1244</v>
      </c>
      <c r="AF15" s="2">
        <f t="shared" si="29"/>
        <v>987</v>
      </c>
    </row>
    <row r="16" ht="14.25" customHeight="1">
      <c r="A16" s="9" t="s">
        <v>332</v>
      </c>
      <c r="B16" s="32">
        <v>17999.0</v>
      </c>
      <c r="C16" s="9">
        <v>164.0</v>
      </c>
      <c r="D16" s="2">
        <f t="shared" si="1"/>
        <v>1450</v>
      </c>
      <c r="E16" s="23">
        <f t="shared" si="2"/>
        <v>19449</v>
      </c>
      <c r="F16" s="25">
        <f t="shared" si="3"/>
        <v>900</v>
      </c>
      <c r="G16" s="23">
        <f t="shared" si="4"/>
        <v>17099</v>
      </c>
      <c r="H16" s="23">
        <f t="shared" si="5"/>
        <v>18549</v>
      </c>
      <c r="I16" s="2">
        <f t="shared" si="6"/>
        <v>3323</v>
      </c>
      <c r="J16" s="2">
        <f t="shared" si="7"/>
        <v>2287</v>
      </c>
      <c r="K16" s="2">
        <f t="shared" si="8"/>
        <v>1769</v>
      </c>
      <c r="L16" s="2">
        <f t="shared" si="9"/>
        <v>1458</v>
      </c>
      <c r="M16" s="2">
        <f t="shared" si="10"/>
        <v>1251</v>
      </c>
      <c r="N16" s="2">
        <f t="shared" si="11"/>
        <v>992</v>
      </c>
      <c r="O16" s="25">
        <f t="shared" si="12"/>
        <v>1800</v>
      </c>
      <c r="P16" s="23">
        <f t="shared" si="13"/>
        <v>16199</v>
      </c>
      <c r="Q16" s="23">
        <f t="shared" si="14"/>
        <v>17649</v>
      </c>
      <c r="R16" s="2">
        <f t="shared" si="15"/>
        <v>3163</v>
      </c>
      <c r="S16" s="2">
        <f t="shared" si="16"/>
        <v>2177</v>
      </c>
      <c r="T16" s="2">
        <f t="shared" si="17"/>
        <v>1684</v>
      </c>
      <c r="U16" s="2">
        <f t="shared" si="18"/>
        <v>1388</v>
      </c>
      <c r="V16" s="2">
        <f t="shared" si="19"/>
        <v>1191</v>
      </c>
      <c r="W16" s="2">
        <f t="shared" si="20"/>
        <v>944</v>
      </c>
      <c r="X16" s="25">
        <f t="shared" si="21"/>
        <v>2700</v>
      </c>
      <c r="Y16" s="23">
        <f t="shared" si="22"/>
        <v>15299</v>
      </c>
      <c r="Z16" s="23">
        <f t="shared" si="23"/>
        <v>16749</v>
      </c>
      <c r="AA16" s="2">
        <f t="shared" si="24"/>
        <v>3003</v>
      </c>
      <c r="AB16" s="2">
        <f t="shared" si="25"/>
        <v>2067</v>
      </c>
      <c r="AC16" s="2">
        <f t="shared" si="26"/>
        <v>1598</v>
      </c>
      <c r="AD16" s="2">
        <f t="shared" si="27"/>
        <v>1318</v>
      </c>
      <c r="AE16" s="2">
        <f t="shared" si="28"/>
        <v>1130</v>
      </c>
      <c r="AF16" s="2">
        <f t="shared" si="29"/>
        <v>896</v>
      </c>
    </row>
    <row r="17" ht="14.25" customHeight="1">
      <c r="A17" s="9" t="s">
        <v>333</v>
      </c>
      <c r="B17" s="32">
        <v>15999.0</v>
      </c>
      <c r="C17" s="9">
        <v>165.0</v>
      </c>
      <c r="D17" s="2">
        <f t="shared" si="1"/>
        <v>1450</v>
      </c>
      <c r="E17" s="23">
        <f t="shared" si="2"/>
        <v>17449</v>
      </c>
      <c r="F17" s="25">
        <f t="shared" si="3"/>
        <v>800</v>
      </c>
      <c r="G17" s="23">
        <f t="shared" si="4"/>
        <v>15199</v>
      </c>
      <c r="H17" s="23">
        <f t="shared" si="5"/>
        <v>16649</v>
      </c>
      <c r="I17" s="2">
        <f t="shared" si="6"/>
        <v>2985</v>
      </c>
      <c r="J17" s="2">
        <f t="shared" si="7"/>
        <v>2054</v>
      </c>
      <c r="K17" s="2">
        <f t="shared" si="8"/>
        <v>1589</v>
      </c>
      <c r="L17" s="2">
        <f t="shared" si="9"/>
        <v>1310</v>
      </c>
      <c r="M17" s="2">
        <f t="shared" si="10"/>
        <v>1124</v>
      </c>
      <c r="N17" s="2">
        <f t="shared" si="11"/>
        <v>891</v>
      </c>
      <c r="O17" s="25">
        <f t="shared" si="12"/>
        <v>1600</v>
      </c>
      <c r="P17" s="23">
        <f t="shared" si="13"/>
        <v>14399</v>
      </c>
      <c r="Q17" s="23">
        <f t="shared" si="14"/>
        <v>15849</v>
      </c>
      <c r="R17" s="2">
        <f t="shared" si="15"/>
        <v>2842</v>
      </c>
      <c r="S17" s="2">
        <f t="shared" si="16"/>
        <v>1956</v>
      </c>
      <c r="T17" s="2">
        <f t="shared" si="17"/>
        <v>1513</v>
      </c>
      <c r="U17" s="2">
        <f t="shared" si="18"/>
        <v>1247</v>
      </c>
      <c r="V17" s="2">
        <f t="shared" si="19"/>
        <v>1070</v>
      </c>
      <c r="W17" s="2">
        <f t="shared" si="20"/>
        <v>849</v>
      </c>
      <c r="X17" s="25">
        <f t="shared" si="21"/>
        <v>2400</v>
      </c>
      <c r="Y17" s="23">
        <f t="shared" si="22"/>
        <v>13599</v>
      </c>
      <c r="Z17" s="23">
        <f t="shared" si="23"/>
        <v>15049</v>
      </c>
      <c r="AA17" s="2">
        <f t="shared" si="24"/>
        <v>2700</v>
      </c>
      <c r="AB17" s="2">
        <f t="shared" si="25"/>
        <v>1858</v>
      </c>
      <c r="AC17" s="2">
        <f t="shared" si="26"/>
        <v>1437</v>
      </c>
      <c r="AD17" s="2">
        <f t="shared" si="27"/>
        <v>1185</v>
      </c>
      <c r="AE17" s="2">
        <f t="shared" si="28"/>
        <v>1016</v>
      </c>
      <c r="AF17" s="2">
        <f t="shared" si="29"/>
        <v>806</v>
      </c>
    </row>
    <row r="18" ht="14.25" customHeight="1">
      <c r="A18" s="9" t="s">
        <v>334</v>
      </c>
      <c r="B18" s="32">
        <v>14999.0</v>
      </c>
      <c r="C18" s="9">
        <v>166.0</v>
      </c>
      <c r="D18" s="2">
        <f t="shared" si="1"/>
        <v>1450</v>
      </c>
      <c r="E18" s="23">
        <f t="shared" si="2"/>
        <v>16449</v>
      </c>
      <c r="F18" s="25">
        <f t="shared" si="3"/>
        <v>750</v>
      </c>
      <c r="G18" s="23">
        <f t="shared" si="4"/>
        <v>14249</v>
      </c>
      <c r="H18" s="23">
        <f t="shared" si="5"/>
        <v>15699</v>
      </c>
      <c r="I18" s="2">
        <f t="shared" si="6"/>
        <v>2816</v>
      </c>
      <c r="J18" s="2">
        <f t="shared" si="7"/>
        <v>1938</v>
      </c>
      <c r="K18" s="2">
        <f t="shared" si="8"/>
        <v>1499</v>
      </c>
      <c r="L18" s="2">
        <f t="shared" si="9"/>
        <v>1236</v>
      </c>
      <c r="M18" s="2">
        <f t="shared" si="10"/>
        <v>1060</v>
      </c>
      <c r="N18" s="2">
        <f t="shared" si="11"/>
        <v>841</v>
      </c>
      <c r="O18" s="25">
        <f t="shared" si="12"/>
        <v>1500</v>
      </c>
      <c r="P18" s="23">
        <f t="shared" si="13"/>
        <v>13499</v>
      </c>
      <c r="Q18" s="23">
        <f t="shared" si="14"/>
        <v>14949</v>
      </c>
      <c r="R18" s="2">
        <f t="shared" si="15"/>
        <v>2682</v>
      </c>
      <c r="S18" s="2">
        <f t="shared" si="16"/>
        <v>1846</v>
      </c>
      <c r="T18" s="2">
        <f t="shared" si="17"/>
        <v>1428</v>
      </c>
      <c r="U18" s="2">
        <f t="shared" si="18"/>
        <v>1177</v>
      </c>
      <c r="V18" s="2">
        <f t="shared" si="19"/>
        <v>1010</v>
      </c>
      <c r="W18" s="2">
        <f t="shared" si="20"/>
        <v>801</v>
      </c>
      <c r="X18" s="25">
        <f t="shared" si="21"/>
        <v>2250</v>
      </c>
      <c r="Y18" s="23">
        <f t="shared" si="22"/>
        <v>12749</v>
      </c>
      <c r="Z18" s="23">
        <f t="shared" si="23"/>
        <v>14199</v>
      </c>
      <c r="AA18" s="2">
        <f t="shared" si="24"/>
        <v>2548</v>
      </c>
      <c r="AB18" s="2">
        <f t="shared" si="25"/>
        <v>1754</v>
      </c>
      <c r="AC18" s="2">
        <f t="shared" si="26"/>
        <v>1357</v>
      </c>
      <c r="AD18" s="2">
        <f t="shared" si="27"/>
        <v>1118</v>
      </c>
      <c r="AE18" s="2">
        <f t="shared" si="28"/>
        <v>959</v>
      </c>
      <c r="AF18" s="2">
        <f t="shared" si="29"/>
        <v>761</v>
      </c>
    </row>
    <row r="19" ht="14.25" customHeight="1">
      <c r="A19" s="2" t="s">
        <v>335</v>
      </c>
      <c r="B19" s="23">
        <v>14999.0</v>
      </c>
      <c r="C19" s="2">
        <v>191.0</v>
      </c>
      <c r="D19" s="2">
        <f t="shared" si="1"/>
        <v>1450</v>
      </c>
      <c r="E19" s="23">
        <f t="shared" si="2"/>
        <v>16449</v>
      </c>
      <c r="F19" s="25">
        <f t="shared" si="3"/>
        <v>750</v>
      </c>
      <c r="G19" s="23">
        <f t="shared" si="4"/>
        <v>14249</v>
      </c>
      <c r="H19" s="23">
        <f t="shared" si="5"/>
        <v>15699</v>
      </c>
      <c r="I19" s="2">
        <f t="shared" si="6"/>
        <v>2816</v>
      </c>
      <c r="J19" s="2">
        <f t="shared" si="7"/>
        <v>1938</v>
      </c>
      <c r="K19" s="2">
        <f t="shared" si="8"/>
        <v>1499</v>
      </c>
      <c r="L19" s="2">
        <f t="shared" si="9"/>
        <v>1236</v>
      </c>
      <c r="M19" s="2">
        <f t="shared" si="10"/>
        <v>1060</v>
      </c>
      <c r="N19" s="2">
        <f t="shared" si="11"/>
        <v>841</v>
      </c>
      <c r="O19" s="25">
        <f t="shared" si="12"/>
        <v>1500</v>
      </c>
      <c r="P19" s="23">
        <f t="shared" si="13"/>
        <v>13499</v>
      </c>
      <c r="Q19" s="23">
        <f t="shared" si="14"/>
        <v>14949</v>
      </c>
      <c r="R19" s="2">
        <f t="shared" si="15"/>
        <v>2682</v>
      </c>
      <c r="S19" s="2">
        <f t="shared" si="16"/>
        <v>1846</v>
      </c>
      <c r="T19" s="2">
        <f t="shared" si="17"/>
        <v>1428</v>
      </c>
      <c r="U19" s="2">
        <f t="shared" si="18"/>
        <v>1177</v>
      </c>
      <c r="V19" s="2">
        <f t="shared" si="19"/>
        <v>1010</v>
      </c>
      <c r="W19" s="2">
        <f t="shared" si="20"/>
        <v>801</v>
      </c>
      <c r="X19" s="25">
        <f t="shared" si="21"/>
        <v>2250</v>
      </c>
      <c r="Y19" s="23">
        <f t="shared" si="22"/>
        <v>12749</v>
      </c>
      <c r="Z19" s="23">
        <f t="shared" si="23"/>
        <v>14199</v>
      </c>
      <c r="AA19" s="2">
        <f t="shared" si="24"/>
        <v>2548</v>
      </c>
      <c r="AB19" s="2">
        <f t="shared" si="25"/>
        <v>1754</v>
      </c>
      <c r="AC19" s="2">
        <f t="shared" si="26"/>
        <v>1357</v>
      </c>
      <c r="AD19" s="2">
        <f t="shared" si="27"/>
        <v>1118</v>
      </c>
      <c r="AE19" s="2">
        <f t="shared" si="28"/>
        <v>959</v>
      </c>
      <c r="AF19" s="2">
        <f t="shared" si="29"/>
        <v>761</v>
      </c>
    </row>
    <row r="20" ht="14.25" customHeight="1">
      <c r="A20" s="2" t="s">
        <v>336</v>
      </c>
      <c r="B20" s="23">
        <v>14999.0</v>
      </c>
      <c r="C20" s="2">
        <v>197.0</v>
      </c>
      <c r="D20" s="2">
        <f t="shared" si="1"/>
        <v>1450</v>
      </c>
      <c r="E20" s="23">
        <f t="shared" si="2"/>
        <v>16449</v>
      </c>
      <c r="F20" s="25">
        <f t="shared" si="3"/>
        <v>750</v>
      </c>
      <c r="G20" s="23">
        <f t="shared" si="4"/>
        <v>14249</v>
      </c>
      <c r="H20" s="23">
        <f t="shared" si="5"/>
        <v>15699</v>
      </c>
      <c r="I20" s="2">
        <f t="shared" si="6"/>
        <v>2816</v>
      </c>
      <c r="J20" s="2">
        <f t="shared" si="7"/>
        <v>1938</v>
      </c>
      <c r="K20" s="2">
        <f t="shared" si="8"/>
        <v>1499</v>
      </c>
      <c r="L20" s="2">
        <f t="shared" si="9"/>
        <v>1236</v>
      </c>
      <c r="M20" s="2">
        <f t="shared" si="10"/>
        <v>1060</v>
      </c>
      <c r="N20" s="2">
        <f t="shared" si="11"/>
        <v>841</v>
      </c>
      <c r="O20" s="25">
        <f t="shared" si="12"/>
        <v>1500</v>
      </c>
      <c r="P20" s="23">
        <f t="shared" si="13"/>
        <v>13499</v>
      </c>
      <c r="Q20" s="23">
        <f t="shared" si="14"/>
        <v>14949</v>
      </c>
      <c r="R20" s="2">
        <f t="shared" si="15"/>
        <v>2682</v>
      </c>
      <c r="S20" s="2">
        <f t="shared" si="16"/>
        <v>1846</v>
      </c>
      <c r="T20" s="2">
        <f t="shared" si="17"/>
        <v>1428</v>
      </c>
      <c r="U20" s="2">
        <f t="shared" si="18"/>
        <v>1177</v>
      </c>
      <c r="V20" s="2">
        <f t="shared" si="19"/>
        <v>1010</v>
      </c>
      <c r="W20" s="2">
        <f t="shared" si="20"/>
        <v>801</v>
      </c>
      <c r="X20" s="25">
        <f t="shared" si="21"/>
        <v>2250</v>
      </c>
      <c r="Y20" s="23">
        <f t="shared" si="22"/>
        <v>12749</v>
      </c>
      <c r="Z20" s="23">
        <f t="shared" si="23"/>
        <v>14199</v>
      </c>
      <c r="AA20" s="2">
        <f t="shared" si="24"/>
        <v>2548</v>
      </c>
      <c r="AB20" s="2">
        <f t="shared" si="25"/>
        <v>1754</v>
      </c>
      <c r="AC20" s="2">
        <f t="shared" si="26"/>
        <v>1357</v>
      </c>
      <c r="AD20" s="2">
        <f t="shared" si="27"/>
        <v>1118</v>
      </c>
      <c r="AE20" s="2">
        <f t="shared" si="28"/>
        <v>959</v>
      </c>
      <c r="AF20" s="2">
        <f t="shared" si="29"/>
        <v>761</v>
      </c>
    </row>
    <row r="21" ht="14.25" customHeight="1">
      <c r="A21" s="2" t="s">
        <v>314</v>
      </c>
      <c r="B21" s="29">
        <v>13999.0</v>
      </c>
      <c r="C21" s="2">
        <v>48.0</v>
      </c>
      <c r="D21" s="2">
        <v>1450.0</v>
      </c>
      <c r="E21" s="23">
        <v>15449.0</v>
      </c>
      <c r="F21" s="25">
        <v>700.0</v>
      </c>
      <c r="G21" s="23">
        <v>13299.0</v>
      </c>
      <c r="H21" s="23">
        <v>14749.0</v>
      </c>
      <c r="I21" s="2">
        <v>2646.0</v>
      </c>
      <c r="J21" s="2">
        <v>1821.0</v>
      </c>
      <c r="K21" s="2">
        <v>1409.0</v>
      </c>
      <c r="L21" s="2">
        <v>1161.0</v>
      </c>
      <c r="M21" s="2">
        <v>996.0</v>
      </c>
      <c r="N21" s="2">
        <v>790.0</v>
      </c>
      <c r="O21" s="25">
        <v>1400.0</v>
      </c>
      <c r="P21" s="23">
        <v>12599.0</v>
      </c>
      <c r="Q21" s="23">
        <v>14049.0</v>
      </c>
      <c r="R21" s="2">
        <v>2522.0</v>
      </c>
      <c r="S21" s="2">
        <v>1736.0</v>
      </c>
      <c r="T21" s="2">
        <v>1342.0</v>
      </c>
      <c r="U21" s="2">
        <v>1107.0</v>
      </c>
      <c r="V21" s="2">
        <v>949.0</v>
      </c>
      <c r="W21" s="2">
        <v>753.0</v>
      </c>
      <c r="X21" s="25">
        <v>2100.0</v>
      </c>
      <c r="Y21" s="23">
        <v>11899.0</v>
      </c>
      <c r="Z21" s="23">
        <v>13349.0</v>
      </c>
      <c r="AA21" s="2">
        <v>2397.0</v>
      </c>
      <c r="AB21" s="2">
        <v>1650.0</v>
      </c>
      <c r="AC21" s="2">
        <v>1276.0</v>
      </c>
      <c r="AD21" s="2">
        <v>1052.0</v>
      </c>
      <c r="AE21" s="2">
        <v>902.0</v>
      </c>
      <c r="AF21" s="2">
        <v>716.0</v>
      </c>
    </row>
    <row r="22" ht="14.25" customHeight="1">
      <c r="A22" s="2" t="s">
        <v>315</v>
      </c>
      <c r="B22" s="32">
        <v>8499.0</v>
      </c>
      <c r="C22" s="2">
        <v>52.0</v>
      </c>
      <c r="D22" s="2">
        <v>795.0</v>
      </c>
      <c r="E22" s="23">
        <v>9294.0</v>
      </c>
      <c r="F22" s="25">
        <v>425.0</v>
      </c>
      <c r="G22" s="23">
        <v>8074.0</v>
      </c>
      <c r="H22" s="23">
        <v>8869.0</v>
      </c>
      <c r="I22" s="2">
        <v>1591.0</v>
      </c>
      <c r="J22" s="2">
        <v>1095.0</v>
      </c>
      <c r="K22" s="2">
        <v>847.0</v>
      </c>
      <c r="L22" s="2">
        <v>698.0</v>
      </c>
      <c r="M22" s="2">
        <v>599.0</v>
      </c>
      <c r="N22" s="2">
        <v>475.0</v>
      </c>
      <c r="O22" s="25">
        <v>850.0</v>
      </c>
      <c r="P22" s="23">
        <v>7649.0</v>
      </c>
      <c r="Q22" s="23">
        <v>8444.0</v>
      </c>
      <c r="R22" s="2">
        <v>1515.0</v>
      </c>
      <c r="S22" s="2">
        <v>1043.0</v>
      </c>
      <c r="T22" s="2">
        <v>807.0</v>
      </c>
      <c r="U22" s="2">
        <v>665.0</v>
      </c>
      <c r="V22" s="2">
        <v>570.0</v>
      </c>
      <c r="W22" s="2">
        <v>452.0</v>
      </c>
      <c r="X22" s="25">
        <v>1275.0</v>
      </c>
      <c r="Y22" s="23">
        <v>7224.0</v>
      </c>
      <c r="Z22" s="23">
        <v>8019.0</v>
      </c>
      <c r="AA22" s="2">
        <v>1439.0</v>
      </c>
      <c r="AB22" s="2">
        <v>991.0</v>
      </c>
      <c r="AC22" s="2">
        <v>766.0</v>
      </c>
      <c r="AD22" s="2">
        <v>632.0</v>
      </c>
      <c r="AE22" s="2">
        <v>542.0</v>
      </c>
      <c r="AF22" s="2" t="s">
        <v>337</v>
      </c>
    </row>
    <row r="23" ht="14.25" customHeight="1">
      <c r="A23" s="2" t="s">
        <v>316</v>
      </c>
      <c r="B23" s="32">
        <v>7999.0</v>
      </c>
      <c r="C23" s="2">
        <v>53.0</v>
      </c>
      <c r="D23" s="2">
        <v>795.0</v>
      </c>
      <c r="E23" s="23">
        <v>8794.0</v>
      </c>
      <c r="F23" s="25">
        <v>400.0</v>
      </c>
      <c r="G23" s="23">
        <v>7599.0</v>
      </c>
      <c r="H23" s="23">
        <v>8394.0</v>
      </c>
      <c r="I23" s="2">
        <v>1506.0</v>
      </c>
      <c r="J23" s="2">
        <v>1037.0</v>
      </c>
      <c r="K23" s="2">
        <v>802.0</v>
      </c>
      <c r="L23" s="2">
        <v>661.0</v>
      </c>
      <c r="M23" s="2">
        <v>567.0</v>
      </c>
      <c r="N23" s="2">
        <v>450.0</v>
      </c>
      <c r="O23" s="25">
        <v>800.0</v>
      </c>
      <c r="P23" s="23">
        <v>7199.0</v>
      </c>
      <c r="Q23" s="23">
        <v>7994.0</v>
      </c>
      <c r="R23" s="2">
        <v>1435.0</v>
      </c>
      <c r="S23" s="2">
        <v>987.0</v>
      </c>
      <c r="T23" s="2">
        <v>764.0</v>
      </c>
      <c r="U23" s="2">
        <v>630.0</v>
      </c>
      <c r="V23" s="2">
        <v>540.0</v>
      </c>
      <c r="W23" s="2" t="s">
        <v>337</v>
      </c>
      <c r="X23" s="25">
        <v>1200.0</v>
      </c>
      <c r="Y23" s="23">
        <v>6799.0</v>
      </c>
      <c r="Z23" s="23">
        <v>7594.0</v>
      </c>
      <c r="AA23" s="2">
        <v>1363.0</v>
      </c>
      <c r="AB23" s="2">
        <v>938.0</v>
      </c>
      <c r="AC23" s="2">
        <v>726.0</v>
      </c>
      <c r="AD23" s="2">
        <v>598.0</v>
      </c>
      <c r="AE23" s="2">
        <v>513.0</v>
      </c>
      <c r="AF23" s="2" t="s">
        <v>337</v>
      </c>
    </row>
    <row r="24" ht="14.25" customHeight="1">
      <c r="A24" s="2" t="s">
        <v>317</v>
      </c>
      <c r="B24" s="29">
        <v>6999.0</v>
      </c>
      <c r="C24" s="2">
        <v>54.0</v>
      </c>
      <c r="D24" s="2">
        <v>795.0</v>
      </c>
      <c r="E24" s="23">
        <v>7794.0</v>
      </c>
      <c r="F24" s="25">
        <v>350.0</v>
      </c>
      <c r="G24" s="23">
        <v>6649.0</v>
      </c>
      <c r="H24" s="23">
        <v>7444.0</v>
      </c>
      <c r="I24" s="2">
        <v>1337.0</v>
      </c>
      <c r="J24" s="2">
        <v>920.0</v>
      </c>
      <c r="K24" s="2">
        <v>712.0</v>
      </c>
      <c r="L24" s="2">
        <v>587.0</v>
      </c>
      <c r="M24" s="2">
        <v>503.0</v>
      </c>
      <c r="N24" s="2" t="s">
        <v>337</v>
      </c>
      <c r="O24" s="25">
        <v>700.0</v>
      </c>
      <c r="P24" s="23">
        <v>6299.0</v>
      </c>
      <c r="Q24" s="23">
        <v>7094.0</v>
      </c>
      <c r="R24" s="2">
        <v>1274.0</v>
      </c>
      <c r="S24" s="2">
        <v>877.0</v>
      </c>
      <c r="T24" s="2">
        <v>679.0</v>
      </c>
      <c r="U24" s="2">
        <v>559.0</v>
      </c>
      <c r="V24" s="2">
        <v>480.0</v>
      </c>
      <c r="W24" s="2" t="s">
        <v>337</v>
      </c>
      <c r="X24" s="25">
        <v>1050.0</v>
      </c>
      <c r="Y24" s="23">
        <v>5949.0</v>
      </c>
      <c r="Z24" s="23">
        <v>6744.0</v>
      </c>
      <c r="AA24" s="2">
        <v>1212.0</v>
      </c>
      <c r="AB24" s="2">
        <v>834.0</v>
      </c>
      <c r="AC24" s="2">
        <v>645.0</v>
      </c>
      <c r="AD24" s="2">
        <v>532.0</v>
      </c>
      <c r="AE24" s="2" t="s">
        <v>337</v>
      </c>
      <c r="AF24" s="2" t="s">
        <v>337</v>
      </c>
    </row>
    <row r="25" ht="14.25" customHeight="1">
      <c r="A25" s="2" t="s">
        <v>318</v>
      </c>
      <c r="B25" s="32">
        <v>6499.0</v>
      </c>
      <c r="C25" s="2">
        <v>56.0</v>
      </c>
      <c r="D25" s="2">
        <v>795.0</v>
      </c>
      <c r="E25" s="23">
        <v>7294.0</v>
      </c>
      <c r="F25" s="25">
        <v>325.0</v>
      </c>
      <c r="G25" s="23">
        <v>6174.0</v>
      </c>
      <c r="H25" s="23">
        <v>6969.0</v>
      </c>
      <c r="I25" s="2">
        <v>1252.0</v>
      </c>
      <c r="J25" s="2">
        <v>862.0</v>
      </c>
      <c r="K25" s="2">
        <v>667.0</v>
      </c>
      <c r="L25" s="2">
        <v>550.0</v>
      </c>
      <c r="M25" s="2">
        <v>472.0</v>
      </c>
      <c r="N25" s="2" t="s">
        <v>337</v>
      </c>
      <c r="O25" s="25">
        <v>650.0</v>
      </c>
      <c r="P25" s="23">
        <v>5849.0</v>
      </c>
      <c r="Q25" s="23">
        <v>6644.0</v>
      </c>
      <c r="R25" s="2">
        <v>1194.0</v>
      </c>
      <c r="S25" s="2">
        <v>822.0</v>
      </c>
      <c r="T25" s="2">
        <v>636.0</v>
      </c>
      <c r="U25" s="2">
        <v>524.0</v>
      </c>
      <c r="V25" s="2" t="s">
        <v>337</v>
      </c>
      <c r="W25" s="2" t="s">
        <v>337</v>
      </c>
      <c r="X25" s="25">
        <v>975.0</v>
      </c>
      <c r="Y25" s="23">
        <v>5524.0</v>
      </c>
      <c r="Z25" s="23">
        <v>6319.0</v>
      </c>
      <c r="AA25" s="2">
        <v>1136.0</v>
      </c>
      <c r="AB25" s="2">
        <v>782.0</v>
      </c>
      <c r="AC25" s="2">
        <v>605.0</v>
      </c>
      <c r="AD25" s="2">
        <v>499.0</v>
      </c>
      <c r="AE25" s="2" t="s">
        <v>337</v>
      </c>
      <c r="AF25" s="2" t="s">
        <v>337</v>
      </c>
    </row>
    <row r="26" ht="14.25" customHeight="1">
      <c r="A26" s="2"/>
      <c r="B26" s="23"/>
      <c r="C26" s="2"/>
      <c r="D26" s="2"/>
      <c r="E26" s="23"/>
      <c r="F26" s="25"/>
      <c r="G26" s="23"/>
      <c r="H26" s="23"/>
      <c r="I26" s="2"/>
      <c r="J26" s="2"/>
      <c r="K26" s="2"/>
      <c r="L26" s="2"/>
      <c r="M26" s="2"/>
      <c r="N26" s="2"/>
      <c r="O26" s="25"/>
      <c r="P26" s="23"/>
      <c r="Q26" s="23"/>
      <c r="R26" s="2"/>
      <c r="S26" s="2"/>
      <c r="T26" s="2"/>
      <c r="U26" s="2"/>
      <c r="V26" s="2"/>
      <c r="W26" s="2"/>
      <c r="X26" s="25"/>
      <c r="Y26" s="23"/>
      <c r="Z26" s="23"/>
      <c r="AA26" s="2"/>
      <c r="AB26" s="2"/>
      <c r="AC26" s="2"/>
      <c r="AD26" s="2"/>
      <c r="AE26" s="2"/>
      <c r="AF26" s="2"/>
    </row>
    <row r="27" ht="14.25" customHeight="1">
      <c r="A27" s="2"/>
      <c r="B27" s="23"/>
      <c r="C27" s="2"/>
      <c r="D27" s="2"/>
      <c r="E27" s="23"/>
      <c r="F27" s="25"/>
      <c r="G27" s="23"/>
      <c r="H27" s="23"/>
      <c r="I27" s="2"/>
      <c r="J27" s="2"/>
      <c r="K27" s="2"/>
      <c r="L27" s="2"/>
      <c r="M27" s="2"/>
      <c r="N27" s="2"/>
      <c r="O27" s="25"/>
      <c r="P27" s="23"/>
      <c r="Q27" s="23"/>
      <c r="R27" s="2"/>
      <c r="S27" s="2"/>
      <c r="T27" s="2"/>
      <c r="U27" s="2"/>
      <c r="V27" s="2"/>
      <c r="W27" s="2"/>
      <c r="X27" s="25"/>
      <c r="Y27" s="23"/>
      <c r="Z27" s="23"/>
      <c r="AA27" s="2"/>
      <c r="AB27" s="2"/>
      <c r="AC27" s="2"/>
      <c r="AD27" s="2"/>
      <c r="AE27" s="2"/>
      <c r="AF27" s="2"/>
    </row>
    <row r="28" ht="14.25" customHeight="1">
      <c r="A28" s="2"/>
      <c r="B28" s="29"/>
      <c r="C28" s="2"/>
      <c r="D28" s="2"/>
      <c r="E28" s="29"/>
      <c r="F28" s="25"/>
      <c r="G28" s="29"/>
      <c r="H28" s="29"/>
      <c r="I28" s="2"/>
      <c r="J28" s="2"/>
      <c r="K28" s="2"/>
      <c r="L28" s="2"/>
      <c r="M28" s="2"/>
      <c r="N28" s="2"/>
      <c r="O28" s="25"/>
      <c r="P28" s="29"/>
      <c r="Q28" s="29"/>
      <c r="R28" s="2"/>
      <c r="S28" s="2"/>
      <c r="T28" s="2"/>
      <c r="U28" s="2"/>
      <c r="V28" s="2"/>
      <c r="W28" s="2"/>
      <c r="X28" s="25"/>
      <c r="Y28" s="29"/>
      <c r="Z28" s="29"/>
      <c r="AA28" s="2"/>
      <c r="AB28" s="2"/>
      <c r="AC28" s="2"/>
      <c r="AD28" s="2"/>
      <c r="AE28" s="2"/>
      <c r="AF28" s="2"/>
    </row>
    <row r="29" ht="14.25" customHeight="1">
      <c r="A29" s="2"/>
      <c r="B29" s="29"/>
      <c r="C29" s="2"/>
      <c r="D29" s="2"/>
      <c r="E29" s="29"/>
      <c r="F29" s="25"/>
      <c r="G29" s="29"/>
      <c r="H29" s="29"/>
      <c r="I29" s="2"/>
      <c r="J29" s="2"/>
      <c r="K29" s="2"/>
      <c r="L29" s="2"/>
      <c r="M29" s="2"/>
      <c r="N29" s="2"/>
      <c r="O29" s="25"/>
      <c r="P29" s="29"/>
      <c r="Q29" s="29"/>
      <c r="R29" s="2"/>
      <c r="S29" s="2"/>
      <c r="T29" s="2"/>
      <c r="U29" s="2"/>
      <c r="V29" s="2"/>
      <c r="W29" s="2"/>
      <c r="X29" s="25"/>
      <c r="Y29" s="29"/>
      <c r="Z29" s="29"/>
      <c r="AA29" s="2"/>
      <c r="AB29" s="2"/>
      <c r="AC29" s="2"/>
      <c r="AD29" s="2"/>
      <c r="AE29" s="2"/>
      <c r="AF29" s="2"/>
    </row>
    <row r="30" ht="14.25" customHeight="1">
      <c r="A30" s="2"/>
      <c r="B30" s="29"/>
      <c r="C30" s="2"/>
      <c r="D30" s="2"/>
      <c r="E30" s="29"/>
      <c r="F30" s="25"/>
      <c r="G30" s="29"/>
      <c r="H30" s="29"/>
      <c r="I30" s="2"/>
      <c r="J30" s="2"/>
      <c r="K30" s="2"/>
      <c r="L30" s="2"/>
      <c r="M30" s="2"/>
      <c r="N30" s="2"/>
      <c r="O30" s="25"/>
      <c r="P30" s="29"/>
      <c r="Q30" s="29"/>
      <c r="R30" s="2"/>
      <c r="S30" s="2"/>
      <c r="T30" s="2"/>
      <c r="U30" s="2"/>
      <c r="V30" s="2"/>
      <c r="W30" s="2"/>
      <c r="X30" s="25"/>
      <c r="Y30" s="29"/>
      <c r="Z30" s="29"/>
      <c r="AA30" s="2"/>
      <c r="AB30" s="2"/>
      <c r="AC30" s="2"/>
      <c r="AD30" s="2"/>
      <c r="AE30" s="2"/>
      <c r="AF30" s="2"/>
    </row>
    <row r="31" ht="14.25" customHeight="1">
      <c r="A31" s="2"/>
      <c r="B31" s="29"/>
      <c r="C31" s="2"/>
      <c r="D31" s="2"/>
      <c r="E31" s="29"/>
      <c r="F31" s="25"/>
      <c r="G31" s="29"/>
      <c r="H31" s="29"/>
      <c r="I31" s="2"/>
      <c r="J31" s="2"/>
      <c r="K31" s="2"/>
      <c r="L31" s="2"/>
      <c r="M31" s="2"/>
      <c r="N31" s="2"/>
      <c r="O31" s="25"/>
      <c r="P31" s="29"/>
      <c r="Q31" s="29"/>
      <c r="R31" s="2"/>
      <c r="S31" s="2"/>
      <c r="T31" s="2"/>
      <c r="U31" s="2"/>
      <c r="V31" s="2"/>
      <c r="W31" s="2"/>
      <c r="X31" s="25"/>
      <c r="Y31" s="29"/>
      <c r="Z31" s="29"/>
      <c r="AA31" s="2"/>
      <c r="AB31" s="2"/>
      <c r="AC31" s="2"/>
      <c r="AD31" s="2"/>
      <c r="AE31" s="2"/>
      <c r="AF31" s="2"/>
    </row>
    <row r="32" ht="14.25" customHeight="1">
      <c r="A32" s="2"/>
      <c r="B32" s="29"/>
      <c r="C32" s="2"/>
      <c r="D32" s="2"/>
      <c r="E32" s="29"/>
      <c r="F32" s="25"/>
      <c r="G32" s="29"/>
      <c r="H32" s="29"/>
      <c r="I32" s="2"/>
      <c r="J32" s="2"/>
      <c r="K32" s="2"/>
      <c r="L32" s="2"/>
      <c r="M32" s="2"/>
      <c r="N32" s="2"/>
      <c r="O32" s="25"/>
      <c r="P32" s="29"/>
      <c r="Q32" s="29"/>
      <c r="R32" s="2"/>
      <c r="S32" s="2"/>
      <c r="T32" s="2"/>
      <c r="U32" s="2"/>
      <c r="V32" s="2"/>
      <c r="W32" s="2"/>
      <c r="X32" s="25"/>
      <c r="Y32" s="29"/>
      <c r="Z32" s="29"/>
      <c r="AA32" s="2"/>
      <c r="AB32" s="2"/>
      <c r="AC32" s="2"/>
      <c r="AD32" s="2"/>
      <c r="AE32" s="2"/>
      <c r="AF32" s="2"/>
    </row>
    <row r="33" ht="14.25" customHeight="1">
      <c r="A33" s="2"/>
      <c r="B33" s="29"/>
      <c r="C33" s="2"/>
      <c r="D33" s="2"/>
      <c r="E33" s="29"/>
      <c r="F33" s="25"/>
      <c r="G33" s="29"/>
      <c r="H33" s="29"/>
      <c r="I33" s="2"/>
      <c r="J33" s="2"/>
      <c r="K33" s="2"/>
      <c r="L33" s="2"/>
      <c r="M33" s="2"/>
      <c r="N33" s="2"/>
      <c r="O33" s="25"/>
      <c r="P33" s="29"/>
      <c r="Q33" s="29"/>
      <c r="R33" s="2"/>
      <c r="S33" s="2"/>
      <c r="T33" s="2"/>
      <c r="U33" s="2"/>
      <c r="V33" s="2"/>
      <c r="W33" s="2"/>
      <c r="X33" s="25"/>
      <c r="Y33" s="29"/>
      <c r="Z33" s="29"/>
      <c r="AA33" s="2"/>
      <c r="AB33" s="2"/>
      <c r="AC33" s="2"/>
      <c r="AD33" s="2"/>
      <c r="AE33" s="2"/>
      <c r="AF33" s="2"/>
    </row>
    <row r="34" ht="14.25" customHeight="1">
      <c r="A34" s="2"/>
      <c r="B34" s="29"/>
      <c r="C34" s="2"/>
      <c r="D34" s="2"/>
      <c r="E34" s="29"/>
      <c r="F34" s="25"/>
      <c r="G34" s="29"/>
      <c r="H34" s="29"/>
      <c r="I34" s="2"/>
      <c r="J34" s="2"/>
      <c r="K34" s="2"/>
      <c r="L34" s="2"/>
      <c r="M34" s="2"/>
      <c r="N34" s="2"/>
      <c r="O34" s="25"/>
      <c r="P34" s="29"/>
      <c r="Q34" s="29"/>
      <c r="R34" s="2"/>
      <c r="S34" s="2"/>
      <c r="T34" s="2"/>
      <c r="U34" s="2"/>
      <c r="V34" s="2"/>
      <c r="W34" s="2"/>
      <c r="X34" s="25"/>
      <c r="Y34" s="29"/>
      <c r="Z34" s="29"/>
      <c r="AA34" s="2"/>
      <c r="AB34" s="2"/>
      <c r="AC34" s="2"/>
      <c r="AD34" s="2"/>
      <c r="AE34" s="2"/>
      <c r="AF34" s="2"/>
    </row>
    <row r="35" ht="14.25" customHeight="1">
      <c r="A35" s="2"/>
      <c r="B35" s="29"/>
      <c r="C35" s="2"/>
      <c r="D35" s="2"/>
      <c r="E35" s="29"/>
      <c r="F35" s="25"/>
      <c r="G35" s="29"/>
      <c r="H35" s="29"/>
      <c r="I35" s="2"/>
      <c r="J35" s="2"/>
      <c r="K35" s="2"/>
      <c r="L35" s="2"/>
      <c r="M35" s="2"/>
      <c r="N35" s="2"/>
      <c r="O35" s="25"/>
      <c r="P35" s="29"/>
      <c r="Q35" s="29"/>
      <c r="R35" s="2"/>
      <c r="S35" s="2"/>
      <c r="T35" s="2"/>
      <c r="U35" s="2"/>
      <c r="V35" s="2"/>
      <c r="W35" s="2"/>
      <c r="X35" s="25"/>
      <c r="Y35" s="29"/>
      <c r="Z35" s="29"/>
      <c r="AA35" s="2"/>
      <c r="AB35" s="2"/>
      <c r="AC35" s="2"/>
      <c r="AD35" s="2"/>
      <c r="AE35" s="2"/>
      <c r="AF35" s="2"/>
    </row>
    <row r="36" ht="14.25" customHeight="1">
      <c r="A36" s="2"/>
      <c r="B36" s="29"/>
      <c r="C36" s="2"/>
      <c r="D36" s="2"/>
      <c r="E36" s="29"/>
      <c r="F36" s="25"/>
      <c r="G36" s="29"/>
      <c r="H36" s="29"/>
      <c r="I36" s="2"/>
      <c r="J36" s="2"/>
      <c r="K36" s="2"/>
      <c r="L36" s="2"/>
      <c r="M36" s="2"/>
      <c r="N36" s="2"/>
      <c r="O36" s="25"/>
      <c r="P36" s="29"/>
      <c r="Q36" s="29"/>
      <c r="R36" s="2"/>
      <c r="S36" s="2"/>
      <c r="T36" s="2"/>
      <c r="U36" s="2"/>
      <c r="V36" s="2"/>
      <c r="W36" s="2"/>
      <c r="X36" s="25"/>
      <c r="Y36" s="29"/>
      <c r="Z36" s="29"/>
      <c r="AA36" s="2"/>
      <c r="AB36" s="2"/>
      <c r="AC36" s="2"/>
      <c r="AD36" s="2"/>
      <c r="AE36" s="2"/>
      <c r="AF36" s="2"/>
    </row>
    <row r="37" ht="14.25" customHeight="1">
      <c r="A37" s="2"/>
      <c r="B37" s="29"/>
      <c r="C37" s="2"/>
      <c r="D37" s="2"/>
      <c r="E37" s="29"/>
      <c r="F37" s="25"/>
      <c r="G37" s="29"/>
      <c r="H37" s="29"/>
      <c r="I37" s="2"/>
      <c r="J37" s="2"/>
      <c r="K37" s="2"/>
      <c r="L37" s="2"/>
      <c r="M37" s="2"/>
      <c r="N37" s="2"/>
      <c r="O37" s="25"/>
      <c r="P37" s="29"/>
      <c r="Q37" s="29"/>
      <c r="R37" s="2"/>
      <c r="S37" s="2"/>
      <c r="T37" s="2"/>
      <c r="U37" s="2"/>
      <c r="V37" s="2"/>
      <c r="W37" s="2"/>
      <c r="X37" s="25"/>
      <c r="Y37" s="29"/>
      <c r="Z37" s="29"/>
      <c r="AA37" s="2"/>
      <c r="AB37" s="2"/>
      <c r="AC37" s="2"/>
      <c r="AD37" s="2"/>
      <c r="AE37" s="2"/>
      <c r="AF37" s="2"/>
    </row>
    <row r="38" ht="14.25" customHeight="1">
      <c r="A38" s="2"/>
      <c r="B38" s="29"/>
      <c r="C38" s="2"/>
      <c r="D38" s="2"/>
      <c r="E38" s="29"/>
      <c r="F38" s="25"/>
      <c r="G38" s="29"/>
      <c r="H38" s="29"/>
      <c r="I38" s="2"/>
      <c r="J38" s="2"/>
      <c r="K38" s="2"/>
      <c r="L38" s="2"/>
      <c r="M38" s="2"/>
      <c r="N38" s="2"/>
      <c r="O38" s="25"/>
      <c r="P38" s="29"/>
      <c r="Q38" s="29"/>
      <c r="R38" s="2"/>
      <c r="S38" s="2"/>
      <c r="T38" s="2"/>
      <c r="U38" s="2"/>
      <c r="V38" s="2"/>
      <c r="W38" s="2"/>
      <c r="X38" s="25"/>
      <c r="Y38" s="29"/>
      <c r="Z38" s="29"/>
      <c r="AA38" s="2"/>
      <c r="AB38" s="2"/>
      <c r="AC38" s="2"/>
      <c r="AD38" s="2"/>
      <c r="AE38" s="2"/>
      <c r="AF38" s="2"/>
    </row>
    <row r="39" ht="14.25" customHeight="1">
      <c r="A39" s="2"/>
      <c r="B39" s="29"/>
      <c r="C39" s="2"/>
      <c r="D39" s="2"/>
      <c r="E39" s="29"/>
      <c r="F39" s="25"/>
      <c r="G39" s="29"/>
      <c r="H39" s="29"/>
      <c r="I39" s="2"/>
      <c r="J39" s="2"/>
      <c r="K39" s="2"/>
      <c r="L39" s="2"/>
      <c r="M39" s="2"/>
      <c r="N39" s="2"/>
      <c r="O39" s="25"/>
      <c r="P39" s="29"/>
      <c r="Q39" s="29"/>
      <c r="R39" s="2"/>
      <c r="S39" s="2"/>
      <c r="T39" s="2"/>
      <c r="U39" s="2"/>
      <c r="V39" s="2"/>
      <c r="W39" s="2"/>
      <c r="X39" s="25"/>
      <c r="Y39" s="29"/>
      <c r="Z39" s="29"/>
      <c r="AA39" s="2"/>
      <c r="AB39" s="2"/>
      <c r="AC39" s="2"/>
      <c r="AD39" s="2"/>
      <c r="AE39" s="2"/>
      <c r="AF39" s="2"/>
    </row>
    <row r="40" ht="14.25" customHeight="1">
      <c r="A40" s="2"/>
      <c r="B40" s="29"/>
      <c r="C40" s="2"/>
      <c r="D40" s="2"/>
      <c r="E40" s="29"/>
      <c r="F40" s="25"/>
      <c r="G40" s="29"/>
      <c r="H40" s="29"/>
      <c r="I40" s="2"/>
      <c r="J40" s="2"/>
      <c r="K40" s="2"/>
      <c r="L40" s="2"/>
      <c r="M40" s="2"/>
      <c r="N40" s="2"/>
      <c r="O40" s="25"/>
      <c r="P40" s="29"/>
      <c r="Q40" s="29"/>
      <c r="R40" s="2"/>
      <c r="S40" s="2"/>
      <c r="T40" s="2"/>
      <c r="U40" s="2"/>
      <c r="V40" s="2"/>
      <c r="W40" s="2"/>
      <c r="X40" s="25"/>
      <c r="Y40" s="29"/>
      <c r="Z40" s="29"/>
      <c r="AA40" s="2"/>
      <c r="AB40" s="2"/>
      <c r="AC40" s="2"/>
      <c r="AD40" s="2"/>
      <c r="AE40" s="2"/>
      <c r="AF40" s="2"/>
    </row>
    <row r="41" ht="14.25" customHeight="1">
      <c r="A41" s="2"/>
      <c r="B41" s="29"/>
      <c r="C41" s="2"/>
      <c r="D41" s="2"/>
      <c r="E41" s="29"/>
      <c r="F41" s="25"/>
      <c r="G41" s="29"/>
      <c r="H41" s="29"/>
      <c r="I41" s="2"/>
      <c r="J41" s="2"/>
      <c r="K41" s="2"/>
      <c r="L41" s="2"/>
      <c r="M41" s="2"/>
      <c r="N41" s="2"/>
      <c r="O41" s="25"/>
      <c r="P41" s="29"/>
      <c r="Q41" s="29"/>
      <c r="R41" s="2"/>
      <c r="S41" s="2"/>
      <c r="T41" s="2"/>
      <c r="U41" s="2"/>
      <c r="V41" s="2"/>
      <c r="W41" s="2"/>
      <c r="X41" s="25"/>
      <c r="Y41" s="29"/>
      <c r="Z41" s="29"/>
      <c r="AA41" s="2"/>
      <c r="AB41" s="2"/>
      <c r="AC41" s="2"/>
      <c r="AD41" s="2"/>
      <c r="AE41" s="2"/>
      <c r="AF41" s="2"/>
    </row>
    <row r="42" ht="14.25" customHeight="1">
      <c r="A42" s="2"/>
      <c r="B42" s="29"/>
      <c r="C42" s="2"/>
      <c r="D42" s="2"/>
      <c r="E42" s="29"/>
      <c r="F42" s="25"/>
      <c r="G42" s="29"/>
      <c r="H42" s="29"/>
      <c r="I42" s="2"/>
      <c r="J42" s="2"/>
      <c r="K42" s="2"/>
      <c r="L42" s="2"/>
      <c r="M42" s="2"/>
      <c r="N42" s="2"/>
      <c r="O42" s="25"/>
      <c r="P42" s="29"/>
      <c r="Q42" s="29"/>
      <c r="R42" s="2"/>
      <c r="S42" s="2"/>
      <c r="T42" s="2"/>
      <c r="U42" s="2"/>
      <c r="V42" s="2"/>
      <c r="W42" s="2"/>
      <c r="X42" s="25"/>
      <c r="Y42" s="29"/>
      <c r="Z42" s="29"/>
      <c r="AA42" s="2"/>
      <c r="AB42" s="2"/>
      <c r="AC42" s="2"/>
      <c r="AD42" s="2"/>
      <c r="AE42" s="2"/>
      <c r="AF42" s="2"/>
    </row>
    <row r="43" ht="14.25" customHeight="1">
      <c r="A43" s="2"/>
      <c r="B43" s="29"/>
      <c r="C43" s="2"/>
      <c r="D43" s="2"/>
      <c r="E43" s="29"/>
      <c r="F43" s="25"/>
      <c r="G43" s="29"/>
      <c r="H43" s="29"/>
      <c r="I43" s="2"/>
      <c r="J43" s="2"/>
      <c r="K43" s="2"/>
      <c r="L43" s="2"/>
      <c r="M43" s="2"/>
      <c r="N43" s="2"/>
      <c r="O43" s="25"/>
      <c r="P43" s="29"/>
      <c r="Q43" s="29"/>
      <c r="R43" s="2"/>
      <c r="S43" s="2"/>
      <c r="T43" s="2"/>
      <c r="U43" s="2"/>
      <c r="V43" s="2"/>
      <c r="W43" s="2"/>
      <c r="X43" s="25"/>
      <c r="Y43" s="29"/>
      <c r="Z43" s="29"/>
      <c r="AA43" s="2"/>
      <c r="AB43" s="2"/>
      <c r="AC43" s="2"/>
      <c r="AD43" s="2"/>
      <c r="AE43" s="2"/>
      <c r="AF43" s="2"/>
    </row>
    <row r="44" ht="14.25" customHeight="1">
      <c r="A44" s="2"/>
      <c r="B44" s="29"/>
      <c r="C44" s="2"/>
      <c r="D44" s="2"/>
      <c r="E44" s="29"/>
      <c r="F44" s="25"/>
      <c r="G44" s="29"/>
      <c r="H44" s="29"/>
      <c r="I44" s="2"/>
      <c r="J44" s="2"/>
      <c r="K44" s="2"/>
      <c r="L44" s="2"/>
      <c r="M44" s="2"/>
      <c r="N44" s="2"/>
      <c r="O44" s="25"/>
      <c r="P44" s="29"/>
      <c r="Q44" s="29"/>
      <c r="R44" s="2"/>
      <c r="S44" s="2"/>
      <c r="T44" s="2"/>
      <c r="U44" s="2"/>
      <c r="V44" s="2"/>
      <c r="W44" s="2"/>
      <c r="X44" s="25"/>
      <c r="Y44" s="29"/>
      <c r="Z44" s="29"/>
      <c r="AA44" s="2"/>
      <c r="AB44" s="2"/>
      <c r="AC44" s="2"/>
      <c r="AD44" s="2"/>
      <c r="AE44" s="2"/>
      <c r="AF44" s="2"/>
    </row>
    <row r="45" ht="14.25" customHeight="1">
      <c r="A45" s="2"/>
      <c r="B45" s="29"/>
      <c r="C45" s="2"/>
      <c r="D45" s="2"/>
      <c r="E45" s="29"/>
      <c r="F45" s="25"/>
      <c r="G45" s="29"/>
      <c r="H45" s="29"/>
      <c r="I45" s="2"/>
      <c r="J45" s="2"/>
      <c r="K45" s="2"/>
      <c r="L45" s="2"/>
      <c r="M45" s="2"/>
      <c r="N45" s="2"/>
      <c r="O45" s="25"/>
      <c r="P45" s="29"/>
      <c r="Q45" s="29"/>
      <c r="R45" s="2"/>
      <c r="S45" s="2"/>
      <c r="T45" s="2"/>
      <c r="U45" s="2"/>
      <c r="V45" s="2"/>
      <c r="W45" s="2"/>
      <c r="X45" s="25"/>
      <c r="Y45" s="29"/>
      <c r="Z45" s="29"/>
      <c r="AA45" s="2"/>
      <c r="AB45" s="2"/>
      <c r="AC45" s="2"/>
      <c r="AD45" s="2"/>
      <c r="AE45" s="2"/>
      <c r="AF45" s="2"/>
    </row>
    <row r="46" ht="14.25" customHeight="1">
      <c r="A46" s="2"/>
      <c r="B46" s="29"/>
      <c r="C46" s="2"/>
      <c r="D46" s="2"/>
      <c r="E46" s="29"/>
      <c r="F46" s="25"/>
      <c r="G46" s="29"/>
      <c r="H46" s="29"/>
      <c r="I46" s="2"/>
      <c r="J46" s="2"/>
      <c r="K46" s="2"/>
      <c r="L46" s="2"/>
      <c r="M46" s="2"/>
      <c r="N46" s="2"/>
      <c r="O46" s="25"/>
      <c r="P46" s="29"/>
      <c r="Q46" s="29"/>
      <c r="R46" s="2"/>
      <c r="S46" s="2"/>
      <c r="T46" s="2"/>
      <c r="U46" s="2"/>
      <c r="V46" s="2"/>
      <c r="W46" s="2"/>
      <c r="X46" s="25"/>
      <c r="Y46" s="29"/>
      <c r="Z46" s="29"/>
      <c r="AA46" s="2"/>
      <c r="AB46" s="2"/>
      <c r="AC46" s="2"/>
      <c r="AD46" s="2"/>
      <c r="AE46" s="2"/>
      <c r="AF46" s="2"/>
    </row>
    <row r="47" ht="14.25" customHeight="1">
      <c r="A47" s="2"/>
      <c r="B47" s="29"/>
      <c r="C47" s="2"/>
      <c r="D47" s="2"/>
      <c r="E47" s="29"/>
      <c r="F47" s="25"/>
      <c r="G47" s="29"/>
      <c r="H47" s="29"/>
      <c r="I47" s="2"/>
      <c r="J47" s="2"/>
      <c r="K47" s="2"/>
      <c r="L47" s="2"/>
      <c r="M47" s="2"/>
      <c r="N47" s="2"/>
      <c r="O47" s="25"/>
      <c r="P47" s="29"/>
      <c r="Q47" s="29"/>
      <c r="R47" s="2"/>
      <c r="S47" s="2"/>
      <c r="T47" s="2"/>
      <c r="U47" s="2"/>
      <c r="V47" s="2"/>
      <c r="W47" s="2"/>
      <c r="X47" s="25"/>
      <c r="Y47" s="29"/>
      <c r="Z47" s="29"/>
      <c r="AA47" s="2"/>
      <c r="AB47" s="2"/>
      <c r="AC47" s="2"/>
      <c r="AD47" s="2"/>
      <c r="AE47" s="2"/>
      <c r="AF47" s="2"/>
    </row>
    <row r="48" ht="14.25" customHeight="1">
      <c r="A48" s="2"/>
      <c r="B48" s="29"/>
      <c r="C48" s="2"/>
      <c r="D48" s="2"/>
      <c r="E48" s="29"/>
      <c r="F48" s="25"/>
      <c r="G48" s="29"/>
      <c r="H48" s="29"/>
      <c r="I48" s="2"/>
      <c r="J48" s="2"/>
      <c r="K48" s="2"/>
      <c r="L48" s="2"/>
      <c r="M48" s="2"/>
      <c r="N48" s="2"/>
      <c r="O48" s="25"/>
      <c r="P48" s="29"/>
      <c r="Q48" s="29"/>
      <c r="R48" s="2"/>
      <c r="S48" s="2"/>
      <c r="T48" s="2"/>
      <c r="U48" s="2"/>
      <c r="V48" s="2"/>
      <c r="W48" s="2"/>
      <c r="X48" s="25"/>
      <c r="Y48" s="29"/>
      <c r="Z48" s="29"/>
      <c r="AA48" s="2"/>
      <c r="AB48" s="2"/>
      <c r="AC48" s="2"/>
      <c r="AD48" s="2"/>
      <c r="AE48" s="2"/>
      <c r="AF48" s="2"/>
    </row>
    <row r="49" ht="14.25" customHeight="1">
      <c r="A49" s="2"/>
      <c r="B49" s="29"/>
      <c r="C49" s="2"/>
      <c r="D49" s="2"/>
      <c r="E49" s="29"/>
      <c r="F49" s="25"/>
      <c r="G49" s="29"/>
      <c r="H49" s="29"/>
      <c r="I49" s="2"/>
      <c r="J49" s="2"/>
      <c r="K49" s="2"/>
      <c r="L49" s="2"/>
      <c r="M49" s="2"/>
      <c r="N49" s="2"/>
      <c r="O49" s="25"/>
      <c r="P49" s="29"/>
      <c r="Q49" s="29"/>
      <c r="R49" s="2"/>
      <c r="S49" s="2"/>
      <c r="T49" s="2"/>
      <c r="U49" s="2"/>
      <c r="V49" s="2"/>
      <c r="W49" s="2"/>
      <c r="X49" s="25"/>
      <c r="Y49" s="29"/>
      <c r="Z49" s="29"/>
      <c r="AA49" s="2"/>
      <c r="AB49" s="2"/>
      <c r="AC49" s="2"/>
      <c r="AD49" s="2"/>
      <c r="AE49" s="2"/>
      <c r="AF49" s="2"/>
    </row>
    <row r="50" ht="14.25" customHeight="1">
      <c r="A50" s="2"/>
      <c r="B50" s="29"/>
      <c r="C50" s="2"/>
      <c r="D50" s="2"/>
      <c r="E50" s="29"/>
      <c r="F50" s="25"/>
      <c r="G50" s="29"/>
      <c r="H50" s="29"/>
      <c r="I50" s="2"/>
      <c r="J50" s="2"/>
      <c r="K50" s="2"/>
      <c r="L50" s="2"/>
      <c r="M50" s="2"/>
      <c r="N50" s="2"/>
      <c r="O50" s="25"/>
      <c r="P50" s="29"/>
      <c r="Q50" s="29"/>
      <c r="R50" s="2"/>
      <c r="S50" s="2"/>
      <c r="T50" s="2"/>
      <c r="U50" s="2"/>
      <c r="V50" s="2"/>
      <c r="W50" s="2"/>
      <c r="X50" s="25"/>
      <c r="Y50" s="29"/>
      <c r="Z50" s="29"/>
      <c r="AA50" s="2"/>
      <c r="AB50" s="2"/>
      <c r="AC50" s="2"/>
      <c r="AD50" s="2"/>
      <c r="AE50" s="2"/>
      <c r="AF50" s="2"/>
    </row>
    <row r="51" ht="14.25" customHeight="1">
      <c r="A51" s="2"/>
      <c r="B51" s="29"/>
      <c r="C51" s="2"/>
      <c r="D51" s="2"/>
      <c r="E51" s="29"/>
      <c r="F51" s="25"/>
      <c r="G51" s="29"/>
      <c r="H51" s="29"/>
      <c r="I51" s="2"/>
      <c r="J51" s="2"/>
      <c r="K51" s="2"/>
      <c r="L51" s="2"/>
      <c r="M51" s="2"/>
      <c r="N51" s="2"/>
      <c r="O51" s="25"/>
      <c r="P51" s="29"/>
      <c r="Q51" s="29"/>
      <c r="R51" s="2"/>
      <c r="S51" s="2"/>
      <c r="T51" s="2"/>
      <c r="U51" s="2"/>
      <c r="V51" s="2"/>
      <c r="W51" s="2"/>
      <c r="X51" s="25"/>
      <c r="Y51" s="29"/>
      <c r="Z51" s="29"/>
      <c r="AA51" s="2"/>
      <c r="AB51" s="2"/>
      <c r="AC51" s="2"/>
      <c r="AD51" s="2"/>
      <c r="AE51" s="2"/>
      <c r="AF51" s="2"/>
    </row>
    <row r="52" ht="14.25" customHeight="1">
      <c r="A52" s="2"/>
      <c r="B52" s="29"/>
      <c r="C52" s="2"/>
      <c r="D52" s="2"/>
      <c r="E52" s="29"/>
      <c r="F52" s="25"/>
      <c r="G52" s="29"/>
      <c r="H52" s="29"/>
      <c r="I52" s="2"/>
      <c r="J52" s="2"/>
      <c r="K52" s="2"/>
      <c r="L52" s="2"/>
      <c r="M52" s="2"/>
      <c r="N52" s="2"/>
      <c r="O52" s="25"/>
      <c r="P52" s="29"/>
      <c r="Q52" s="29"/>
      <c r="R52" s="2"/>
      <c r="S52" s="2"/>
      <c r="T52" s="2"/>
      <c r="U52" s="2"/>
      <c r="V52" s="2"/>
      <c r="W52" s="2"/>
      <c r="X52" s="25"/>
      <c r="Y52" s="29"/>
      <c r="Z52" s="29"/>
      <c r="AA52" s="2"/>
      <c r="AB52" s="2"/>
      <c r="AC52" s="2"/>
      <c r="AD52" s="2"/>
      <c r="AE52" s="2"/>
      <c r="AF52" s="2"/>
    </row>
    <row r="53" ht="14.25" customHeight="1">
      <c r="A53" s="2"/>
      <c r="B53" s="29"/>
      <c r="C53" s="2"/>
      <c r="D53" s="2"/>
      <c r="E53" s="29"/>
      <c r="F53" s="25"/>
      <c r="G53" s="29"/>
      <c r="H53" s="29"/>
      <c r="I53" s="2"/>
      <c r="J53" s="2"/>
      <c r="K53" s="2"/>
      <c r="L53" s="2"/>
      <c r="M53" s="2"/>
      <c r="N53" s="2"/>
      <c r="O53" s="25"/>
      <c r="P53" s="29"/>
      <c r="Q53" s="29"/>
      <c r="R53" s="2"/>
      <c r="S53" s="2"/>
      <c r="T53" s="2"/>
      <c r="U53" s="2"/>
      <c r="V53" s="2"/>
      <c r="W53" s="2"/>
      <c r="X53" s="25"/>
      <c r="Y53" s="29"/>
      <c r="Z53" s="29"/>
      <c r="AA53" s="2"/>
      <c r="AB53" s="2"/>
      <c r="AC53" s="2"/>
      <c r="AD53" s="2"/>
      <c r="AE53" s="2"/>
      <c r="AF53" s="2"/>
    </row>
    <row r="54" ht="14.25" customHeight="1">
      <c r="A54" s="2"/>
      <c r="B54" s="29"/>
      <c r="C54" s="2"/>
      <c r="D54" s="2"/>
      <c r="E54" s="29"/>
      <c r="F54" s="25"/>
      <c r="G54" s="29"/>
      <c r="H54" s="29"/>
      <c r="I54" s="2"/>
      <c r="J54" s="2"/>
      <c r="K54" s="2"/>
      <c r="L54" s="2"/>
      <c r="M54" s="2"/>
      <c r="N54" s="2"/>
      <c r="O54" s="25"/>
      <c r="P54" s="29"/>
      <c r="Q54" s="29"/>
      <c r="R54" s="2"/>
      <c r="S54" s="2"/>
      <c r="T54" s="2"/>
      <c r="U54" s="2"/>
      <c r="V54" s="2"/>
      <c r="W54" s="2"/>
      <c r="X54" s="25"/>
      <c r="Y54" s="29"/>
      <c r="Z54" s="29"/>
      <c r="AA54" s="2"/>
      <c r="AB54" s="2"/>
      <c r="AC54" s="2"/>
      <c r="AD54" s="2"/>
      <c r="AE54" s="2"/>
      <c r="AF54" s="2"/>
    </row>
    <row r="55" ht="14.25" customHeight="1">
      <c r="A55" s="2"/>
      <c r="B55" s="29"/>
      <c r="C55" s="2"/>
      <c r="D55" s="2"/>
      <c r="E55" s="29"/>
      <c r="F55" s="25"/>
      <c r="G55" s="29"/>
      <c r="H55" s="29"/>
      <c r="I55" s="2"/>
      <c r="J55" s="2"/>
      <c r="K55" s="2"/>
      <c r="L55" s="2"/>
      <c r="M55" s="2"/>
      <c r="N55" s="2"/>
      <c r="O55" s="25"/>
      <c r="P55" s="29"/>
      <c r="Q55" s="29"/>
      <c r="R55" s="2"/>
      <c r="S55" s="2"/>
      <c r="T55" s="2"/>
      <c r="U55" s="2"/>
      <c r="V55" s="2"/>
      <c r="W55" s="2"/>
      <c r="X55" s="25"/>
      <c r="Y55" s="29"/>
      <c r="Z55" s="29"/>
      <c r="AA55" s="2"/>
      <c r="AB55" s="2"/>
      <c r="AC55" s="2"/>
      <c r="AD55" s="2"/>
      <c r="AE55" s="2"/>
      <c r="AF55" s="2"/>
    </row>
    <row r="56" ht="14.25" customHeight="1">
      <c r="A56" s="2"/>
      <c r="B56" s="29"/>
      <c r="C56" s="2"/>
      <c r="D56" s="2"/>
      <c r="E56" s="29"/>
      <c r="F56" s="25"/>
      <c r="G56" s="29"/>
      <c r="H56" s="29"/>
      <c r="I56" s="2"/>
      <c r="J56" s="2"/>
      <c r="K56" s="2"/>
      <c r="L56" s="2"/>
      <c r="M56" s="2"/>
      <c r="N56" s="2"/>
      <c r="O56" s="25"/>
      <c r="P56" s="29"/>
      <c r="Q56" s="29"/>
      <c r="R56" s="2"/>
      <c r="S56" s="2"/>
      <c r="T56" s="2"/>
      <c r="U56" s="2"/>
      <c r="V56" s="2"/>
      <c r="W56" s="2"/>
      <c r="X56" s="25"/>
      <c r="Y56" s="29"/>
      <c r="Z56" s="29"/>
      <c r="AA56" s="2"/>
      <c r="AB56" s="2"/>
      <c r="AC56" s="2"/>
      <c r="AD56" s="2"/>
      <c r="AE56" s="2"/>
      <c r="AF56" s="2"/>
    </row>
    <row r="57" ht="14.25" customHeight="1">
      <c r="A57" s="2"/>
      <c r="B57" s="29"/>
      <c r="C57" s="2"/>
      <c r="D57" s="2"/>
      <c r="E57" s="29"/>
      <c r="F57" s="25"/>
      <c r="G57" s="29"/>
      <c r="H57" s="29"/>
      <c r="I57" s="2"/>
      <c r="J57" s="2"/>
      <c r="K57" s="2"/>
      <c r="L57" s="2"/>
      <c r="M57" s="2"/>
      <c r="N57" s="2"/>
      <c r="O57" s="25"/>
      <c r="P57" s="29"/>
      <c r="Q57" s="29"/>
      <c r="R57" s="2"/>
      <c r="S57" s="2"/>
      <c r="T57" s="2"/>
      <c r="U57" s="2"/>
      <c r="V57" s="2"/>
      <c r="W57" s="2"/>
      <c r="X57" s="25"/>
      <c r="Y57" s="29"/>
      <c r="Z57" s="29"/>
      <c r="AA57" s="2"/>
      <c r="AB57" s="2"/>
      <c r="AC57" s="2"/>
      <c r="AD57" s="2"/>
      <c r="AE57" s="2"/>
      <c r="AF57" s="2"/>
    </row>
    <row r="58" ht="14.25" customHeight="1">
      <c r="A58" s="2"/>
      <c r="B58" s="29"/>
      <c r="C58" s="2"/>
      <c r="D58" s="2"/>
      <c r="E58" s="29"/>
      <c r="F58" s="25"/>
      <c r="G58" s="29"/>
      <c r="H58" s="29"/>
      <c r="I58" s="2"/>
      <c r="J58" s="2"/>
      <c r="K58" s="2"/>
      <c r="L58" s="2"/>
      <c r="M58" s="2"/>
      <c r="N58" s="2"/>
      <c r="O58" s="25"/>
      <c r="P58" s="29"/>
      <c r="Q58" s="29"/>
      <c r="R58" s="2"/>
      <c r="S58" s="2"/>
      <c r="T58" s="2"/>
      <c r="U58" s="2"/>
      <c r="V58" s="2"/>
      <c r="W58" s="2"/>
      <c r="X58" s="25"/>
      <c r="Y58" s="29"/>
      <c r="Z58" s="29"/>
      <c r="AA58" s="2"/>
      <c r="AB58" s="2"/>
      <c r="AC58" s="2"/>
      <c r="AD58" s="2"/>
      <c r="AE58" s="2"/>
      <c r="AF58" s="2"/>
    </row>
    <row r="59" ht="14.25" customHeight="1">
      <c r="A59" s="2"/>
      <c r="B59" s="29"/>
      <c r="C59" s="2"/>
      <c r="D59" s="2"/>
      <c r="E59" s="29"/>
      <c r="F59" s="25"/>
      <c r="G59" s="29"/>
      <c r="H59" s="29"/>
      <c r="I59" s="2"/>
      <c r="J59" s="2"/>
      <c r="K59" s="2"/>
      <c r="L59" s="2"/>
      <c r="M59" s="2"/>
      <c r="N59" s="2"/>
      <c r="O59" s="25"/>
      <c r="P59" s="29"/>
      <c r="Q59" s="29"/>
      <c r="R59" s="2"/>
      <c r="S59" s="2"/>
      <c r="T59" s="2"/>
      <c r="U59" s="2"/>
      <c r="V59" s="2"/>
      <c r="W59" s="2"/>
      <c r="X59" s="25"/>
      <c r="Y59" s="29"/>
      <c r="Z59" s="29"/>
      <c r="AA59" s="2"/>
      <c r="AB59" s="2"/>
      <c r="AC59" s="2"/>
      <c r="AD59" s="2"/>
      <c r="AE59" s="2"/>
      <c r="AF59" s="2"/>
    </row>
    <row r="60" ht="14.25" customHeight="1">
      <c r="A60" s="2"/>
      <c r="B60" s="29"/>
      <c r="C60" s="2"/>
      <c r="D60" s="2"/>
      <c r="E60" s="29"/>
      <c r="F60" s="25"/>
      <c r="G60" s="29"/>
      <c r="H60" s="29"/>
      <c r="I60" s="2"/>
      <c r="J60" s="2"/>
      <c r="K60" s="2"/>
      <c r="L60" s="2"/>
      <c r="M60" s="2"/>
      <c r="N60" s="2"/>
      <c r="O60" s="25"/>
      <c r="P60" s="29"/>
      <c r="Q60" s="29"/>
      <c r="R60" s="2"/>
      <c r="S60" s="2"/>
      <c r="T60" s="2"/>
      <c r="U60" s="2"/>
      <c r="V60" s="2"/>
      <c r="W60" s="2"/>
      <c r="X60" s="25"/>
      <c r="Y60" s="29"/>
      <c r="Z60" s="29"/>
      <c r="AA60" s="2"/>
      <c r="AB60" s="2"/>
      <c r="AC60" s="2"/>
      <c r="AD60" s="2"/>
      <c r="AE60" s="2"/>
      <c r="AF60" s="2"/>
    </row>
    <row r="61" ht="14.25" customHeight="1">
      <c r="A61" s="2"/>
      <c r="B61" s="29"/>
      <c r="C61" s="2"/>
      <c r="D61" s="2"/>
      <c r="E61" s="29"/>
      <c r="F61" s="25"/>
      <c r="G61" s="29"/>
      <c r="H61" s="29"/>
      <c r="I61" s="2"/>
      <c r="J61" s="2"/>
      <c r="K61" s="2"/>
      <c r="L61" s="2"/>
      <c r="M61" s="2"/>
      <c r="N61" s="2"/>
      <c r="O61" s="25"/>
      <c r="P61" s="29"/>
      <c r="Q61" s="29"/>
      <c r="R61" s="2"/>
      <c r="S61" s="2"/>
      <c r="T61" s="2"/>
      <c r="U61" s="2"/>
      <c r="V61" s="2"/>
      <c r="W61" s="2"/>
      <c r="X61" s="25"/>
      <c r="Y61" s="29"/>
      <c r="Z61" s="29"/>
      <c r="AA61" s="2"/>
      <c r="AB61" s="2"/>
      <c r="AC61" s="2"/>
      <c r="AD61" s="2"/>
      <c r="AE61" s="2"/>
      <c r="AF61" s="2"/>
    </row>
    <row r="62" ht="14.25" customHeight="1">
      <c r="A62" s="2"/>
      <c r="B62" s="29"/>
      <c r="C62" s="2"/>
      <c r="D62" s="2"/>
      <c r="E62" s="29"/>
      <c r="F62" s="25"/>
      <c r="G62" s="29"/>
      <c r="H62" s="29"/>
      <c r="I62" s="2"/>
      <c r="J62" s="2"/>
      <c r="K62" s="2"/>
      <c r="L62" s="2"/>
      <c r="M62" s="2"/>
      <c r="N62" s="2"/>
      <c r="O62" s="25"/>
      <c r="P62" s="29"/>
      <c r="Q62" s="29"/>
      <c r="R62" s="2"/>
      <c r="S62" s="2"/>
      <c r="T62" s="2"/>
      <c r="U62" s="2"/>
      <c r="V62" s="2"/>
      <c r="W62" s="2"/>
      <c r="X62" s="25"/>
      <c r="Y62" s="29"/>
      <c r="Z62" s="29"/>
      <c r="AA62" s="2"/>
      <c r="AB62" s="2"/>
      <c r="AC62" s="2"/>
      <c r="AD62" s="2"/>
      <c r="AE62" s="2"/>
      <c r="AF62" s="2"/>
    </row>
    <row r="63" ht="14.25" customHeight="1">
      <c r="A63" s="2"/>
      <c r="B63" s="2">
        <f t="array" ref="B63">IFERROR(INDEX('Product Price'!B:B,SMALL('Product Price'!$D:$D,61)),"")</f>
        <v>8499</v>
      </c>
      <c r="C63" s="2">
        <f t="array" ref="C63">IFERROR(INDEX('Product Price'!C:C,SMALL('Product Price'!$D:$D,61)),"")</f>
        <v>52</v>
      </c>
      <c r="D63" s="2">
        <f t="shared" ref="D63:D200" si="30">IF(AND(B63&gt;=3900,B63&lt;=10000),795,IF(AND(B63&gt;=10001,B63&lt;=20000),1450,IF(AND(B63&gt;=20001,B63&lt;=40000),1900,IF(AND(B63&gt;=40001,B63&lt;=60000),2475,IF(AND(B63&gt;=60001,B63&lt;=80000),4025,IF(AND(B63&gt;=80001,B63&lt;=100000),5175,IF(AND(B63&gt;=100001,B63&lt;=120000),6785,"")))))))</f>
        <v>795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4.25" customHeight="1">
      <c r="A64" s="2"/>
      <c r="B64" s="2">
        <f t="array" ref="B64">IFERROR(INDEX('Product Price'!B:B,SMALL('Product Price'!$D:$D,62)),"")</f>
        <v>7999</v>
      </c>
      <c r="C64" s="2">
        <f t="array" ref="C64">IFERROR(INDEX('Product Price'!C:C,SMALL('Product Price'!$D:$D,62)),"")</f>
        <v>53</v>
      </c>
      <c r="D64" s="2">
        <f t="shared" si="30"/>
        <v>795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4.25" customHeight="1">
      <c r="A65" s="2"/>
      <c r="B65" s="2">
        <f t="array" ref="B65">IFERROR(INDEX('Product Price'!B:B,SMALL('Product Price'!$D:$D,63)),"")</f>
        <v>6999</v>
      </c>
      <c r="C65" s="2">
        <f t="array" ref="C65">IFERROR(INDEX('Product Price'!C:C,SMALL('Product Price'!$D:$D,63)),"")</f>
        <v>54</v>
      </c>
      <c r="D65" s="2">
        <f t="shared" si="30"/>
        <v>795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4.25" customHeight="1">
      <c r="A66" s="2"/>
      <c r="B66" s="2">
        <f t="array" ref="B66">IFERROR(INDEX('Product Price'!B:B,SMALL('Product Price'!$D:$D,64)),"")</f>
        <v>6499</v>
      </c>
      <c r="C66" s="2">
        <f t="array" ref="C66">IFERROR(INDEX('Product Price'!C:C,SMALL('Product Price'!$D:$D,64)),"")</f>
        <v>56</v>
      </c>
      <c r="D66" s="2">
        <f t="shared" si="30"/>
        <v>795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4.25" customHeight="1">
      <c r="A67" s="2"/>
      <c r="B67" s="2">
        <f t="array" ref="B67">IFERROR(INDEX('Product Price'!B:B,SMALL('Product Price'!$D:$D,65)),"")</f>
        <v>4999</v>
      </c>
      <c r="C67" s="2">
        <f t="array" ref="C67">IFERROR(INDEX('Product Price'!C:C,SMALL('Product Price'!$D:$D,65)),"")</f>
        <v>249</v>
      </c>
      <c r="D67" s="2">
        <f t="shared" si="30"/>
        <v>795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4.25" customHeight="1">
      <c r="A68" s="2"/>
      <c r="B68" s="2">
        <f t="array" ref="B68">IFERROR(INDEX('Product Price'!B:B,SMALL('Product Price'!$D:$D,66)),"")</f>
        <v>14999</v>
      </c>
      <c r="C68" s="2">
        <f t="array" ref="C68">IFERROR(INDEX('Product Price'!C:C,SMALL('Product Price'!$D:$D,66)),"")</f>
        <v>55</v>
      </c>
      <c r="D68" s="2">
        <f t="shared" si="30"/>
        <v>1450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4.25" customHeight="1">
      <c r="A69" s="2"/>
      <c r="B69" s="2">
        <f t="array" ref="B69">IFERROR(INDEX('Product Price'!B:B,SMALL('Product Price'!$D:$D,67)),"")</f>
        <v>5999</v>
      </c>
      <c r="C69" s="2">
        <f t="array" ref="C69">IFERROR(INDEX('Product Price'!C:C,SMALL('Product Price'!$D:$D,67)),"")</f>
        <v>57</v>
      </c>
      <c r="D69" s="2">
        <f t="shared" si="30"/>
        <v>795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4.25" customHeight="1">
      <c r="A70" s="2"/>
      <c r="B70" s="2">
        <f t="array" ref="B70">IFERROR(INDEX('Product Price'!B:B,SMALL('Product Price'!$D:$D,68)),"")</f>
        <v>6999</v>
      </c>
      <c r="C70" s="2">
        <f t="array" ref="C70">IFERROR(INDEX('Product Price'!C:C,SMALL('Product Price'!$D:$D,68)),"")</f>
        <v>58</v>
      </c>
      <c r="D70" s="2">
        <f t="shared" si="30"/>
        <v>795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4.25" customHeight="1">
      <c r="A71" s="2"/>
      <c r="B71" s="2">
        <f t="array" ref="B71">IFERROR(INDEX('Product Price'!B:B,SMALL('Product Price'!$D:$D,69)),"")</f>
        <v>7999</v>
      </c>
      <c r="C71" s="2">
        <f t="array" ref="C71">IFERROR(INDEX('Product Price'!C:C,SMALL('Product Price'!$D:$D,69)),"")</f>
        <v>59</v>
      </c>
      <c r="D71" s="2">
        <f t="shared" si="30"/>
        <v>795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4.25" customHeight="1">
      <c r="A72" s="2"/>
      <c r="B72" s="2">
        <f t="array" ref="B72">IFERROR(INDEX('Product Price'!B:B,SMALL('Product Price'!$D:$D,70)),"")</f>
        <v>9299</v>
      </c>
      <c r="C72" s="2">
        <f t="array" ref="C72">IFERROR(INDEX('Product Price'!C:C,SMALL('Product Price'!$D:$D,70)),"")</f>
        <v>60</v>
      </c>
      <c r="D72" s="2">
        <f t="shared" si="30"/>
        <v>795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4.25" customHeight="1">
      <c r="A73" s="2"/>
      <c r="B73" s="2">
        <f t="array" ref="B73">IFERROR(INDEX('Product Price'!B:B,SMALL('Product Price'!$D:$D,71)),"")</f>
        <v>10999</v>
      </c>
      <c r="C73" s="2">
        <f t="array" ref="C73">IFERROR(INDEX('Product Price'!C:C,SMALL('Product Price'!$D:$D,71)),"")</f>
        <v>61</v>
      </c>
      <c r="D73" s="2">
        <f t="shared" si="30"/>
        <v>1450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4.25" customHeight="1">
      <c r="A74" s="2"/>
      <c r="B74" s="2">
        <f t="array" ref="B74">IFERROR(INDEX('Product Price'!B:B,SMALL('Product Price'!$D:$D,72)),"")</f>
        <v>20999</v>
      </c>
      <c r="C74" s="2">
        <f t="array" ref="C74">IFERROR(INDEX('Product Price'!C:C,SMALL('Product Price'!$D:$D,72)),"")</f>
        <v>62</v>
      </c>
      <c r="D74" s="2">
        <f t="shared" si="30"/>
        <v>1900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4.25" customHeight="1">
      <c r="A75" s="2"/>
      <c r="B75" s="2">
        <f t="array" ref="B75">IFERROR(INDEX('Product Price'!B:B,SMALL('Product Price'!$D:$D,73)),"")</f>
        <v>17999</v>
      </c>
      <c r="C75" s="2">
        <f t="array" ref="C75">IFERROR(INDEX('Product Price'!C:C,SMALL('Product Price'!$D:$D,73)),"")</f>
        <v>63</v>
      </c>
      <c r="D75" s="2">
        <f t="shared" si="30"/>
        <v>1450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4.25" customHeight="1">
      <c r="A76" s="2"/>
      <c r="B76" s="2">
        <f t="array" ref="B76">IFERROR(INDEX('Product Price'!B:B,SMALL('Product Price'!$D:$D,74)),"")</f>
        <v>16999</v>
      </c>
      <c r="C76" s="2">
        <f t="array" ref="C76">IFERROR(INDEX('Product Price'!C:C,SMALL('Product Price'!$D:$D,74)),"")</f>
        <v>64</v>
      </c>
      <c r="D76" s="2">
        <f t="shared" si="30"/>
        <v>1450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4.25" customHeight="1">
      <c r="A77" s="2"/>
      <c r="B77" s="2">
        <f t="array" ref="B77">IFERROR(INDEX('Product Price'!B:B,SMALL('Product Price'!$D:$D,75)),"")</f>
        <v>13999</v>
      </c>
      <c r="C77" s="2">
        <f t="array" ref="C77">IFERROR(INDEX('Product Price'!C:C,SMALL('Product Price'!$D:$D,75)),"")</f>
        <v>65</v>
      </c>
      <c r="D77" s="2">
        <f t="shared" si="30"/>
        <v>1450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4.25" customHeight="1">
      <c r="A78" s="2"/>
      <c r="B78" s="2">
        <f t="array" ref="B78">IFERROR(INDEX('Product Price'!B:B,SMALL('Product Price'!$D:$D,76)),"")</f>
        <v>11999</v>
      </c>
      <c r="C78" s="2">
        <f t="array" ref="C78">IFERROR(INDEX('Product Price'!C:C,SMALL('Product Price'!$D:$D,76)),"")</f>
        <v>66</v>
      </c>
      <c r="D78" s="2">
        <f t="shared" si="30"/>
        <v>1450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4.25" customHeight="1">
      <c r="A79" s="2"/>
      <c r="B79" s="2">
        <f t="array" ref="B79">IFERROR(INDEX('Product Price'!B:B,SMALL('Product Price'!$D:$D,77)),"")</f>
        <v>13999</v>
      </c>
      <c r="C79" s="2">
        <f t="array" ref="C79">IFERROR(INDEX('Product Price'!C:C,SMALL('Product Price'!$D:$D,77)),"")</f>
        <v>67</v>
      </c>
      <c r="D79" s="2">
        <f t="shared" si="30"/>
        <v>1450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4.25" customHeight="1">
      <c r="A80" s="2"/>
      <c r="B80" s="2">
        <f t="array" ref="B80">IFERROR(INDEX('Product Price'!B:B,SMALL('Product Price'!$D:$D,78)),"")</f>
        <v>15999</v>
      </c>
      <c r="C80" s="2">
        <f t="array" ref="C80">IFERROR(INDEX('Product Price'!C:C,SMALL('Product Price'!$D:$D,78)),"")</f>
        <v>68</v>
      </c>
      <c r="D80" s="2">
        <f t="shared" si="30"/>
        <v>1450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4.25" customHeight="1">
      <c r="A81" s="2"/>
      <c r="B81" s="2">
        <f t="array" ref="B81">IFERROR(INDEX('Product Price'!B:B,SMALL('Product Price'!$D:$D,79)),"")</f>
        <v>42900</v>
      </c>
      <c r="C81" s="2">
        <f t="array" ref="C81">IFERROR(INDEX('Product Price'!C:C,SMALL('Product Price'!$D:$D,79)),"")</f>
        <v>69</v>
      </c>
      <c r="D81" s="2">
        <f t="shared" si="30"/>
        <v>2475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4.25" customHeight="1">
      <c r="A82" s="2"/>
      <c r="B82" s="2">
        <f t="array" ref="B82">IFERROR(INDEX('Product Price'!B:B,SMALL('Product Price'!$D:$D,80)),"")</f>
        <v>47900</v>
      </c>
      <c r="C82" s="2">
        <f t="array" ref="C82">IFERROR(INDEX('Product Price'!C:C,SMALL('Product Price'!$D:$D,80)),"")</f>
        <v>70</v>
      </c>
      <c r="D82" s="2">
        <f t="shared" si="30"/>
        <v>2475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4.25" customHeight="1">
      <c r="A83" s="2"/>
      <c r="B83" s="2">
        <f t="array" ref="B83">IFERROR(INDEX('Product Price'!B:B,SMALL('Product Price'!$D:$D,81)),"")</f>
        <v>40900</v>
      </c>
      <c r="C83" s="2">
        <f t="array" ref="C83">IFERROR(INDEX('Product Price'!C:C,SMALL('Product Price'!$D:$D,81)),"")</f>
        <v>71</v>
      </c>
      <c r="D83" s="2">
        <f t="shared" si="30"/>
        <v>2475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4.25" customHeight="1">
      <c r="A84" s="2"/>
      <c r="B84" s="2">
        <f t="array" ref="B84">IFERROR(INDEX('Product Price'!B:B,SMALL('Product Price'!$D:$D,82)),"")</f>
        <v>48900</v>
      </c>
      <c r="C84" s="2">
        <f t="array" ref="C84">IFERROR(INDEX('Product Price'!C:C,SMALL('Product Price'!$D:$D,82)),"")</f>
        <v>72</v>
      </c>
      <c r="D84" s="2">
        <f t="shared" si="30"/>
        <v>2475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4.25" customHeight="1">
      <c r="A85" s="2"/>
      <c r="B85" s="2">
        <f t="array" ref="B85">IFERROR(INDEX('Product Price'!B:B,SMALL('Product Price'!$D:$D,83)),"")</f>
        <v>32900</v>
      </c>
      <c r="C85" s="2">
        <f t="array" ref="C85">IFERROR(INDEX('Product Price'!C:C,SMALL('Product Price'!$D:$D,83)),"")</f>
        <v>73</v>
      </c>
      <c r="D85" s="2">
        <f t="shared" si="30"/>
        <v>1900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4.25" customHeight="1">
      <c r="A86" s="2"/>
      <c r="B86" s="2">
        <f t="array" ref="B86">IFERROR(INDEX('Product Price'!B:B,SMALL('Product Price'!$D:$D,84)),"")</f>
        <v>36900</v>
      </c>
      <c r="C86" s="2">
        <f t="array" ref="C86">IFERROR(INDEX('Product Price'!C:C,SMALL('Product Price'!$D:$D,84)),"")</f>
        <v>74</v>
      </c>
      <c r="D86" s="2">
        <f t="shared" si="30"/>
        <v>1900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4.25" customHeight="1">
      <c r="A87" s="2"/>
      <c r="B87" s="2">
        <f t="array" ref="B87">IFERROR(INDEX('Product Price'!B:B,SMALL('Product Price'!$D:$D,85)),"")</f>
        <v>63900</v>
      </c>
      <c r="C87" s="2">
        <f t="array" ref="C87">IFERROR(INDEX('Product Price'!C:C,SMALL('Product Price'!$D:$D,85)),"")</f>
        <v>75</v>
      </c>
      <c r="D87" s="2">
        <f t="shared" si="30"/>
        <v>4025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4.25" customHeight="1">
      <c r="A88" s="2"/>
      <c r="B88" s="2">
        <f t="array" ref="B88">IFERROR(INDEX('Product Price'!B:B,SMALL('Product Price'!$D:$D,86)),"")</f>
        <v>68900</v>
      </c>
      <c r="C88" s="2">
        <f t="array" ref="C88">IFERROR(INDEX('Product Price'!C:C,SMALL('Product Price'!$D:$D,86)),"")</f>
        <v>76</v>
      </c>
      <c r="D88" s="2">
        <f t="shared" si="30"/>
        <v>4025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4.25" customHeight="1">
      <c r="A89" s="2"/>
      <c r="B89" s="2">
        <f t="array" ref="B89">IFERROR(INDEX('Product Price'!B:B,SMALL('Product Price'!$D:$D,87)),"")</f>
        <v>78900</v>
      </c>
      <c r="C89" s="2">
        <f t="array" ref="C89">IFERROR(INDEX('Product Price'!C:C,SMALL('Product Price'!$D:$D,87)),"")</f>
        <v>77</v>
      </c>
      <c r="D89" s="2">
        <f t="shared" si="30"/>
        <v>4025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4.25" customHeight="1">
      <c r="A90" s="2"/>
      <c r="B90" s="2">
        <f t="array" ref="B90">IFERROR(INDEX('Product Price'!B:B,SMALL('Product Price'!$D:$D,88)),"")</f>
        <v>67900</v>
      </c>
      <c r="C90" s="2">
        <f t="array" ref="C90">IFERROR(INDEX('Product Price'!C:C,SMALL('Product Price'!$D:$D,88)),"")</f>
        <v>78</v>
      </c>
      <c r="D90" s="2">
        <f t="shared" si="30"/>
        <v>4025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4.25" customHeight="1">
      <c r="A91" s="2"/>
      <c r="B91" s="2">
        <f t="array" ref="B91">IFERROR(INDEX('Product Price'!B:B,SMALL('Product Price'!$D:$D,89)),"")</f>
        <v>75900</v>
      </c>
      <c r="C91" s="2">
        <f t="array" ref="C91">IFERROR(INDEX('Product Price'!C:C,SMALL('Product Price'!$D:$D,89)),"")</f>
        <v>79</v>
      </c>
      <c r="D91" s="2">
        <f t="shared" si="30"/>
        <v>4025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4.25" customHeight="1">
      <c r="A92" s="2"/>
      <c r="B92" s="2">
        <f t="array" ref="B92">IFERROR(INDEX('Product Price'!B:B,SMALL('Product Price'!$D:$D,90)),"")</f>
        <v>87900</v>
      </c>
      <c r="C92" s="2">
        <f t="array" ref="C92">IFERROR(INDEX('Product Price'!C:C,SMALL('Product Price'!$D:$D,90)),"")</f>
        <v>80</v>
      </c>
      <c r="D92" s="2">
        <f t="shared" si="30"/>
        <v>5175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4.25" customHeight="1">
      <c r="A93" s="2"/>
      <c r="B93" s="2">
        <f t="array" ref="B93">IFERROR(INDEX('Product Price'!B:B,SMALL('Product Price'!$D:$D,91)),"")</f>
        <v>27900</v>
      </c>
      <c r="C93" s="2">
        <f t="array" ref="C93">IFERROR(INDEX('Product Price'!C:C,SMALL('Product Price'!$D:$D,91)),"")</f>
        <v>81</v>
      </c>
      <c r="D93" s="2">
        <f t="shared" si="30"/>
        <v>1900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4.25" customHeight="1">
      <c r="A94" s="2"/>
      <c r="B94" s="2">
        <f t="array" ref="B94">IFERROR(INDEX('Product Price'!B:B,SMALL('Product Price'!$D:$D,92)),"")</f>
        <v>32900</v>
      </c>
      <c r="C94" s="2">
        <f t="array" ref="C94">IFERROR(INDEX('Product Price'!C:C,SMALL('Product Price'!$D:$D,92)),"")</f>
        <v>82</v>
      </c>
      <c r="D94" s="2">
        <f t="shared" si="30"/>
        <v>1900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4.25" customHeight="1">
      <c r="A95" s="2"/>
      <c r="B95" s="2">
        <f t="array" ref="B95">IFERROR(INDEX('Product Price'!B:B,SMALL('Product Price'!$D:$D,93)),"")</f>
        <v>33900</v>
      </c>
      <c r="C95" s="2">
        <f t="array" ref="C95">IFERROR(INDEX('Product Price'!C:C,SMALL('Product Price'!$D:$D,93)),"")</f>
        <v>83</v>
      </c>
      <c r="D95" s="2">
        <f t="shared" si="30"/>
        <v>1900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4.25" customHeight="1">
      <c r="A96" s="2"/>
      <c r="B96" s="2">
        <f t="array" ref="B96">IFERROR(INDEX('Product Price'!B:B,SMALL('Product Price'!$D:$D,94)),"")</f>
        <v>38900</v>
      </c>
      <c r="C96" s="2">
        <f t="array" ref="C96">IFERROR(INDEX('Product Price'!C:C,SMALL('Product Price'!$D:$D,94)),"")</f>
        <v>84</v>
      </c>
      <c r="D96" s="2">
        <f t="shared" si="30"/>
        <v>1900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4.25" customHeight="1">
      <c r="A97" s="2"/>
      <c r="B97" s="2">
        <f t="array" ref="B97">IFERROR(INDEX('Product Price'!B:B,SMALL('Product Price'!$D:$D,95)),"")</f>
        <v>48900</v>
      </c>
      <c r="C97" s="2">
        <f t="array" ref="C97">IFERROR(INDEX('Product Price'!C:C,SMALL('Product Price'!$D:$D,95)),"")</f>
        <v>85</v>
      </c>
      <c r="D97" s="2">
        <f t="shared" si="30"/>
        <v>2475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4.25" customHeight="1">
      <c r="A98" s="2"/>
      <c r="B98" s="2">
        <f t="array" ref="B98">IFERROR(INDEX('Product Price'!B:B,SMALL('Product Price'!$D:$D,96)),"")</f>
        <v>58900</v>
      </c>
      <c r="C98" s="2">
        <f t="array" ref="C98">IFERROR(INDEX('Product Price'!C:C,SMALL('Product Price'!$D:$D,96)),"")</f>
        <v>86</v>
      </c>
      <c r="D98" s="2">
        <f t="shared" si="30"/>
        <v>2475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4.25" customHeight="1">
      <c r="A99" s="2"/>
      <c r="B99" s="2">
        <f t="array" ref="B99">IFERROR(INDEX('Product Price'!B:B,SMALL('Product Price'!$D:$D,97)),"")</f>
        <v>22900</v>
      </c>
      <c r="C99" s="2">
        <f t="array" ref="C99">IFERROR(INDEX('Product Price'!C:C,SMALL('Product Price'!$D:$D,97)),"")</f>
        <v>87</v>
      </c>
      <c r="D99" s="2">
        <f t="shared" si="30"/>
        <v>1900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4.25" customHeight="1">
      <c r="A100" s="2"/>
      <c r="B100" s="2">
        <f t="array" ref="B100">IFERROR(INDEX('Product Price'!B:B,SMALL('Product Price'!$D:$D,98)),"")</f>
        <v>25900</v>
      </c>
      <c r="C100" s="2">
        <f t="array" ref="C100">IFERROR(INDEX('Product Price'!C:C,SMALL('Product Price'!$D:$D,98)),"")</f>
        <v>88</v>
      </c>
      <c r="D100" s="2">
        <f t="shared" si="30"/>
        <v>1900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4.25" customHeight="1">
      <c r="A101" s="2"/>
      <c r="B101" s="2">
        <f t="array" ref="B101">IFERROR(INDEX('Product Price'!B:B,SMALL('Product Price'!$D:$D,99)),"")</f>
        <v>29900</v>
      </c>
      <c r="C101" s="2">
        <f t="array" ref="C101">IFERROR(INDEX('Product Price'!C:C,SMALL('Product Price'!$D:$D,99)),"")</f>
        <v>89</v>
      </c>
      <c r="D101" s="2">
        <f t="shared" si="30"/>
        <v>1900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4.25" customHeight="1">
      <c r="A102" s="2"/>
      <c r="B102" s="2">
        <f t="array" ref="B102">IFERROR(INDEX('Product Price'!B:B,SMALL('Product Price'!$D:$D,100)),"")</f>
        <v>34900</v>
      </c>
      <c r="C102" s="2">
        <f t="array" ref="C102">IFERROR(INDEX('Product Price'!C:C,SMALL('Product Price'!$D:$D,100)),"")</f>
        <v>90</v>
      </c>
      <c r="D102" s="2">
        <f t="shared" si="30"/>
        <v>1900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4.25" customHeight="1">
      <c r="A103" s="2"/>
      <c r="B103" s="2">
        <f t="array" ref="B103">IFERROR(INDEX('Product Price'!B:B,SMALL('Product Price'!$D:$D,101)),"")</f>
        <v>36900</v>
      </c>
      <c r="C103" s="2">
        <f t="array" ref="C103">IFERROR(INDEX('Product Price'!C:C,SMALL('Product Price'!$D:$D,101)),"")</f>
        <v>91</v>
      </c>
      <c r="D103" s="2">
        <f t="shared" si="30"/>
        <v>1900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4.25" customHeight="1">
      <c r="A104" s="2"/>
      <c r="B104" s="2">
        <f t="array" ref="B104">IFERROR(INDEX('Product Price'!B:B,SMALL('Product Price'!$D:$D,102)),"")</f>
        <v>41900</v>
      </c>
      <c r="C104" s="2">
        <f t="array" ref="C104">IFERROR(INDEX('Product Price'!C:C,SMALL('Product Price'!$D:$D,102)),"")</f>
        <v>92</v>
      </c>
      <c r="D104" s="2">
        <f t="shared" si="30"/>
        <v>2475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4.25" customHeight="1">
      <c r="A105" s="2"/>
      <c r="B105" s="2">
        <f t="array" ref="B105">IFERROR(INDEX('Product Price'!B:B,SMALL('Product Price'!$D:$D,103)),"")</f>
        <v>42900</v>
      </c>
      <c r="C105" s="2">
        <f t="array" ref="C105">IFERROR(INDEX('Product Price'!C:C,SMALL('Product Price'!$D:$D,103)),"")</f>
        <v>93</v>
      </c>
      <c r="D105" s="2">
        <f t="shared" si="30"/>
        <v>2475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4.25" customHeight="1">
      <c r="A106" s="2"/>
      <c r="B106" s="2">
        <f t="array" ref="B106">IFERROR(INDEX('Product Price'!B:B,SMALL('Product Price'!$D:$D,104)),"")</f>
        <v>33900</v>
      </c>
      <c r="C106" s="2">
        <f t="array" ref="C106">IFERROR(INDEX('Product Price'!C:C,SMALL('Product Price'!$D:$D,104)),"")</f>
        <v>94</v>
      </c>
      <c r="D106" s="2">
        <f t="shared" si="30"/>
        <v>1900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4.25" customHeight="1">
      <c r="A107" s="2"/>
      <c r="B107" s="2">
        <f t="array" ref="B107">IFERROR(INDEX('Product Price'!B:B,SMALL('Product Price'!$D:$D,105)),"")</f>
        <v>41900</v>
      </c>
      <c r="C107" s="2">
        <f t="array" ref="C107">IFERROR(INDEX('Product Price'!C:C,SMALL('Product Price'!$D:$D,105)),"")</f>
        <v>95</v>
      </c>
      <c r="D107" s="2">
        <f t="shared" si="30"/>
        <v>2475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4.25" customHeight="1">
      <c r="A108" s="2"/>
      <c r="B108" s="2">
        <f t="array" ref="B108">IFERROR(INDEX('Product Price'!B:B,SMALL('Product Price'!$D:$D,106)),"")</f>
        <v>40900</v>
      </c>
      <c r="C108" s="2">
        <f t="array" ref="C108">IFERROR(INDEX('Product Price'!C:C,SMALL('Product Price'!$D:$D,106)),"")</f>
        <v>96</v>
      </c>
      <c r="D108" s="2">
        <f t="shared" si="30"/>
        <v>2475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4.25" customHeight="1">
      <c r="A109" s="2"/>
      <c r="B109" s="2">
        <f t="array" ref="B109">IFERROR(INDEX('Product Price'!B:B,SMALL('Product Price'!$D:$D,107)),"")</f>
        <v>48900</v>
      </c>
      <c r="C109" s="2">
        <f t="array" ref="C109">IFERROR(INDEX('Product Price'!C:C,SMALL('Product Price'!$D:$D,107)),"")</f>
        <v>97</v>
      </c>
      <c r="D109" s="2">
        <f t="shared" si="30"/>
        <v>2475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4.25" customHeight="1">
      <c r="A110" s="2"/>
      <c r="B110" s="2">
        <f t="array" ref="B110">IFERROR(INDEX('Product Price'!B:B,SMALL('Product Price'!$D:$D,108)),"")</f>
        <v>46900</v>
      </c>
      <c r="C110" s="2">
        <f t="array" ref="C110">IFERROR(INDEX('Product Price'!C:C,SMALL('Product Price'!$D:$D,108)),"")</f>
        <v>98</v>
      </c>
      <c r="D110" s="2">
        <f t="shared" si="30"/>
        <v>2475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4.25" customHeight="1">
      <c r="A111" s="2"/>
      <c r="B111" s="2">
        <f t="array" ref="B111">IFERROR(INDEX('Product Price'!B:B,SMALL('Product Price'!$D:$D,109)),"")</f>
        <v>54900</v>
      </c>
      <c r="C111" s="2">
        <f t="array" ref="C111">IFERROR(INDEX('Product Price'!C:C,SMALL('Product Price'!$D:$D,109)),"")</f>
        <v>99</v>
      </c>
      <c r="D111" s="2">
        <f t="shared" si="30"/>
        <v>2475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4.25" customHeight="1">
      <c r="A112" s="2"/>
      <c r="B112" s="2">
        <f t="array" ref="B112">IFERROR(INDEX('Product Price'!B:B,SMALL('Product Price'!$D:$D,110)),"")</f>
        <v>66900</v>
      </c>
      <c r="C112" s="2">
        <f t="array" ref="C112">IFERROR(INDEX('Product Price'!C:C,SMALL('Product Price'!$D:$D,110)),"")</f>
        <v>100</v>
      </c>
      <c r="D112" s="2">
        <f t="shared" si="30"/>
        <v>4025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4.25" customHeight="1">
      <c r="A113" s="2"/>
      <c r="B113" s="2">
        <f t="array" ref="B113">IFERROR(INDEX('Product Price'!B:B,SMALL('Product Price'!$D:$D,111)),"")</f>
        <v>22900</v>
      </c>
      <c r="C113" s="2">
        <f t="array" ref="C113">IFERROR(INDEX('Product Price'!C:C,SMALL('Product Price'!$D:$D,111)),"")</f>
        <v>101</v>
      </c>
      <c r="D113" s="2">
        <f t="shared" si="30"/>
        <v>1900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4.25" customHeight="1">
      <c r="A114" s="2"/>
      <c r="B114" s="2">
        <f t="array" ref="B114">IFERROR(INDEX('Product Price'!B:B,SMALL('Product Price'!$D:$D,112)),"")</f>
        <v>26900</v>
      </c>
      <c r="C114" s="2">
        <f t="array" ref="C114">IFERROR(INDEX('Product Price'!C:C,SMALL('Product Price'!$D:$D,112)),"")</f>
        <v>102</v>
      </c>
      <c r="D114" s="2">
        <f t="shared" si="30"/>
        <v>1900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4.25" customHeight="1">
      <c r="A115" s="2"/>
      <c r="B115" s="2">
        <f t="array" ref="B115">IFERROR(INDEX('Product Price'!B:B,SMALL('Product Price'!$D:$D,113)),"")</f>
        <v>6990</v>
      </c>
      <c r="C115" s="2">
        <f t="array" ref="C115">IFERROR(INDEX('Product Price'!C:C,SMALL('Product Price'!$D:$D,113)),"")</f>
        <v>103</v>
      </c>
      <c r="D115" s="2">
        <f t="shared" si="30"/>
        <v>795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4.25" customHeight="1">
      <c r="A116" s="2"/>
      <c r="B116" s="2">
        <f t="array" ref="B116">IFERROR(INDEX('Product Price'!B:B,SMALL('Product Price'!$D:$D,114)),"")</f>
        <v>9990</v>
      </c>
      <c r="C116" s="2">
        <f t="array" ref="C116">IFERROR(INDEX('Product Price'!C:C,SMALL('Product Price'!$D:$D,114)),"")</f>
        <v>104</v>
      </c>
      <c r="D116" s="2">
        <f t="shared" si="30"/>
        <v>795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4.25" customHeight="1">
      <c r="A117" s="2"/>
      <c r="B117" s="2">
        <f t="array" ref="B117">IFERROR(INDEX('Product Price'!B:B,SMALL('Product Price'!$D:$D,115)),"")</f>
        <v>7990</v>
      </c>
      <c r="C117" s="2">
        <f t="array" ref="C117">IFERROR(INDEX('Product Price'!C:C,SMALL('Product Price'!$D:$D,115)),"")</f>
        <v>105</v>
      </c>
      <c r="D117" s="2">
        <f t="shared" si="30"/>
        <v>795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4.25" customHeight="1">
      <c r="A118" s="2"/>
      <c r="B118" s="2">
        <f t="array" ref="B118">IFERROR(INDEX('Product Price'!B:B,SMALL('Product Price'!$D:$D,116)),"")</f>
        <v>17900</v>
      </c>
      <c r="C118" s="2">
        <f t="array" ref="C118">IFERROR(INDEX('Product Price'!C:C,SMALL('Product Price'!$D:$D,116)),"")</f>
        <v>106</v>
      </c>
      <c r="D118" s="2">
        <f t="shared" si="30"/>
        <v>1450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4.25" customHeight="1">
      <c r="A119" s="2"/>
      <c r="B119" s="2">
        <f t="array" ref="B119">IFERROR(INDEX('Product Price'!B:B,SMALL('Product Price'!$D:$D,117)),"")</f>
        <v>20900</v>
      </c>
      <c r="C119" s="2">
        <f t="array" ref="C119">IFERROR(INDEX('Product Price'!C:C,SMALL('Product Price'!$D:$D,117)),"")</f>
        <v>107</v>
      </c>
      <c r="D119" s="2">
        <f t="shared" si="30"/>
        <v>1900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4.25" customHeight="1">
      <c r="A120" s="2"/>
      <c r="B120" s="2">
        <f t="array" ref="B120">IFERROR(INDEX('Product Price'!B:B,SMALL('Product Price'!$D:$D,118)),"")</f>
        <v>26900</v>
      </c>
      <c r="C120" s="2">
        <f t="array" ref="C120">IFERROR(INDEX('Product Price'!C:C,SMALL('Product Price'!$D:$D,118)),"")</f>
        <v>108</v>
      </c>
      <c r="D120" s="2">
        <f t="shared" si="30"/>
        <v>1900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4.25" customHeight="1">
      <c r="A121" s="2"/>
      <c r="B121" s="2">
        <f t="array" ref="B121">IFERROR(INDEX('Product Price'!B:B,SMALL('Product Price'!$D:$D,119)),"")</f>
        <v>29900</v>
      </c>
      <c r="C121" s="2">
        <f t="array" ref="C121">IFERROR(INDEX('Product Price'!C:C,SMALL('Product Price'!$D:$D,119)),"")</f>
        <v>109</v>
      </c>
      <c r="D121" s="2">
        <f t="shared" si="30"/>
        <v>1900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4.25" customHeight="1">
      <c r="A122" s="2"/>
      <c r="B122" s="2">
        <f t="array" ref="B122">IFERROR(INDEX('Product Price'!B:B,SMALL('Product Price'!$D:$D,120)),"")</f>
        <v>15990</v>
      </c>
      <c r="C122" s="2">
        <f t="array" ref="C122">IFERROR(INDEX('Product Price'!C:C,SMALL('Product Price'!$D:$D,120)),"")</f>
        <v>110</v>
      </c>
      <c r="D122" s="2">
        <f t="shared" si="30"/>
        <v>1450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4.25" customHeight="1">
      <c r="A123" s="2"/>
      <c r="B123" s="2">
        <f t="array" ref="B123">IFERROR(INDEX('Product Price'!B:B,SMALL('Product Price'!$D:$D,121)),"")</f>
        <v>11990</v>
      </c>
      <c r="C123" s="2">
        <f t="array" ref="C123">IFERROR(INDEX('Product Price'!C:C,SMALL('Product Price'!$D:$D,121)),"")</f>
        <v>111</v>
      </c>
      <c r="D123" s="2">
        <f t="shared" si="30"/>
        <v>1450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4.25" customHeight="1">
      <c r="A124" s="2"/>
      <c r="B124" s="2">
        <f t="array" ref="B124">IFERROR(INDEX('Product Price'!B:B,SMALL('Product Price'!$D:$D,122)),"")</f>
        <v>36900</v>
      </c>
      <c r="C124" s="2">
        <f t="array" ref="C124">IFERROR(INDEX('Product Price'!C:C,SMALL('Product Price'!$D:$D,122)),"")</f>
        <v>112</v>
      </c>
      <c r="D124" s="2">
        <f t="shared" si="30"/>
        <v>1900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4.25" customHeight="1">
      <c r="A125" s="2"/>
      <c r="B125" s="2">
        <f t="array" ref="B125">IFERROR(INDEX('Product Price'!B:B,SMALL('Product Price'!$D:$D,123)),"")</f>
        <v>41900</v>
      </c>
      <c r="C125" s="2">
        <f t="array" ref="C125">IFERROR(INDEX('Product Price'!C:C,SMALL('Product Price'!$D:$D,123)),"")</f>
        <v>113</v>
      </c>
      <c r="D125" s="2">
        <f t="shared" si="30"/>
        <v>2475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4.25" customHeight="1">
      <c r="A126" s="2"/>
      <c r="B126" s="2">
        <f t="array" ref="B126">IFERROR(INDEX('Product Price'!B:B,SMALL('Product Price'!$D:$D,124)),"")</f>
        <v>31900</v>
      </c>
      <c r="C126" s="2">
        <f t="array" ref="C126">IFERROR(INDEX('Product Price'!C:C,SMALL('Product Price'!$D:$D,124)),"")</f>
        <v>114</v>
      </c>
      <c r="D126" s="2">
        <f t="shared" si="30"/>
        <v>1900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4.25" customHeight="1">
      <c r="A127" s="2"/>
      <c r="B127" s="2">
        <f t="array" ref="B127">IFERROR(INDEX('Product Price'!B:B,SMALL('Product Price'!$D:$D,125)),"")</f>
        <v>33900</v>
      </c>
      <c r="C127" s="2">
        <f t="array" ref="C127">IFERROR(INDEX('Product Price'!C:C,SMALL('Product Price'!$D:$D,125)),"")</f>
        <v>115</v>
      </c>
      <c r="D127" s="2">
        <f t="shared" si="30"/>
        <v>1900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4.25" customHeight="1">
      <c r="A128" s="2"/>
      <c r="B128" s="2">
        <f t="array" ref="B128">IFERROR(INDEX('Product Price'!B:B,SMALL('Product Price'!$D:$D,126)),"")</f>
        <v>45900</v>
      </c>
      <c r="C128" s="2">
        <f t="array" ref="C128">IFERROR(INDEX('Product Price'!C:C,SMALL('Product Price'!$D:$D,126)),"")</f>
        <v>116</v>
      </c>
      <c r="D128" s="2">
        <f t="shared" si="30"/>
        <v>2475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4.25" customHeight="1">
      <c r="A129" s="2"/>
      <c r="B129" s="2">
        <f t="array" ref="B129">IFERROR(INDEX('Product Price'!B:B,SMALL('Product Price'!$D:$D,127)),"")</f>
        <v>19999</v>
      </c>
      <c r="C129" s="2">
        <f t="array" ref="C129">IFERROR(INDEX('Product Price'!C:C,SMALL('Product Price'!$D:$D,127)),"")</f>
        <v>174</v>
      </c>
      <c r="D129" s="2">
        <f t="shared" si="30"/>
        <v>1450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4.25" customHeight="1">
      <c r="A130" s="2"/>
      <c r="B130" s="2">
        <f t="array" ref="B130">IFERROR(INDEX('Product Price'!B:B,SMALL('Product Price'!$D:$D,128)),"")</f>
        <v>17999</v>
      </c>
      <c r="C130" s="2">
        <f t="array" ref="C130">IFERROR(INDEX('Product Price'!C:C,SMALL('Product Price'!$D:$D,128)),"")</f>
        <v>175</v>
      </c>
      <c r="D130" s="2">
        <f t="shared" si="30"/>
        <v>1450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4.25" customHeight="1">
      <c r="A131" s="2"/>
      <c r="B131" s="2">
        <f t="array" ref="B131">IFERROR(INDEX('Product Price'!B:B,SMALL('Product Price'!$D:$D,129)),"")</f>
        <v>15999</v>
      </c>
      <c r="C131" s="2">
        <f t="array" ref="C131">IFERROR(INDEX('Product Price'!C:C,SMALL('Product Price'!$D:$D,129)),"")</f>
        <v>176</v>
      </c>
      <c r="D131" s="2">
        <f t="shared" si="30"/>
        <v>1450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4.25" customHeight="1">
      <c r="A132" s="2"/>
      <c r="B132" s="2">
        <f t="array" ref="B132">IFERROR(INDEX('Product Price'!B:B,SMALL('Product Price'!$D:$D,130)),"")</f>
        <v>14999</v>
      </c>
      <c r="C132" s="2">
        <f t="array" ref="C132">IFERROR(INDEX('Product Price'!C:C,SMALL('Product Price'!$D:$D,130)),"")</f>
        <v>122</v>
      </c>
      <c r="D132" s="2">
        <f t="shared" si="30"/>
        <v>1450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4.25" customHeight="1">
      <c r="A133" s="2"/>
      <c r="B133" s="2">
        <f t="array" ref="B133">IFERROR(INDEX('Product Price'!B:B,SMALL('Product Price'!$D:$D,131)),"")</f>
        <v>16999</v>
      </c>
      <c r="C133" s="2">
        <f t="array" ref="C133">IFERROR(INDEX('Product Price'!C:C,SMALL('Product Price'!$D:$D,131)),"")</f>
        <v>123</v>
      </c>
      <c r="D133" s="2">
        <f t="shared" si="30"/>
        <v>1450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4.25" customHeight="1">
      <c r="A134" s="2"/>
      <c r="B134" s="2">
        <f t="array" ref="B134">IFERROR(INDEX('Product Price'!B:B,SMALL('Product Price'!$D:$D,132)),"")</f>
        <v>18999</v>
      </c>
      <c r="C134" s="2">
        <f t="array" ref="C134">IFERROR(INDEX('Product Price'!C:C,SMALL('Product Price'!$D:$D,132)),"")</f>
        <v>124</v>
      </c>
      <c r="D134" s="2">
        <f t="shared" si="30"/>
        <v>1450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4.25" customHeight="1">
      <c r="A135" s="2"/>
      <c r="B135" s="2">
        <f t="array" ref="B135">IFERROR(INDEX('Product Price'!B:B,SMALL('Product Price'!$D:$D,133)),"")</f>
        <v>9999</v>
      </c>
      <c r="C135" s="2">
        <f t="array" ref="C135">IFERROR(INDEX('Product Price'!C:C,SMALL('Product Price'!$D:$D,133)),"")</f>
        <v>125</v>
      </c>
      <c r="D135" s="2">
        <f t="shared" si="30"/>
        <v>795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4.25" customHeight="1">
      <c r="A136" s="2"/>
      <c r="B136" s="2">
        <f t="array" ref="B136">IFERROR(INDEX('Product Price'!B:B,SMALL('Product Price'!$D:$D,134)),"")</f>
        <v>10999</v>
      </c>
      <c r="C136" s="2">
        <f t="array" ref="C136">IFERROR(INDEX('Product Price'!C:C,SMALL('Product Price'!$D:$D,134)),"")</f>
        <v>126</v>
      </c>
      <c r="D136" s="2">
        <f t="shared" si="30"/>
        <v>1450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4.25" customHeight="1">
      <c r="A137" s="2"/>
      <c r="B137" s="2">
        <f t="array" ref="B137">IFERROR(INDEX('Product Price'!B:B,SMALL('Product Price'!$D:$D,135)),"")</f>
        <v>11999</v>
      </c>
      <c r="C137" s="2">
        <f t="array" ref="C137">IFERROR(INDEX('Product Price'!C:C,SMALL('Product Price'!$D:$D,135)),"")</f>
        <v>127</v>
      </c>
      <c r="D137" s="2">
        <f t="shared" si="30"/>
        <v>1450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4.25" customHeight="1">
      <c r="A138" s="2"/>
      <c r="B138" s="2">
        <f t="array" ref="B138">IFERROR(INDEX('Product Price'!B:B,SMALL('Product Price'!$D:$D,136)),"")</f>
        <v>13999</v>
      </c>
      <c r="C138" s="2">
        <f t="array" ref="C138">IFERROR(INDEX('Product Price'!C:C,SMALL('Product Price'!$D:$D,136)),"")</f>
        <v>117</v>
      </c>
      <c r="D138" s="2">
        <f t="shared" si="30"/>
        <v>1450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4.25" customHeight="1">
      <c r="A139" s="2"/>
      <c r="B139" s="2">
        <f t="array" ref="B139">IFERROR(INDEX('Product Price'!B:B,SMALL('Product Price'!$D:$D,137)),"")</f>
        <v>7999</v>
      </c>
      <c r="C139" s="2">
        <f t="array" ref="C139">IFERROR(INDEX('Product Price'!C:C,SMALL('Product Price'!$D:$D,137)),"")</f>
        <v>118</v>
      </c>
      <c r="D139" s="2">
        <f t="shared" si="30"/>
        <v>795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4.25" customHeight="1">
      <c r="A140" s="2"/>
      <c r="B140" s="2">
        <f t="array" ref="B140">IFERROR(INDEX('Product Price'!B:B,SMALL('Product Price'!$D:$D,138)),"")</f>
        <v>8999</v>
      </c>
      <c r="C140" s="2">
        <f t="array" ref="C140">IFERROR(INDEX('Product Price'!C:C,SMALL('Product Price'!$D:$D,138)),"")</f>
        <v>119</v>
      </c>
      <c r="D140" s="2">
        <f t="shared" si="30"/>
        <v>795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4.25" customHeight="1">
      <c r="A141" s="2"/>
      <c r="B141" s="2">
        <f t="array" ref="B141">IFERROR(INDEX('Product Price'!B:B,SMALL('Product Price'!$D:$D,139)),"")</f>
        <v>6999</v>
      </c>
      <c r="C141" s="2">
        <f t="array" ref="C141">IFERROR(INDEX('Product Price'!C:C,SMALL('Product Price'!$D:$D,139)),"")</f>
        <v>120</v>
      </c>
      <c r="D141" s="2">
        <f t="shared" si="30"/>
        <v>795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4.25" customHeight="1">
      <c r="A142" s="2"/>
      <c r="B142" s="2">
        <f t="array" ref="B142">IFERROR(INDEX('Product Price'!B:B,SMALL('Product Price'!$D:$D,140)),"")</f>
        <v>7499</v>
      </c>
      <c r="C142" s="2">
        <f t="array" ref="C142">IFERROR(INDEX('Product Price'!C:C,SMALL('Product Price'!$D:$D,140)),"")</f>
        <v>121</v>
      </c>
      <c r="D142" s="2">
        <f t="shared" si="30"/>
        <v>795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4.25" customHeight="1">
      <c r="A143" s="2"/>
      <c r="B143" s="2">
        <f t="array" ref="B143">IFERROR(INDEX('Product Price'!B:B,SMALL('Product Price'!$D:$D,141)),"")</f>
        <v>9999</v>
      </c>
      <c r="C143" s="2">
        <f t="array" ref="C143">IFERROR(INDEX('Product Price'!C:C,SMALL('Product Price'!$D:$D,141)),"")</f>
        <v>128</v>
      </c>
      <c r="D143" s="2">
        <f t="shared" si="30"/>
        <v>795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4.25" customHeight="1">
      <c r="A144" s="2"/>
      <c r="B144" s="2">
        <f t="array" ref="B144">IFERROR(INDEX('Product Price'!B:B,SMALL('Product Price'!$D:$D,142)),"")</f>
        <v>9499</v>
      </c>
      <c r="C144" s="2">
        <f t="array" ref="C144">IFERROR(INDEX('Product Price'!C:C,SMALL('Product Price'!$D:$D,142)),"")</f>
        <v>129</v>
      </c>
      <c r="D144" s="2">
        <f t="shared" si="30"/>
        <v>795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4.25" customHeight="1">
      <c r="A145" s="2"/>
      <c r="B145" s="2">
        <f t="array" ref="B145">IFERROR(INDEX('Product Price'!B:B,SMALL('Product Price'!$D:$D,143)),"")</f>
        <v>6499</v>
      </c>
      <c r="C145" s="2">
        <f t="array" ref="C145">IFERROR(INDEX('Product Price'!C:C,SMALL('Product Price'!$D:$D,143)),"")</f>
        <v>130</v>
      </c>
      <c r="D145" s="2">
        <f t="shared" si="30"/>
        <v>795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4.25" customHeight="1">
      <c r="A146" s="2"/>
      <c r="B146" s="2">
        <f t="array" ref="B146">IFERROR(INDEX('Product Price'!B:B,SMALL('Product Price'!$D:$D,144)),"")</f>
        <v>19999</v>
      </c>
      <c r="C146" s="2">
        <f t="array" ref="C146">IFERROR(INDEX('Product Price'!C:C,SMALL('Product Price'!$D:$D,144)),"")</f>
        <v>163</v>
      </c>
      <c r="D146" s="2">
        <f t="shared" si="30"/>
        <v>1450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4.25" customHeight="1">
      <c r="A147" s="2"/>
      <c r="B147" s="2">
        <f t="array" ref="B147">IFERROR(INDEX('Product Price'!B:B,SMALL('Product Price'!$D:$D,145)),"")</f>
        <v>17999</v>
      </c>
      <c r="C147" s="2">
        <f t="array" ref="C147">IFERROR(INDEX('Product Price'!C:C,SMALL('Product Price'!$D:$D,145)),"")</f>
        <v>164</v>
      </c>
      <c r="D147" s="2">
        <f t="shared" si="30"/>
        <v>1450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4.25" customHeight="1">
      <c r="A148" s="2"/>
      <c r="B148" s="2">
        <f t="array" ref="B148">IFERROR(INDEX('Product Price'!B:B,SMALL('Product Price'!$D:$D,146)),"")</f>
        <v>15999</v>
      </c>
      <c r="C148" s="2">
        <f t="array" ref="C148">IFERROR(INDEX('Product Price'!C:C,SMALL('Product Price'!$D:$D,146)),"")</f>
        <v>165</v>
      </c>
      <c r="D148" s="2">
        <f t="shared" si="30"/>
        <v>1450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4.25" customHeight="1">
      <c r="A149" s="2"/>
      <c r="B149" s="2">
        <f t="array" ref="B149">IFERROR(INDEX('Product Price'!B:B,SMALL('Product Price'!$D:$D,147)),"")</f>
        <v>14999</v>
      </c>
      <c r="C149" s="2">
        <f t="array" ref="C149">IFERROR(INDEX('Product Price'!C:C,SMALL('Product Price'!$D:$D,147)),"")</f>
        <v>166</v>
      </c>
      <c r="D149" s="2">
        <f t="shared" si="30"/>
        <v>1450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4.25" customHeight="1">
      <c r="A150" s="2"/>
      <c r="B150" s="2">
        <f t="array" ref="B150">IFERROR(INDEX('Product Price'!B:B,SMALL('Product Price'!$D:$D,148)),"")</f>
        <v>12999</v>
      </c>
      <c r="C150" s="2">
        <f t="array" ref="C150">IFERROR(INDEX('Product Price'!C:C,SMALL('Product Price'!$D:$D,148)),"")</f>
        <v>167</v>
      </c>
      <c r="D150" s="2">
        <f t="shared" si="30"/>
        <v>1450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4.25" customHeight="1">
      <c r="A151" s="2"/>
      <c r="B151" s="2">
        <f t="array" ref="B151">IFERROR(INDEX('Product Price'!B:B,SMALL('Product Price'!$D:$D,149)),"")</f>
        <v>11999</v>
      </c>
      <c r="C151" s="2">
        <f t="array" ref="C151">IFERROR(INDEX('Product Price'!C:C,SMALL('Product Price'!$D:$D,149)),"")</f>
        <v>168</v>
      </c>
      <c r="D151" s="2">
        <f t="shared" si="30"/>
        <v>1450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4.25" customHeight="1">
      <c r="A152" s="2"/>
      <c r="B152" s="2">
        <f t="array" ref="B152">IFERROR(INDEX('Product Price'!B:B,SMALL('Product Price'!$D:$D,150)),"")</f>
        <v>8499</v>
      </c>
      <c r="C152" s="2">
        <f t="array" ref="C152">IFERROR(INDEX('Product Price'!C:C,SMALL('Product Price'!$D:$D,150)),"")</f>
        <v>169</v>
      </c>
      <c r="D152" s="2">
        <f t="shared" si="30"/>
        <v>795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4.25" customHeight="1">
      <c r="A153" s="2"/>
      <c r="B153" s="2">
        <f t="array" ref="B153">IFERROR(INDEX('Product Price'!B:B,SMALL('Product Price'!$D:$D,151)),"")</f>
        <v>16990</v>
      </c>
      <c r="C153" s="2">
        <f t="array" ref="C153">IFERROR(INDEX('Product Price'!C:C,SMALL('Product Price'!$D:$D,151)),"")</f>
        <v>131</v>
      </c>
      <c r="D153" s="2">
        <f t="shared" si="30"/>
        <v>1450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4.25" customHeight="1">
      <c r="A154" s="2"/>
      <c r="B154" s="2">
        <f t="array" ref="B154">IFERROR(INDEX('Product Price'!B:B,SMALL('Product Price'!$D:$D,152)),"")</f>
        <v>14990</v>
      </c>
      <c r="C154" s="2">
        <f t="array" ref="C154">IFERROR(INDEX('Product Price'!C:C,SMALL('Product Price'!$D:$D,152)),"")</f>
        <v>132</v>
      </c>
      <c r="D154" s="2">
        <f t="shared" si="30"/>
        <v>1450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4.25" customHeight="1">
      <c r="A155" s="2"/>
      <c r="B155" s="2">
        <f t="array" ref="B155">IFERROR(INDEX('Product Price'!B:B,SMALL('Product Price'!$D:$D,153)),"")</f>
        <v>14990</v>
      </c>
      <c r="C155" s="2">
        <f t="array" ref="C155">IFERROR(INDEX('Product Price'!C:C,SMALL('Product Price'!$D:$D,153)),"")</f>
        <v>133</v>
      </c>
      <c r="D155" s="2">
        <f t="shared" si="30"/>
        <v>1450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4.25" customHeight="1">
      <c r="A156" s="2"/>
      <c r="B156" s="2">
        <f t="array" ref="B156">IFERROR(INDEX('Product Price'!B:B,SMALL('Product Price'!$D:$D,154)),"")</f>
        <v>11990</v>
      </c>
      <c r="C156" s="2">
        <f t="array" ref="C156">IFERROR(INDEX('Product Price'!C:C,SMALL('Product Price'!$D:$D,154)),"")</f>
        <v>134</v>
      </c>
      <c r="D156" s="2">
        <f t="shared" si="30"/>
        <v>1450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4.25" customHeight="1">
      <c r="A157" s="2"/>
      <c r="B157" s="2">
        <f t="array" ref="B157">IFERROR(INDEX('Product Price'!B:B,SMALL('Product Price'!$D:$D,155)),"")</f>
        <v>8499</v>
      </c>
      <c r="C157" s="2">
        <f t="array" ref="C157">IFERROR(INDEX('Product Price'!C:C,SMALL('Product Price'!$D:$D,155)),"")</f>
        <v>135</v>
      </c>
      <c r="D157" s="2">
        <f t="shared" si="30"/>
        <v>795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4.25" customHeight="1">
      <c r="A158" s="2"/>
      <c r="B158" s="2">
        <f t="array" ref="B158">IFERROR(INDEX('Product Price'!B:B,SMALL('Product Price'!$D:$D,156)),"")</f>
        <v>6699</v>
      </c>
      <c r="C158" s="2">
        <f t="array" ref="C158">IFERROR(INDEX('Product Price'!C:C,SMALL('Product Price'!$D:$D,156)),"")</f>
        <v>136</v>
      </c>
      <c r="D158" s="2">
        <f t="shared" si="30"/>
        <v>795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4.25" customHeight="1">
      <c r="A159" s="2"/>
      <c r="B159" s="2">
        <f t="array" ref="B159">IFERROR(INDEX('Product Price'!B:B,SMALL('Product Price'!$D:$D,157)),"")</f>
        <v>27999</v>
      </c>
      <c r="C159" s="2">
        <f t="array" ref="C159">IFERROR(INDEX('Product Price'!C:C,SMALL('Product Price'!$D:$D,157)),"")</f>
        <v>137</v>
      </c>
      <c r="D159" s="2">
        <f t="shared" si="30"/>
        <v>1900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4.25" customHeight="1">
      <c r="A160" s="2"/>
      <c r="B160" s="2">
        <f t="array" ref="B160">IFERROR(INDEX('Product Price'!B:B,SMALL('Product Price'!$D:$D,158)),"")</f>
        <v>25999</v>
      </c>
      <c r="C160" s="2">
        <f t="array" ref="C160">IFERROR(INDEX('Product Price'!C:C,SMALL('Product Price'!$D:$D,158)),"")</f>
        <v>138</v>
      </c>
      <c r="D160" s="2">
        <f t="shared" si="30"/>
        <v>1900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4.25" customHeight="1">
      <c r="A161" s="2"/>
      <c r="B161" s="2">
        <f t="array" ref="B161">IFERROR(INDEX('Product Price'!B:B,SMALL('Product Price'!$D:$D,159)),"")</f>
        <v>22999</v>
      </c>
      <c r="C161" s="2">
        <f t="array" ref="C161">IFERROR(INDEX('Product Price'!C:C,SMALL('Product Price'!$D:$D,159)),"")</f>
        <v>139</v>
      </c>
      <c r="D161" s="2">
        <f t="shared" si="30"/>
        <v>1900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4.25" customHeight="1">
      <c r="A162" s="2"/>
      <c r="B162" s="2">
        <f t="array" ref="B162">IFERROR(INDEX('Product Price'!B:B,SMALL('Product Price'!$D:$D,160)),"")</f>
        <v>19999</v>
      </c>
      <c r="C162" s="2">
        <f t="array" ref="C162">IFERROR(INDEX('Product Price'!C:C,SMALL('Product Price'!$D:$D,160)),"")</f>
        <v>140</v>
      </c>
      <c r="D162" s="2">
        <f t="shared" si="30"/>
        <v>1450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4.25" customHeight="1">
      <c r="A163" s="2"/>
      <c r="B163" s="2">
        <f t="array" ref="B163">IFERROR(INDEX('Product Price'!B:B,SMALL('Product Price'!$D:$D,161)),"")</f>
        <v>5999</v>
      </c>
      <c r="C163" s="2">
        <f t="array" ref="C163">IFERROR(INDEX('Product Price'!C:C,SMALL('Product Price'!$D:$D,161)),"")</f>
        <v>141</v>
      </c>
      <c r="D163" s="2">
        <f t="shared" si="30"/>
        <v>795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4.25" customHeight="1">
      <c r="A164" s="2"/>
      <c r="B164" s="2">
        <f t="array" ref="B164">IFERROR(INDEX('Product Price'!B:B,SMALL('Product Price'!$D:$D,162)),"")</f>
        <v>5499</v>
      </c>
      <c r="C164" s="2">
        <f t="array" ref="C164">IFERROR(INDEX('Product Price'!C:C,SMALL('Product Price'!$D:$D,162)),"")</f>
        <v>142</v>
      </c>
      <c r="D164" s="2">
        <f t="shared" si="30"/>
        <v>795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4.25" customHeight="1">
      <c r="A165" s="2"/>
      <c r="B165" s="2">
        <f t="array" ref="B165">IFERROR(INDEX('Product Price'!B:B,SMALL('Product Price'!$D:$D,163)),"")</f>
        <v>8999</v>
      </c>
      <c r="C165" s="2">
        <f t="array" ref="C165">IFERROR(INDEX('Product Price'!C:C,SMALL('Product Price'!$D:$D,163)),"")</f>
        <v>150</v>
      </c>
      <c r="D165" s="2">
        <f t="shared" si="30"/>
        <v>795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4.25" customHeight="1">
      <c r="A166" s="2"/>
      <c r="B166" s="2">
        <f t="array" ref="B166">IFERROR(INDEX('Product Price'!B:B,SMALL('Product Price'!$D:$D,164)),"")</f>
        <v>7999</v>
      </c>
      <c r="C166" s="2">
        <f t="array" ref="C166">IFERROR(INDEX('Product Price'!C:C,SMALL('Product Price'!$D:$D,164)),"")</f>
        <v>151</v>
      </c>
      <c r="D166" s="2">
        <f t="shared" si="30"/>
        <v>795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4.25" customHeight="1">
      <c r="A167" s="2"/>
      <c r="B167" s="2">
        <f t="array" ref="B167">IFERROR(INDEX('Product Price'!B:B,SMALL('Product Price'!$D:$D,165)),"")</f>
        <v>7999</v>
      </c>
      <c r="C167" s="2">
        <f t="array" ref="C167">IFERROR(INDEX('Product Price'!C:C,SMALL('Product Price'!$D:$D,165)),"")</f>
        <v>152</v>
      </c>
      <c r="D167" s="2">
        <f t="shared" si="30"/>
        <v>795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4.25" customHeight="1">
      <c r="A168" s="2"/>
      <c r="B168" s="2">
        <f t="array" ref="B168">IFERROR(INDEX('Product Price'!B:B,SMALL('Product Price'!$D:$D,166)),"")</f>
        <v>6999</v>
      </c>
      <c r="C168" s="2">
        <f t="array" ref="C168">IFERROR(INDEX('Product Price'!C:C,SMALL('Product Price'!$D:$D,166)),"")</f>
        <v>153</v>
      </c>
      <c r="D168" s="2">
        <f t="shared" si="30"/>
        <v>795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4.25" customHeight="1">
      <c r="A169" s="2"/>
      <c r="B169" s="2">
        <f t="array" ref="B169">IFERROR(INDEX('Product Price'!B:B,SMALL('Product Price'!$D:$D,167)),"")</f>
        <v>31189</v>
      </c>
      <c r="C169" s="2">
        <f t="array" ref="C169">IFERROR(INDEX('Product Price'!C:C,SMALL('Product Price'!$D:$D,167)),"")</f>
        <v>154</v>
      </c>
      <c r="D169" s="2">
        <f t="shared" si="30"/>
        <v>1900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4.25" customHeight="1">
      <c r="A170" s="2"/>
      <c r="B170" s="2">
        <f t="array" ref="B170">IFERROR(INDEX('Product Price'!B:B,SMALL('Product Price'!$D:$D,168)),"")</f>
        <v>29189</v>
      </c>
      <c r="C170" s="2">
        <f t="array" ref="C170">IFERROR(INDEX('Product Price'!C:C,SMALL('Product Price'!$D:$D,168)),"")</f>
        <v>155</v>
      </c>
      <c r="D170" s="2">
        <f t="shared" si="30"/>
        <v>1900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4.25" customHeight="1">
      <c r="A171" s="2"/>
      <c r="B171" s="2">
        <f t="array" ref="B171">IFERROR(INDEX('Product Price'!B:B,SMALL('Product Price'!$D:$D,169)),"")</f>
        <v>26189</v>
      </c>
      <c r="C171" s="2">
        <f t="array" ref="C171">IFERROR(INDEX('Product Price'!C:C,SMALL('Product Price'!$D:$D,169)),"")</f>
        <v>156</v>
      </c>
      <c r="D171" s="2">
        <f t="shared" si="30"/>
        <v>1900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4.25" customHeight="1">
      <c r="A172" s="2"/>
      <c r="B172" s="2">
        <f t="array" ref="B172">IFERROR(INDEX('Product Price'!B:B,SMALL('Product Price'!$D:$D,170)),"")</f>
        <v>23189</v>
      </c>
      <c r="C172" s="2">
        <f t="array" ref="C172">IFERROR(INDEX('Product Price'!C:C,SMALL('Product Price'!$D:$D,170)),"")</f>
        <v>157</v>
      </c>
      <c r="D172" s="2">
        <f t="shared" si="30"/>
        <v>1900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4.25" customHeight="1">
      <c r="A173" s="2"/>
      <c r="B173" s="2">
        <f t="array" ref="B173">IFERROR(INDEX('Product Price'!B:B,SMALL('Product Price'!$D:$D,171)),"")</f>
        <v>5799</v>
      </c>
      <c r="C173" s="2">
        <f t="array" ref="C173">IFERROR(INDEX('Product Price'!C:C,SMALL('Product Price'!$D:$D,171)),"")</f>
        <v>161</v>
      </c>
      <c r="D173" s="2">
        <f t="shared" si="30"/>
        <v>795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4.25" customHeight="1">
      <c r="A174" s="2"/>
      <c r="B174" s="2">
        <f t="array" ref="B174">IFERROR(INDEX('Product Price'!B:B,SMALL('Product Price'!$D:$D,172)),"")</f>
        <v>27998</v>
      </c>
      <c r="C174" s="2">
        <f t="array" ref="C174">IFERROR(INDEX('Product Price'!C:C,SMALL('Product Price'!$D:$D,172)),"")</f>
        <v>170</v>
      </c>
      <c r="D174" s="2">
        <f t="shared" si="30"/>
        <v>1900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4.25" customHeight="1">
      <c r="A175" s="2"/>
      <c r="B175" s="2">
        <f t="array" ref="B175">IFERROR(INDEX('Product Price'!B:B,SMALL('Product Price'!$D:$D,173)),"")</f>
        <v>22998</v>
      </c>
      <c r="C175" s="2">
        <f t="array" ref="C175">IFERROR(INDEX('Product Price'!C:C,SMALL('Product Price'!$D:$D,173)),"")</f>
        <v>171</v>
      </c>
      <c r="D175" s="2">
        <f t="shared" si="30"/>
        <v>1900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4.25" customHeight="1">
      <c r="A176" s="2"/>
      <c r="B176" s="2">
        <f t="array" ref="B176">IFERROR(INDEX('Product Price'!B:B,SMALL('Product Price'!$D:$D,174)),"")</f>
        <v>17998</v>
      </c>
      <c r="C176" s="2">
        <f t="array" ref="C176">IFERROR(INDEX('Product Price'!C:C,SMALL('Product Price'!$D:$D,174)),"")</f>
        <v>172</v>
      </c>
      <c r="D176" s="2">
        <f t="shared" si="30"/>
        <v>1450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4.25" customHeight="1">
      <c r="A177" s="2"/>
      <c r="B177" s="2">
        <f t="array" ref="B177">IFERROR(INDEX('Product Price'!B:B,SMALL('Product Price'!$D:$D,175)),"")</f>
        <v>12498</v>
      </c>
      <c r="C177" s="2">
        <f t="array" ref="C177">IFERROR(INDEX('Product Price'!C:C,SMALL('Product Price'!$D:$D,175)),"")</f>
        <v>183</v>
      </c>
      <c r="D177" s="2">
        <f t="shared" si="30"/>
        <v>1450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4.25" customHeight="1">
      <c r="A178" s="2"/>
      <c r="B178" s="2">
        <f t="array" ref="B178">IFERROR(INDEX('Product Price'!B:B,SMALL('Product Price'!$D:$D,176)),"")</f>
        <v>11998</v>
      </c>
      <c r="C178" s="2">
        <f t="array" ref="C178">IFERROR(INDEX('Product Price'!C:C,SMALL('Product Price'!$D:$D,176)),"")</f>
        <v>184</v>
      </c>
      <c r="D178" s="2">
        <f t="shared" si="30"/>
        <v>1450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4.25" customHeight="1">
      <c r="A179" s="2"/>
      <c r="B179" s="2">
        <f t="array" ref="B179">IFERROR(INDEX('Product Price'!B:B,SMALL('Product Price'!$D:$D,177)),"")</f>
        <v>79999</v>
      </c>
      <c r="C179" s="2">
        <f t="array" ref="C179">IFERROR(INDEX('Product Price'!C:C,SMALL('Product Price'!$D:$D,177)),"")</f>
        <v>185</v>
      </c>
      <c r="D179" s="2">
        <f t="shared" si="30"/>
        <v>4025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4.25" customHeight="1">
      <c r="A180" s="2"/>
      <c r="B180" s="2">
        <f t="array" ref="B180">IFERROR(INDEX('Product Price'!B:B,SMALL('Product Price'!$D:$D,178)),"")</f>
        <v>69999</v>
      </c>
      <c r="C180" s="2">
        <f t="array" ref="C180">IFERROR(INDEX('Product Price'!C:C,SMALL('Product Price'!$D:$D,178)),"")</f>
        <v>186</v>
      </c>
      <c r="D180" s="2">
        <f t="shared" si="30"/>
        <v>4025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4.25" customHeight="1">
      <c r="A181" s="2"/>
      <c r="B181" s="2">
        <f t="array" ref="B181">IFERROR(INDEX('Product Price'!B:B,SMALL('Product Price'!$D:$D,179)),"")</f>
        <v>54999</v>
      </c>
      <c r="C181" s="2">
        <f t="array" ref="C181">IFERROR(INDEX('Product Price'!C:C,SMALL('Product Price'!$D:$D,179)),"")</f>
        <v>187</v>
      </c>
      <c r="D181" s="2">
        <f t="shared" si="30"/>
        <v>2475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4.25" customHeight="1">
      <c r="A182" s="2"/>
      <c r="B182" s="2">
        <f t="array" ref="B182">IFERROR(INDEX('Product Price'!B:B,SMALL('Product Price'!$D:$D,180)),"")</f>
        <v>34999</v>
      </c>
      <c r="C182" s="2">
        <f t="array" ref="C182">IFERROR(INDEX('Product Price'!C:C,SMALL('Product Price'!$D:$D,180)),"")</f>
        <v>188</v>
      </c>
      <c r="D182" s="2">
        <f t="shared" si="30"/>
        <v>1900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4.25" customHeight="1">
      <c r="A183" s="2"/>
      <c r="B183" s="2">
        <f t="array" ref="B183">IFERROR(INDEX('Product Price'!B:B,SMALL('Product Price'!$D:$D,181)),"")</f>
        <v>31999</v>
      </c>
      <c r="C183" s="2">
        <f t="array" ref="C183">IFERROR(INDEX('Product Price'!C:C,SMALL('Product Price'!$D:$D,181)),"")</f>
        <v>189</v>
      </c>
      <c r="D183" s="2">
        <f t="shared" si="30"/>
        <v>1900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4.25" customHeight="1">
      <c r="A184" s="2"/>
      <c r="B184" s="2">
        <f t="array" ref="B184">IFERROR(INDEX('Product Price'!B:B,SMALL('Product Price'!$D:$D,182)),"")</f>
        <v>29999</v>
      </c>
      <c r="C184" s="2">
        <f t="array" ref="C184">IFERROR(INDEX('Product Price'!C:C,SMALL('Product Price'!$D:$D,182)),"")</f>
        <v>190</v>
      </c>
      <c r="D184" s="2">
        <f t="shared" si="30"/>
        <v>1900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4.25" customHeight="1">
      <c r="A185" s="2"/>
      <c r="B185" s="2">
        <f t="array" ref="B185">IFERROR(INDEX('Product Price'!B:B,SMALL('Product Price'!$D:$D,183)),"")</f>
        <v>26999</v>
      </c>
      <c r="C185" s="2">
        <f t="array" ref="C185">IFERROR(INDEX('Product Price'!C:C,SMALL('Product Price'!$D:$D,183)),"")</f>
        <v>192</v>
      </c>
      <c r="D185" s="2">
        <f t="shared" si="30"/>
        <v>1900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4.25" customHeight="1">
      <c r="A186" s="2"/>
      <c r="B186" s="2">
        <f t="array" ref="B186">IFERROR(INDEX('Product Price'!B:B,SMALL('Product Price'!$D:$D,184)),"")</f>
        <v>24999</v>
      </c>
      <c r="C186" s="2">
        <f t="array" ref="C186">IFERROR(INDEX('Product Price'!C:C,SMALL('Product Price'!$D:$D,184)),"")</f>
        <v>193</v>
      </c>
      <c r="D186" s="2">
        <f t="shared" si="30"/>
        <v>1900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4.25" customHeight="1">
      <c r="A187" s="2"/>
      <c r="B187" s="2">
        <f t="array" ref="B187">IFERROR(INDEX('Product Price'!B:B,SMALL('Product Price'!$D:$D,185)),"")</f>
        <v>21999</v>
      </c>
      <c r="C187" s="2">
        <f t="array" ref="C187">IFERROR(INDEX('Product Price'!C:C,SMALL('Product Price'!$D:$D,185)),"")</f>
        <v>194</v>
      </c>
      <c r="D187" s="2">
        <f t="shared" si="30"/>
        <v>1900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4.25" customHeight="1">
      <c r="A188" s="2"/>
      <c r="B188" s="2">
        <f t="array" ref="B188">IFERROR(INDEX('Product Price'!B:B,SMALL('Product Price'!$D:$D,186)),"")</f>
        <v>18999</v>
      </c>
      <c r="C188" s="2">
        <f t="array" ref="C188">IFERROR(INDEX('Product Price'!C:C,SMALL('Product Price'!$D:$D,186)),"")</f>
        <v>195</v>
      </c>
      <c r="D188" s="2">
        <f t="shared" si="30"/>
        <v>1450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4.25" customHeight="1">
      <c r="A189" s="2"/>
      <c r="B189" s="2">
        <f t="array" ref="B189">IFERROR(INDEX('Product Price'!B:B,SMALL('Product Price'!$D:$D,187)),"")</f>
        <v>17999</v>
      </c>
      <c r="C189" s="2">
        <f t="array" ref="C189">IFERROR(INDEX('Product Price'!C:C,SMALL('Product Price'!$D:$D,187)),"")</f>
        <v>196</v>
      </c>
      <c r="D189" s="2">
        <f t="shared" si="30"/>
        <v>1450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4.25" customHeight="1">
      <c r="A190" s="2"/>
      <c r="B190" s="2">
        <f t="array" ref="B190">IFERROR(INDEX('Product Price'!B:B,SMALL('Product Price'!$D:$D,188)),"")</f>
        <v>14999</v>
      </c>
      <c r="C190" s="2">
        <f t="array" ref="C190">IFERROR(INDEX('Product Price'!C:C,SMALL('Product Price'!$D:$D,188)),"")</f>
        <v>191</v>
      </c>
      <c r="D190" s="2">
        <f t="shared" si="30"/>
        <v>1450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4.25" customHeight="1">
      <c r="A191" s="2"/>
      <c r="B191" s="2">
        <f t="array" ref="B191">IFERROR(INDEX('Product Price'!B:B,SMALL('Product Price'!$D:$D,189)),"")</f>
        <v>19999</v>
      </c>
      <c r="C191" s="2">
        <f t="array" ref="C191">IFERROR(INDEX('Product Price'!C:C,SMALL('Product Price'!$D:$D,189)),"")</f>
        <v>250</v>
      </c>
      <c r="D191" s="2">
        <f t="shared" si="30"/>
        <v>1450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4.25" customHeight="1">
      <c r="A192" s="2"/>
      <c r="B192" s="2">
        <f t="array" ref="B192">IFERROR(INDEX('Product Price'!B:B,SMALL('Product Price'!$D:$D,190)),"")</f>
        <v>15999</v>
      </c>
      <c r="C192" s="2">
        <f t="array" ref="C192">IFERROR(INDEX('Product Price'!C:C,SMALL('Product Price'!$D:$D,190)),"")</f>
        <v>251</v>
      </c>
      <c r="D192" s="2">
        <f t="shared" si="30"/>
        <v>1450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4.25" customHeight="1">
      <c r="A193" s="2"/>
      <c r="B193" s="2">
        <f t="array" ref="B193">IFERROR(INDEX('Product Price'!B:B,SMALL('Product Price'!$D:$D,191)),"")</f>
        <v>13999</v>
      </c>
      <c r="C193" s="2">
        <f t="array" ref="C193">IFERROR(INDEX('Product Price'!C:C,SMALL('Product Price'!$D:$D,191)),"")</f>
        <v>252</v>
      </c>
      <c r="D193" s="2">
        <f t="shared" si="30"/>
        <v>1450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4.25" customHeight="1">
      <c r="A194" s="2"/>
      <c r="B194" s="2">
        <f t="array" ref="B194">IFERROR(INDEX('Product Price'!B:B,SMALL('Product Price'!$D:$D,192)),"")</f>
        <v>14999</v>
      </c>
      <c r="C194" s="2">
        <f t="array" ref="C194">IFERROR(INDEX('Product Price'!C:C,SMALL('Product Price'!$D:$D,192)),"")</f>
        <v>197</v>
      </c>
      <c r="D194" s="2">
        <f t="shared" si="30"/>
        <v>1450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4.25" customHeight="1">
      <c r="A195" s="2"/>
      <c r="B195" s="2">
        <f t="array" ref="B195">IFERROR(INDEX('Product Price'!B:B,SMALL('Product Price'!$D:$D,193)),"")</f>
        <v>11999</v>
      </c>
      <c r="C195" s="2">
        <f t="array" ref="C195">IFERROR(INDEX('Product Price'!C:C,SMALL('Product Price'!$D:$D,193)),"")</f>
        <v>198</v>
      </c>
      <c r="D195" s="2">
        <f t="shared" si="30"/>
        <v>1450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4.25" customHeight="1">
      <c r="A196" s="2"/>
      <c r="B196" s="2">
        <f t="array" ref="B196">IFERROR(INDEX('Product Price'!B:B,SMALL('Product Price'!$D:$D,194)),"")</f>
        <v>8499</v>
      </c>
      <c r="C196" s="2">
        <f t="array" ref="C196">IFERROR(INDEX('Product Price'!C:C,SMALL('Product Price'!$D:$D,194)),"")</f>
        <v>199</v>
      </c>
      <c r="D196" s="2">
        <f t="shared" si="30"/>
        <v>795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4.25" customHeight="1">
      <c r="A197" s="2"/>
      <c r="B197" s="2">
        <f t="array" ref="B197">IFERROR(INDEX('Product Price'!B:B,SMALL('Product Price'!$D:$D,195)),"")</f>
        <v>6499</v>
      </c>
      <c r="C197" s="2">
        <f t="array" ref="C197">IFERROR(INDEX('Product Price'!C:C,SMALL('Product Price'!$D:$D,195)),"")</f>
        <v>200</v>
      </c>
      <c r="D197" s="2">
        <f t="shared" si="30"/>
        <v>795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4.25" customHeight="1">
      <c r="A198" s="2"/>
      <c r="B198" s="2">
        <f t="array" ref="B198">IFERROR(INDEX('Product Price'!B:B,SMALL('Product Price'!$D:$D,196)),"")</f>
        <v>8999</v>
      </c>
      <c r="C198" s="2">
        <f t="array" ref="C198">IFERROR(INDEX('Product Price'!C:C,SMALL('Product Price'!$D:$D,196)),"")</f>
        <v>203</v>
      </c>
      <c r="D198" s="2">
        <f t="shared" si="30"/>
        <v>795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4.25" customHeight="1">
      <c r="A199" s="2"/>
      <c r="B199" s="2">
        <f t="array" ref="B199">IFERROR(INDEX('Product Price'!B:B,SMALL('Product Price'!$D:$D,197)),"")</f>
        <v>18999</v>
      </c>
      <c r="C199" s="2">
        <f t="array" ref="C199">IFERROR(INDEX('Product Price'!C:C,SMALL('Product Price'!$D:$D,197)),"")</f>
        <v>270</v>
      </c>
      <c r="D199" s="2">
        <f t="shared" si="30"/>
        <v>1450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4.25" customHeight="1">
      <c r="A200" s="2"/>
      <c r="B200" s="2">
        <f t="array" ref="B200">IFERROR(INDEX('Product Price'!B:B,SMALL('Product Price'!$D:$D,198)),"")</f>
        <v>11999</v>
      </c>
      <c r="C200" s="2">
        <f t="array" ref="C200">IFERROR(INDEX('Product Price'!C:C,SMALL('Product Price'!$D:$D,198)),"")</f>
        <v>271</v>
      </c>
      <c r="D200" s="2">
        <f t="shared" si="30"/>
        <v>1450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A2">
      <formula1>"HONOR,HUAWEI,INFINIX,Nubia,realme,SAMSUNG,TECNO,XIAOMI,REDMI,OPPO,vivo,iQOO"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2026-07-27T01:47:00Z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1F1FD330F02B433E826702A7D5B6003B</vt:lpwstr>
  </property>
  <property fmtid="{D5CDD505-2E9C-101B-9397-08002B2CF9AE}" pid="3" name="KSOProductBuildVer">
    <vt:lpwstr>1033-11.2.0.10694</vt:lpwstr>
  </property>
</Properties>
</file>